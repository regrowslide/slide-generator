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説明" sheetId="1" r:id="rId5"/>
    <sheet state="visible" name="1月" sheetId="2" r:id="rId6"/>
    <sheet state="visible" name="2月" sheetId="3" r:id="rId7"/>
    <sheet state="visible" name="3月" sheetId="4" r:id="rId8"/>
    <sheet state="visible" name="4月" sheetId="5" r:id="rId9"/>
    <sheet state="visible" name="5月" sheetId="6" r:id="rId10"/>
    <sheet state="visible" name="6月" sheetId="7" r:id="rId11"/>
    <sheet state="visible" name="7月" sheetId="8" r:id="rId12"/>
    <sheet state="visible" name="8月" sheetId="9" r:id="rId13"/>
    <sheet state="visible" name="9月" sheetId="10" r:id="rId14"/>
    <sheet state="visible" name="10月" sheetId="11" r:id="rId15"/>
    <sheet state="visible" name="11月" sheetId="12" r:id="rId16"/>
    <sheet state="visible" name="12月" sheetId="13" r:id="rId17"/>
    <sheet state="visible" name="年間推移シート" sheetId="14" r:id="rId18"/>
    <sheet state="visible" name="収支可視化シート" sheetId="15" r:id="rId19"/>
    <sheet state="visible" name="特別費管理シート" sheetId="16" r:id="rId20"/>
    <sheet state="visible" name="積立管理シート" sheetId="17" r:id="rId21"/>
    <sheet state="visible" name="支払管理シート" sheetId="18" r:id="rId22"/>
    <sheet state="visible" name="list" sheetId="19" r:id="rId23"/>
  </sheets>
  <definedNames>
    <definedName localSheetId="12" name="switch">#REF!</definedName>
    <definedName localSheetId="3" name="switch">#REF!</definedName>
    <definedName localSheetId="9" name="switch">#REF!</definedName>
    <definedName localSheetId="8" name="achieve">#REF!</definedName>
    <definedName localSheetId="4" name="switch">#REF!</definedName>
    <definedName localSheetId="7" name="switch">#REF!</definedName>
    <definedName localSheetId="5" name="achieve">#REF!</definedName>
    <definedName localSheetId="1" name="switch">#REF!</definedName>
    <definedName name="form_income">#REF!</definedName>
    <definedName name="achieve">#REF!</definedName>
    <definedName name="form_invest">#REF!</definedName>
    <definedName name="form_enemy">#REF!</definedName>
    <definedName localSheetId="13" name="achieve">'年間推移シート'!$C$13:$Q$63</definedName>
    <definedName localSheetId="13" name="switch">#REF!</definedName>
    <definedName localSheetId="5" name="switch">#REF!</definedName>
    <definedName localSheetId="6" name="achieve">#REF!</definedName>
    <definedName localSheetId="11" name="achieve">#REF!</definedName>
    <definedName localSheetId="7" name="achieve">#REF!</definedName>
    <definedName localSheetId="10" name="achieve">#REF!</definedName>
    <definedName localSheetId="6" name="switch">#REF!</definedName>
    <definedName localSheetId="8" name="switch">#REF!</definedName>
    <definedName localSheetId="11" name="switch">#REF!</definedName>
    <definedName localSheetId="1" name="achieve">#REF!</definedName>
    <definedName localSheetId="2" name="achieve">#REF!</definedName>
    <definedName localSheetId="12" name="achieve">#REF!</definedName>
    <definedName name="switch">#REF!</definedName>
    <definedName localSheetId="3" name="achieve">#REF!</definedName>
    <definedName localSheetId="9" name="achieve">#REF!</definedName>
    <definedName localSheetId="4" name="achieve">#REF!</definedName>
    <definedName localSheetId="10" name="switch">#REF!</definedName>
    <definedName localSheetId="2" name="switch">#REF!</definedName>
  </definedNames>
  <calcPr/>
</workbook>
</file>

<file path=xl/sharedStrings.xml><?xml version="1.0" encoding="utf-8"?>
<sst xmlns="http://schemas.openxmlformats.org/spreadsheetml/2006/main" count="1638" uniqueCount="211">
  <si>
    <t>必ずコピーしてお使いください</t>
  </si>
  <si>
    <t>①「ファイル」を押す→②「コピーを作成」を押す→③好きな名前に変更して保存</t>
  </si>
  <si>
    <t>👈イメージ図はコチラ</t>
  </si>
  <si>
    <t>記入例はコチラ</t>
  </si>
  <si>
    <t>https://docs.google.com/spreadsheets/d/17IY06cKMxbN9RkT_RKE8P9Hi3TCbj9vyqdSf7Ji-IQU/edit?usp=sharing</t>
  </si>
  <si>
    <t>使い方ガイドはコチラ</t>
  </si>
  <si>
    <t>※1つあたり5分以内の短い動画です（音声を速めて聞くのをオススメします）</t>
  </si>
  <si>
    <t>① 家計簿フォーマットの使い方</t>
  </si>
  <si>
    <t>https://www.loom.com/share/37b2dd6e3192492cad6bd00e9eec2e59?sid=942f5ea2-309b-4961-a169-0edd331df914</t>
  </si>
  <si>
    <t>② 週予算管理の使い方</t>
  </si>
  <si>
    <t>https://www.loom.com/share/22315fc3571547b08d7fb8604cdd833b</t>
  </si>
  <si>
    <t>③ 年間推移シートの使い方</t>
  </si>
  <si>
    <t>https://www.loom.com/share/89c1cf4ee43145dca461fe9334c9dd6f?sid=2a5acbce-cc47-4e1f-b258-f597eeb6d21c</t>
  </si>
  <si>
    <t>④ 収支可視化シートの使い方</t>
  </si>
  <si>
    <t>https://www.loom.com/share/a11131eea75e4983a4cd70746b292bea?sid=d7ec20dd-8da5-48c0-a97f-9e07cfbbc26d</t>
  </si>
  <si>
    <t>⑤ 特別費管理シート＆積立管理シートの使い方</t>
  </si>
  <si>
    <t>https://www.loom.com/share/ec77e9ddfe4f4ecdb27c69937ac317c6?sid=0b5f8703-987c-4617-82b4-51dfa63dd329</t>
  </si>
  <si>
    <t>⑥ 家計簿フォーマットの印刷方法</t>
  </si>
  <si>
    <t>https://www.loom.com/share/468b7c509ef041ecbabe6457f7a6cb27</t>
  </si>
  <si>
    <t>⑦ 注意点</t>
  </si>
  <si>
    <t>https://www.loom.com/share/fc6dcc39dfc84e028cd50287b05d48bd</t>
  </si>
  <si>
    <t>⑧ 支払管理シートの使い方</t>
  </si>
  <si>
    <t>https://www.loom.com/share/78292bbc3862419c99e4e5c73a5361a7</t>
  </si>
  <si>
    <t>⑨ 変動費明細の追加方法</t>
  </si>
  <si>
    <t>https://www.loom.com/share/c84a9fac4d4c455990c32c65b0127334</t>
  </si>
  <si>
    <t>⑩ 変動費明細を日付順で並び替える方法</t>
  </si>
  <si>
    <t>https://www.loom.com/share/7df2fd3f96d8450eaead1efa6d80f9ae</t>
  </si>
  <si>
    <t>⑪ 収入・固定費・変動費・週予算管理の行の追加方法</t>
  </si>
  <si>
    <t>https://www.loom.com/share/c5822df7b4aa432da211e2d1040d1c62</t>
  </si>
  <si>
    <t>← 年・月を変更するとカレンダーが自動更新されます</t>
  </si>
  <si>
    <t>※グレーのセルは自動反映します（入力不要）</t>
  </si>
  <si>
    <t>変動費 明細</t>
  </si>
  <si>
    <t>収入</t>
  </si>
  <si>
    <t>先取り貯金・投資</t>
  </si>
  <si>
    <t>月</t>
  </si>
  <si>
    <t>火</t>
  </si>
  <si>
    <t>水</t>
  </si>
  <si>
    <t>木</t>
  </si>
  <si>
    <t>金</t>
  </si>
  <si>
    <t>土</t>
  </si>
  <si>
    <t>日</t>
  </si>
  <si>
    <t>日付</t>
  </si>
  <si>
    <t>週</t>
  </si>
  <si>
    <t>支払方法</t>
  </si>
  <si>
    <t>費目</t>
  </si>
  <si>
    <t>詳細</t>
  </si>
  <si>
    <t>金額</t>
  </si>
  <si>
    <t>満足度</t>
  </si>
  <si>
    <t>入金口座</t>
  </si>
  <si>
    <t>1week</t>
  </si>
  <si>
    <t>現金</t>
  </si>
  <si>
    <t>🍙 食費</t>
  </si>
  <si>
    <t>💰 パパ給与</t>
  </si>
  <si>
    <t>Ｃ銀行</t>
  </si>
  <si>
    <t>💴 貯金</t>
  </si>
  <si>
    <t>💰 ママ給与</t>
  </si>
  <si>
    <t>Ｄ銀行</t>
  </si>
  <si>
    <t>💴 NISA</t>
  </si>
  <si>
    <t>クレカＡ</t>
  </si>
  <si>
    <t>💴 特別費積み立て</t>
  </si>
  <si>
    <t>合計</t>
  </si>
  <si>
    <t>支出</t>
  </si>
  <si>
    <t>週予算 管理</t>
  </si>
  <si>
    <t>固定費</t>
  </si>
  <si>
    <t>変動費</t>
  </si>
  <si>
    <t>予算</t>
  </si>
  <si>
    <t>項目</t>
  </si>
  <si>
    <t>2week</t>
  </si>
  <si>
    <t>🏠 住宅</t>
  </si>
  <si>
    <t>差分</t>
  </si>
  <si>
    <t>💡 電気</t>
  </si>
  <si>
    <t>クレカＢ</t>
  </si>
  <si>
    <t>🧴 日用品</t>
  </si>
  <si>
    <t>🔥 ガス</t>
  </si>
  <si>
    <t>⛺️ 趣味・娯楽</t>
  </si>
  <si>
    <t>🚰 水道</t>
  </si>
  <si>
    <t>🍼 子ども</t>
  </si>
  <si>
    <t>📱 通信費</t>
  </si>
  <si>
    <t>🏥 健康・医療</t>
  </si>
  <si>
    <t>📽️ サブスク</t>
  </si>
  <si>
    <t>❓ その他</t>
  </si>
  <si>
    <t>📃 保険</t>
  </si>
  <si>
    <t>🎓 教養・教育</t>
  </si>
  <si>
    <t>ALL</t>
  </si>
  <si>
    <t>3week</t>
  </si>
  <si>
    <t>4week</t>
  </si>
  <si>
    <t>特別費</t>
  </si>
  <si>
    <t>今月の収支</t>
  </si>
  <si>
    <t>収入（a）</t>
  </si>
  <si>
    <t>🍴 食事</t>
  </si>
  <si>
    <t>先取り貯金・投資（b）</t>
  </si>
  <si>
    <t>支出（c）</t>
  </si>
  <si>
    <t>余り貯金（d）※a-b-c</t>
  </si>
  <si>
    <t>貯蓄合計（e）※b+d</t>
  </si>
  <si>
    <r>
      <rPr>
        <rFont val="Meiryo"/>
        <b/>
        <color rgb="FFFFFFFF"/>
        <sz val="11.0"/>
      </rPr>
      <t>支出率</t>
    </r>
    <r>
      <rPr>
        <rFont val="Meiryo"/>
        <b val="0"/>
        <color rgb="FFFFFFFF"/>
        <sz val="8.0"/>
      </rPr>
      <t>（c/a)×100</t>
    </r>
  </si>
  <si>
    <r>
      <rPr>
        <rFont val="Meiryo"/>
        <b/>
        <color rgb="FFFFFFFF"/>
        <sz val="11.0"/>
      </rPr>
      <t xml:space="preserve">貯蓄率　</t>
    </r>
    <r>
      <rPr>
        <rFont val="Meiryo"/>
        <b val="0"/>
        <color rgb="FFFFFFFF"/>
        <sz val="8.0"/>
      </rPr>
      <t>（e/a)×100</t>
    </r>
  </si>
  <si>
    <t>5week</t>
  </si>
  <si>
    <t>※収支の計算外</t>
  </si>
  <si>
    <t>※目標：80%以下</t>
  </si>
  <si>
    <t>※目標：20%以上</t>
  </si>
  <si>
    <t>振り返り</t>
  </si>
  <si>
    <r>
      <rPr>
        <rFont val="Meiryo"/>
        <b/>
        <color rgb="FFFFFFFF"/>
        <sz val="11.0"/>
      </rPr>
      <t>支出率</t>
    </r>
    <r>
      <rPr>
        <rFont val="Meiryo"/>
        <b val="0"/>
        <color rgb="FFFFFFFF"/>
        <sz val="8.0"/>
      </rPr>
      <t>（c/a)×100</t>
    </r>
  </si>
  <si>
    <r>
      <rPr>
        <rFont val="Meiryo"/>
        <b/>
        <color rgb="FFFFFFFF"/>
        <sz val="11.0"/>
      </rPr>
      <t xml:space="preserve">貯蓄率　</t>
    </r>
    <r>
      <rPr>
        <rFont val="Meiryo"/>
        <b val="0"/>
        <color rgb="FFFFFFFF"/>
        <sz val="8.0"/>
      </rPr>
      <t>（e/a)×100</t>
    </r>
  </si>
  <si>
    <r>
      <rPr>
        <rFont val="Meiryo"/>
        <b/>
        <color rgb="FFFFFFFF"/>
        <sz val="11.0"/>
      </rPr>
      <t>支出率</t>
    </r>
    <r>
      <rPr>
        <rFont val="Meiryo"/>
        <b val="0"/>
        <color rgb="FFFFFFFF"/>
        <sz val="8.0"/>
      </rPr>
      <t>（c/a)×100</t>
    </r>
  </si>
  <si>
    <r>
      <rPr>
        <rFont val="Meiryo"/>
        <b/>
        <color rgb="FFFFFFFF"/>
        <sz val="11.0"/>
      </rPr>
      <t xml:space="preserve">貯蓄率　</t>
    </r>
    <r>
      <rPr>
        <rFont val="Meiryo"/>
        <b val="0"/>
        <color rgb="FFFFFFFF"/>
        <sz val="8.0"/>
      </rPr>
      <t>（e/a)×100</t>
    </r>
  </si>
  <si>
    <r>
      <rPr>
        <rFont val="Meiryo"/>
        <b/>
        <color rgb="FFFFFFFF"/>
        <sz val="11.0"/>
      </rPr>
      <t>支出率</t>
    </r>
    <r>
      <rPr>
        <rFont val="Meiryo"/>
        <b val="0"/>
        <color rgb="FFFFFFFF"/>
        <sz val="8.0"/>
      </rPr>
      <t>（c/a)×100</t>
    </r>
  </si>
  <si>
    <r>
      <rPr>
        <rFont val="Meiryo"/>
        <b/>
        <color rgb="FFFFFFFF"/>
        <sz val="11.0"/>
      </rPr>
      <t xml:space="preserve">貯蓄率　</t>
    </r>
    <r>
      <rPr>
        <rFont val="Meiryo"/>
        <b val="0"/>
        <color rgb="FFFFFFFF"/>
        <sz val="8.0"/>
      </rPr>
      <t>（e/a)×100</t>
    </r>
  </si>
  <si>
    <r>
      <rPr>
        <rFont val="Meiryo"/>
        <b/>
        <color rgb="FFFFFFFF"/>
        <sz val="11.0"/>
      </rPr>
      <t>支出率</t>
    </r>
    <r>
      <rPr>
        <rFont val="Meiryo"/>
        <b val="0"/>
        <color rgb="FFFFFFFF"/>
        <sz val="8.0"/>
      </rPr>
      <t>（c/a)×100</t>
    </r>
  </si>
  <si>
    <r>
      <rPr>
        <rFont val="Meiryo"/>
        <b/>
        <color rgb="FFFFFFFF"/>
        <sz val="11.0"/>
      </rPr>
      <t xml:space="preserve">貯蓄率　</t>
    </r>
    <r>
      <rPr>
        <rFont val="Meiryo"/>
        <b val="0"/>
        <color rgb="FFFFFFFF"/>
        <sz val="8.0"/>
      </rPr>
      <t>（e/a)×100</t>
    </r>
  </si>
  <si>
    <r>
      <rPr>
        <rFont val="Meiryo"/>
        <b/>
        <color rgb="FFFFFFFF"/>
        <sz val="11.0"/>
      </rPr>
      <t>支出率</t>
    </r>
    <r>
      <rPr>
        <rFont val="Meiryo"/>
        <b val="0"/>
        <color rgb="FFFFFFFF"/>
        <sz val="8.0"/>
      </rPr>
      <t>（c/a)×100</t>
    </r>
  </si>
  <si>
    <r>
      <rPr>
        <rFont val="Meiryo"/>
        <b/>
        <color rgb="FFFFFFFF"/>
        <sz val="11.0"/>
      </rPr>
      <t xml:space="preserve">貯蓄率　</t>
    </r>
    <r>
      <rPr>
        <rFont val="Meiryo"/>
        <b val="0"/>
        <color rgb="FFFFFFFF"/>
        <sz val="8.0"/>
      </rPr>
      <t>（e/a)×100</t>
    </r>
  </si>
  <si>
    <r>
      <rPr>
        <rFont val="Meiryo"/>
        <b/>
        <color rgb="FFFFFFFF"/>
        <sz val="11.0"/>
      </rPr>
      <t>支出率</t>
    </r>
    <r>
      <rPr>
        <rFont val="Meiryo"/>
        <b val="0"/>
        <color rgb="FFFFFFFF"/>
        <sz val="8.0"/>
      </rPr>
      <t>（c/a)×100</t>
    </r>
  </si>
  <si>
    <r>
      <rPr>
        <rFont val="Meiryo"/>
        <b/>
        <color rgb="FFFFFFFF"/>
        <sz val="11.0"/>
      </rPr>
      <t xml:space="preserve">貯蓄率　</t>
    </r>
    <r>
      <rPr>
        <rFont val="Meiryo"/>
        <b val="0"/>
        <color rgb="FFFFFFFF"/>
        <sz val="8.0"/>
      </rPr>
      <t>（e/a)×100</t>
    </r>
  </si>
  <si>
    <r>
      <rPr>
        <rFont val="Meiryo"/>
        <b/>
        <color rgb="FFFFFFFF"/>
        <sz val="11.0"/>
      </rPr>
      <t>支出率</t>
    </r>
    <r>
      <rPr>
        <rFont val="Meiryo"/>
        <b val="0"/>
        <color rgb="FFFFFFFF"/>
        <sz val="8.0"/>
      </rPr>
      <t>（c/a)×100</t>
    </r>
  </si>
  <si>
    <r>
      <rPr>
        <rFont val="Meiryo"/>
        <b/>
        <color rgb="FFFFFFFF"/>
        <sz val="11.0"/>
      </rPr>
      <t xml:space="preserve">貯蓄率　</t>
    </r>
    <r>
      <rPr>
        <rFont val="Meiryo"/>
        <b val="0"/>
        <color rgb="FFFFFFFF"/>
        <sz val="8.0"/>
      </rPr>
      <t>（e/a)×100</t>
    </r>
  </si>
  <si>
    <r>
      <rPr>
        <rFont val="Meiryo"/>
        <b/>
        <color rgb="FFFFFFFF"/>
        <sz val="11.0"/>
      </rPr>
      <t>支出率</t>
    </r>
    <r>
      <rPr>
        <rFont val="Meiryo"/>
        <b val="0"/>
        <color rgb="FFFFFFFF"/>
        <sz val="8.0"/>
      </rPr>
      <t>（c/a)×100</t>
    </r>
  </si>
  <si>
    <r>
      <rPr>
        <rFont val="Meiryo"/>
        <b/>
        <color rgb="FFFFFFFF"/>
        <sz val="11.0"/>
      </rPr>
      <t xml:space="preserve">貯蓄率　</t>
    </r>
    <r>
      <rPr>
        <rFont val="Meiryo"/>
        <b val="0"/>
        <color rgb="FFFFFFFF"/>
        <sz val="8.0"/>
      </rPr>
      <t>（e/a)×100</t>
    </r>
  </si>
  <si>
    <r>
      <rPr>
        <rFont val="Meiryo"/>
        <b/>
        <color rgb="FFFFFFFF"/>
        <sz val="11.0"/>
      </rPr>
      <t>支出率</t>
    </r>
    <r>
      <rPr>
        <rFont val="Meiryo"/>
        <b val="0"/>
        <color rgb="FFFFFFFF"/>
        <sz val="8.0"/>
      </rPr>
      <t>（c/a)×100</t>
    </r>
  </si>
  <si>
    <r>
      <rPr>
        <rFont val="Meiryo"/>
        <b/>
        <color rgb="FFFFFFFF"/>
        <sz val="11.0"/>
      </rPr>
      <t xml:space="preserve">貯蓄率　</t>
    </r>
    <r>
      <rPr>
        <rFont val="Meiryo"/>
        <b val="0"/>
        <color rgb="FFFFFFFF"/>
        <sz val="8.0"/>
      </rPr>
      <t>（e/a)×100</t>
    </r>
  </si>
  <si>
    <r>
      <rPr>
        <rFont val="Meiryo"/>
        <b/>
        <color rgb="FFFFFFFF"/>
        <sz val="11.0"/>
      </rPr>
      <t>支出率</t>
    </r>
    <r>
      <rPr>
        <rFont val="Meiryo"/>
        <b val="0"/>
        <color rgb="FFFFFFFF"/>
        <sz val="8.0"/>
      </rPr>
      <t>（c/a)×100</t>
    </r>
  </si>
  <si>
    <r>
      <rPr>
        <rFont val="Meiryo"/>
        <b/>
        <color rgb="FFFFFFFF"/>
        <sz val="11.0"/>
      </rPr>
      <t xml:space="preserve">貯蓄率　</t>
    </r>
    <r>
      <rPr>
        <rFont val="Meiryo"/>
        <b val="0"/>
        <color rgb="FFFFFFFF"/>
        <sz val="8.0"/>
      </rPr>
      <t>（e/a)×100</t>
    </r>
  </si>
  <si>
    <r>
      <rPr>
        <rFont val="Meiryo"/>
        <b/>
        <color rgb="FFFFFFFF"/>
        <sz val="11.0"/>
      </rPr>
      <t>支出率</t>
    </r>
    <r>
      <rPr>
        <rFont val="Meiryo"/>
        <b val="0"/>
        <color rgb="FFFFFFFF"/>
        <sz val="8.0"/>
      </rPr>
      <t>（c/a)×100</t>
    </r>
  </si>
  <si>
    <r>
      <rPr>
        <rFont val="Meiryo"/>
        <b/>
        <color rgb="FFFFFFFF"/>
        <sz val="11.0"/>
      </rPr>
      <t xml:space="preserve">貯蓄率　</t>
    </r>
    <r>
      <rPr>
        <rFont val="Meiryo"/>
        <b val="0"/>
        <color rgb="FFFFFFFF"/>
        <sz val="8.0"/>
      </rPr>
      <t>（e/a)×100</t>
    </r>
  </si>
  <si>
    <t>年間推移シート</t>
  </si>
  <si>
    <t>※費目を選択すれば自動で反映されます</t>
  </si>
  <si>
    <t>2025年</t>
  </si>
  <si>
    <t>Memo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</si>
  <si>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</si>
  <si>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</si>
  <si>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</si>
  <si>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</si>
  <si>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</si>
  <si>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</si>
  <si>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</si>
  <si>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</si>
  <si>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</si>
  <si>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</si>
  <si>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</si>
  <si>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</si>
  <si>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平均</t>
  </si>
  <si>
    <t>年間合計</t>
  </si>
  <si>
    <t>💰 配当金</t>
  </si>
  <si>
    <t>💰 賞与</t>
  </si>
  <si>
    <t>💰 児童手当</t>
  </si>
  <si>
    <t>💰 副業</t>
  </si>
  <si>
    <t>収入合計</t>
  </si>
  <si>
    <t>固定費合計</t>
  </si>
  <si>
    <t>📒 雑費</t>
  </si>
  <si>
    <t>👚 衣服・美容</t>
  </si>
  <si>
    <t>🍷 交際費</t>
  </si>
  <si>
    <t>🚃 交通費</t>
  </si>
  <si>
    <t>変動費合計</t>
  </si>
  <si>
    <t>支出合計（特別費除く）</t>
  </si>
  <si>
    <t>支出率</t>
  </si>
  <si>
    <t>目標：80%以下</t>
  </si>
  <si>
    <t>✈️ 旅行</t>
  </si>
  <si>
    <t>🏠 更新料</t>
  </si>
  <si>
    <t>🗒️ 保険</t>
  </si>
  <si>
    <t>📠 家具・家電</t>
  </si>
  <si>
    <t>特別費合計（支出に含めない）</t>
  </si>
  <si>
    <t>💴 iDeCo</t>
  </si>
  <si>
    <t>💴 貯金（臨時）</t>
  </si>
  <si>
    <t>💴 NISA（臨時）</t>
  </si>
  <si>
    <t>💴 投資（臨時）</t>
  </si>
  <si>
    <t>💴 その他</t>
  </si>
  <si>
    <t>先取り貯金・投資合計</t>
  </si>
  <si>
    <t>収支</t>
  </si>
  <si>
    <t>余り貯金　（収入-先取り‐支出）</t>
  </si>
  <si>
    <t>貯蓄合計（先取り＋余り貯金）</t>
  </si>
  <si>
    <t>貯蓄率（貯蓄合計/収入）</t>
  </si>
  <si>
    <t>目標：20%以上</t>
  </si>
  <si>
    <t>収支可視化シート</t>
  </si>
  <si>
    <t>※費目を選択すれば自動で反映されます　※1年分の家計簿を入力してから確認してください（年途中の場合は未来の家計簿を仮で作成してください）</t>
  </si>
  <si>
    <t>月平均</t>
  </si>
  <si>
    <r>
      <rPr>
        <rFont val="Meiryo"/>
        <color rgb="FF6C6059"/>
      </rPr>
      <t>※</t>
    </r>
    <r>
      <rPr>
        <rFont val="Meiryo"/>
        <color rgb="FFCC4125"/>
      </rPr>
      <t>毎月</t>
    </r>
    <r>
      <rPr>
        <rFont val="Meiryo"/>
        <color rgb="FF6C6059"/>
      </rPr>
      <t>発生するもの</t>
    </r>
  </si>
  <si>
    <t>固定</t>
  </si>
  <si>
    <t>変動</t>
  </si>
  <si>
    <r>
      <rPr>
        <rFont val="Meiryo"/>
        <b/>
        <color rgb="FFFFFFFF"/>
        <sz val="11.0"/>
      </rPr>
      <t xml:space="preserve">支出割合　</t>
    </r>
    <r>
      <rPr>
        <rFont val="Meiryo"/>
        <b val="0"/>
        <color rgb="FFFFFFFF"/>
        <sz val="8.0"/>
      </rPr>
      <t>（c/a)×100</t>
    </r>
  </si>
  <si>
    <r>
      <rPr>
        <rFont val="Meiryo"/>
        <b/>
        <color rgb="FFFFFFFF"/>
        <sz val="11.0"/>
      </rPr>
      <t xml:space="preserve">貯蓄率　</t>
    </r>
    <r>
      <rPr>
        <rFont val="Meiryo"/>
        <b val="0"/>
        <color rgb="FFFFFFFF"/>
        <sz val="8.0"/>
      </rPr>
      <t>（e/a)×100</t>
    </r>
  </si>
  <si>
    <t>↑手取りの80％以内が目安</t>
  </si>
  <si>
    <t>↑目標：20％以上</t>
  </si>
  <si>
    <t>年計</t>
  </si>
  <si>
    <r>
      <rPr>
        <rFont val="Meiryo"/>
        <color rgb="FF6C6059"/>
      </rPr>
      <t>※</t>
    </r>
    <r>
      <rPr>
        <rFont val="Meiryo"/>
        <color rgb="FFCC4125"/>
      </rPr>
      <t>臨時</t>
    </r>
    <r>
      <rPr>
        <rFont val="Meiryo"/>
        <color rgb="FF6C6059"/>
      </rPr>
      <t>で発生するもの（特別費）</t>
    </r>
  </si>
  <si>
    <t>年間の収支</t>
  </si>
  <si>
    <r>
      <rPr>
        <rFont val="Meiryo"/>
        <b/>
        <color rgb="FFFFFFFF"/>
        <sz val="11.0"/>
      </rPr>
      <t xml:space="preserve">支出割合　</t>
    </r>
    <r>
      <rPr>
        <rFont val="Meiryo"/>
        <b val="0"/>
        <color rgb="FFFFFFFF"/>
        <sz val="8.0"/>
      </rPr>
      <t>（c/a)×100</t>
    </r>
  </si>
  <si>
    <r>
      <rPr>
        <rFont val="Meiryo"/>
        <b/>
        <color rgb="FFFFFFFF"/>
        <sz val="11.0"/>
      </rPr>
      <t xml:space="preserve">貯蓄率　</t>
    </r>
    <r>
      <rPr>
        <rFont val="Meiryo"/>
        <b val="0"/>
        <color rgb="FFFFFFFF"/>
        <sz val="8.0"/>
      </rPr>
      <t>（e/a)×100</t>
    </r>
  </si>
  <si>
    <t>特別費管理シート</t>
  </si>
  <si>
    <t>※グレーのセルは自動反映します</t>
  </si>
  <si>
    <t>前年からの繰越</t>
  </si>
  <si>
    <t>今年の積立金額</t>
  </si>
  <si>
    <t>予算合計</t>
  </si>
  <si>
    <t>特別費の残り</t>
  </si>
  <si>
    <t>内容</t>
  </si>
  <si>
    <t>🤰🏻 妊活</t>
  </si>
  <si>
    <t>積立管理シート</t>
  </si>
  <si>
    <t>合計金額</t>
  </si>
  <si>
    <t>支払管理シート</t>
  </si>
  <si>
    <t>引落日</t>
  </si>
  <si>
    <t>引落口座</t>
  </si>
  <si>
    <t>先取り貯金</t>
  </si>
  <si>
    <t>〇</t>
  </si>
  <si>
    <t>△</t>
  </si>
  <si>
    <t>✕</t>
  </si>
  <si>
    <t>💴 投資</t>
  </si>
  <si>
    <t>💰 臨時収入</t>
  </si>
  <si>
    <t>💰 その他</t>
  </si>
  <si>
    <t>🚙 自動車</t>
  </si>
  <si>
    <t>💳 現金・カード</t>
  </si>
  <si>
    <t>💪 自己投資</t>
  </si>
  <si>
    <t>👨🏻 パパお小遣い</t>
  </si>
  <si>
    <t>👩🏻 ママお小遣い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</si>
</sst>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yyyy&quot;年&quot;m&quot;月&quot;"/>
    <numFmt numFmtId="165" formatCode="d"/>
    <numFmt numFmtId="166" formatCode="mm&quot;/&quot;dd"/>
    <numFmt numFmtId="167" formatCode="[$¥-411]#,##0"/>
    <numFmt numFmtId="168" formatCode="[$¥-411]#,##0;[red][$¥-411]#,##0;"/>
    <numFmt numFmtId="169" formatCode="0.0%"/>
    <numFmt numFmtId="170" formatCode="yyyy.mm"/>
  </numFmts>
  <fonts count="57">
    <font>
      <sz val="10.0"/>
      <color rgb="FF000000"/>
      <name val="Arial"/>
      <scheme val="minor"/>
    </font>
    <font>
      <b/>
      <sz val="40.0"/>
      <color rgb="FFFF0000"/>
      <name val="Arial"/>
      <scheme val="minor"/>
    </font>
    <font>
      <sz val="13.0"/>
      <color theme="1"/>
      <name val="Arial"/>
      <scheme val="minor"/>
    </font>
    <font>
      <b/>
      <sz val="14.0"/>
      <color theme="1"/>
      <name val="Arial"/>
      <scheme val="minor"/>
    </font>
    <font>
      <b/>
      <sz val="17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b/>
      <sz val="22.0"/>
      <color rgb="FF6C6059"/>
      <name val="Zen Maru Gothic"/>
    </font>
    <font>
      <b/>
      <sz val="30.0"/>
      <color rgb="FF6C6059"/>
      <name val="Zen Maru Gothic"/>
    </font>
    <font>
      <b/>
      <sz val="11.0"/>
      <color rgb="FF8D8079"/>
      <name val="Zen Maru Gothic"/>
    </font>
    <font>
      <b/>
      <sz val="12.0"/>
      <color rgb="FFFFFFFF"/>
      <name val="Roboto"/>
    </font>
    <font>
      <b/>
      <sz val="9.0"/>
      <color rgb="FFD9D9D9"/>
      <name val="HiraMaruProN-W4"/>
    </font>
    <font>
      <b/>
      <sz val="13.0"/>
      <color rgb="FFFFFFFF"/>
      <name val="HiraMaruProN-W4"/>
    </font>
    <font>
      <b/>
      <sz val="10.0"/>
      <color rgb="FFD9D9D9"/>
      <name val="HiraMaruProN-W4"/>
    </font>
    <font>
      <b/>
      <sz val="14.0"/>
      <color rgb="FF6C6059"/>
      <name val="Zen Maru Gothic"/>
    </font>
    <font>
      <b/>
      <sz val="15.0"/>
      <color rgb="FF6C6059"/>
      <name val="Zen Maru Gothic"/>
    </font>
    <font>
      <color rgb="FF6C6059"/>
      <name val="Meiryo"/>
    </font>
    <font>
      <color rgb="FF434343"/>
      <name val="HiraMaruProN-W4"/>
    </font>
    <font>
      <b/>
      <color theme="1"/>
      <name val="HiraMaruProN-W4"/>
    </font>
    <font>
      <b/>
      <sz val="11.0"/>
      <color rgb="FFFFFFFF"/>
      <name val="Zen Maru Gothic"/>
    </font>
    <font>
      <b/>
      <sz val="11.0"/>
      <color rgb="FFFFFFFF"/>
      <name val="Meiryo"/>
    </font>
    <font>
      <color rgb="FF434343"/>
      <name val="Meiryo"/>
    </font>
    <font>
      <color theme="1"/>
      <name val="Meiryo"/>
    </font>
    <font>
      <b/>
      <color theme="1"/>
      <name val="Meiryo"/>
    </font>
    <font>
      <b/>
      <sz val="10.0"/>
      <color rgb="FFFFFFFF"/>
      <name val="HiraMaruProN-W4"/>
    </font>
    <font/>
    <font>
      <b/>
      <color rgb="FFFFFFFF"/>
      <name val="Meiryo"/>
    </font>
    <font>
      <b/>
      <color rgb="FF77909C"/>
      <name val="Meiryo"/>
    </font>
    <font>
      <b/>
      <color rgb="FFAA4643"/>
      <name val="Meiryo"/>
    </font>
    <font>
      <color rgb="FFFFFFFF"/>
      <name val="Meiryo"/>
    </font>
    <font>
      <b/>
      <sz val="10.0"/>
      <color rgb="FF6C6059"/>
      <name val="Zen Maru Gothic"/>
    </font>
    <font>
      <b/>
      <sz val="10.0"/>
      <color rgb="FF6C6059"/>
      <name val="Meiryo"/>
    </font>
    <font>
      <b/>
      <color rgb="FF6C6059"/>
      <name val="Meiryo"/>
    </font>
    <font>
      <b/>
      <color rgb="FF645851"/>
      <name val="Meiryo"/>
    </font>
    <font>
      <sz val="10.0"/>
      <color rgb="FF6C6059"/>
      <name val="Meiryo"/>
    </font>
    <font>
      <sz val="10.0"/>
      <color theme="1"/>
      <name val="Meiryo"/>
    </font>
    <font>
      <color rgb="FF645851"/>
      <name val="Meiryo"/>
    </font>
    <font>
      <color theme="1"/>
      <name val="Arial"/>
    </font>
    <font>
      <b/>
      <sz val="10.0"/>
      <color rgb="FFFFFFFF"/>
      <name val="Meiryo"/>
    </font>
    <font>
      <b/>
      <sz val="20.0"/>
      <color rgb="FF6C6059"/>
      <name val="Zen Maru Gothic"/>
    </font>
    <font>
      <sz val="8.0"/>
      <color rgb="FFE06666"/>
      <name val="Meiryo"/>
    </font>
    <font>
      <sz val="8.0"/>
      <color rgb="FF666666"/>
      <name val="Meiryo"/>
    </font>
    <font>
      <color rgb="FF999999"/>
      <name val="HiraMaruProN-W4"/>
    </font>
    <font>
      <b/>
      <sz val="10.0"/>
      <color theme="1"/>
      <name val="Meiryo"/>
    </font>
    <font>
      <sz val="10.0"/>
      <color rgb="FFFFFFFF"/>
      <name val="Meiryo"/>
    </font>
    <font>
      <sz val="10.0"/>
      <color rgb="FFE06666"/>
      <name val="Meiryo"/>
    </font>
    <font>
      <b/>
      <sz val="17.0"/>
      <color rgb="FF6C6059"/>
      <name val="Zen Maru Gothic"/>
    </font>
    <font>
      <b/>
      <sz val="10.0"/>
      <color theme="1"/>
      <name val="HiraMaruProN-W4"/>
    </font>
    <font>
      <color rgb="FF6C6059"/>
      <name val="HiraMaruProN-W4"/>
    </font>
    <font>
      <color theme="1"/>
      <name val="HiraMaruProN-W4"/>
    </font>
    <font>
      <sz val="8.0"/>
      <color rgb="FFCC4125"/>
      <name val="HiraMaruProN-W4"/>
    </font>
    <font>
      <sz val="10.0"/>
      <color rgb="FF434343"/>
      <name val="HiraMaruProN-W4"/>
    </font>
    <font>
      <sz val="10.0"/>
      <color theme="1"/>
      <name val="Arial"/>
      <scheme val="minor"/>
    </font>
    <font>
      <sz val="8.0"/>
      <color rgb="FFE06666"/>
      <name val="HiraMaruProN-W4"/>
    </font>
    <font>
      <color rgb="FF6C6059"/>
      <name val="Arial"/>
      <scheme val="minor"/>
    </font>
    <font>
      <b/>
      <color rgb="FFFFFFFF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384860"/>
        <bgColor rgb="FF384860"/>
      </patternFill>
    </fill>
    <fill>
      <patternFill patternType="solid">
        <fgColor rgb="FFCDB3B7"/>
        <bgColor rgb="FFCDB3B7"/>
      </patternFill>
    </fill>
    <fill>
      <patternFill patternType="solid">
        <fgColor rgb="FFB3C7CD"/>
        <bgColor rgb="FFB3C7CD"/>
      </patternFill>
    </fill>
    <fill>
      <patternFill patternType="solid">
        <fgColor rgb="FF8D8079"/>
        <bgColor rgb="FF8D8079"/>
      </patternFill>
    </fill>
    <fill>
      <patternFill patternType="solid">
        <fgColor rgb="FFEDE4E0"/>
        <bgColor rgb="FFEDE4E0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A89F9B"/>
        <bgColor rgb="FFA89F9B"/>
      </patternFill>
    </fill>
    <fill>
      <patternFill patternType="solid">
        <fgColor rgb="FFD9D9D9"/>
        <bgColor rgb="FFD9D9D9"/>
      </patternFill>
    </fill>
    <fill>
      <patternFill patternType="solid">
        <fgColor rgb="FFEADDDF"/>
        <bgColor rgb="FFEADDDF"/>
      </patternFill>
    </fill>
    <fill>
      <patternFill patternType="solid">
        <fgColor rgb="FFFDFAF1"/>
        <bgColor rgb="FFFDFAF1"/>
      </patternFill>
    </fill>
    <fill>
      <patternFill patternType="solid">
        <fgColor rgb="FF847567"/>
        <bgColor rgb="FF847567"/>
      </patternFill>
    </fill>
  </fills>
  <borders count="55">
    <border/>
    <border>
      <left style="thin">
        <color rgb="FF8D8079"/>
      </left>
      <top style="thin">
        <color rgb="FF8D8079"/>
      </top>
      <bottom style="thin">
        <color rgb="FF8D8079"/>
      </bottom>
    </border>
    <border>
      <top style="thin">
        <color rgb="FF8D8079"/>
      </top>
      <bottom style="thin">
        <color rgb="FF8D8079"/>
      </bottom>
    </border>
    <border>
      <right style="thin">
        <color rgb="FF8D8079"/>
      </right>
      <top style="thin">
        <color rgb="FF8D8079"/>
      </top>
      <bottom style="thin">
        <color rgb="FF8D807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89F9B"/>
      </left>
      <right style="thin">
        <color rgb="FFA89F9B"/>
      </right>
      <top style="thin">
        <color rgb="FFA89F9B"/>
      </top>
      <bottom style="thin">
        <color rgb="FFA89F9B"/>
      </bottom>
    </border>
    <border>
      <left style="thin">
        <color rgb="FFA89F9B"/>
      </left>
      <top style="thin">
        <color rgb="FFA89F9B"/>
      </top>
      <bottom style="thin">
        <color rgb="FFA89F9B"/>
      </bottom>
    </border>
    <border>
      <right style="thin">
        <color rgb="FFA89F9B"/>
      </right>
      <top style="thin">
        <color rgb="FFA89F9B"/>
      </top>
      <bottom style="thin">
        <color rgb="FFA89F9B"/>
      </bottom>
    </border>
    <border>
      <left style="thin">
        <color rgb="FF8D8079"/>
      </left>
      <right style="thin">
        <color rgb="FF8D8079"/>
      </right>
      <top style="thin">
        <color rgb="FF8D8079"/>
      </top>
      <bottom style="thin">
        <color rgb="FF8D8079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8D8079"/>
      </left>
      <top style="thin">
        <color rgb="FF8D8079"/>
      </top>
    </border>
    <border>
      <left style="thin">
        <color rgb="FF8D8079"/>
      </left>
      <bottom style="thin">
        <color rgb="FF8D8079"/>
      </bottom>
    </border>
    <border>
      <left style="thin">
        <color rgb="FF8D8079"/>
      </left>
      <right style="thin">
        <color rgb="FF8D8079"/>
      </right>
      <bottom style="thin">
        <color rgb="FF8D8079"/>
      </bottom>
    </border>
    <border>
      <left style="thin">
        <color rgb="FF8D8079"/>
      </left>
      <right style="thin">
        <color rgb="FF8D8079"/>
      </right>
      <top style="thin">
        <color rgb="FF8D8079"/>
      </top>
    </border>
    <border>
      <left style="thin">
        <color rgb="FF8D8079"/>
      </left>
      <right style="thin">
        <color rgb="FF847567"/>
      </right>
      <top style="thin">
        <color rgb="FF8D8079"/>
      </top>
      <bottom style="thin">
        <color rgb="FF8D8079"/>
      </bottom>
    </border>
    <border>
      <left style="thin">
        <color rgb="FF847567"/>
      </left>
      <right style="thin">
        <color rgb="FF847567"/>
      </right>
      <top style="thin">
        <color rgb="FF847567"/>
      </top>
      <bottom style="thin">
        <color rgb="FF847567"/>
      </bottom>
    </border>
    <border>
      <left style="thin">
        <color rgb="FF847567"/>
      </left>
      <top style="thin">
        <color rgb="FF847567"/>
      </top>
      <bottom style="thin">
        <color rgb="FF847567"/>
      </bottom>
    </border>
    <border>
      <right style="thin">
        <color rgb="FF847567"/>
      </right>
      <top style="thin">
        <color rgb="FF847567"/>
      </top>
      <bottom style="thin">
        <color rgb="FF847567"/>
      </bottom>
    </border>
    <border>
      <left style="thin">
        <color rgb="FF847567"/>
      </left>
      <right style="thin">
        <color rgb="FF847567"/>
      </right>
      <top style="thin">
        <color rgb="FF847567"/>
      </top>
    </border>
    <border>
      <left style="thin">
        <color rgb="FF847567"/>
      </left>
      <top style="thin">
        <color rgb="FF847567"/>
      </top>
    </border>
    <border>
      <right style="thin">
        <color rgb="FF847567"/>
      </right>
      <top style="thin">
        <color rgb="FF847567"/>
      </top>
    </border>
    <border>
      <left style="thin">
        <color rgb="FF847567"/>
      </left>
      <right style="thin">
        <color rgb="FF847567"/>
      </right>
      <bottom style="thin">
        <color rgb="FF847567"/>
      </bottom>
    </border>
    <border>
      <left style="thin">
        <color rgb="FF847567"/>
      </left>
      <bottom style="thin">
        <color rgb="FF847567"/>
      </bottom>
    </border>
    <border>
      <right style="thin">
        <color rgb="FF847567"/>
      </right>
      <bottom style="thin">
        <color rgb="FF847567"/>
      </bottom>
    </border>
    <border>
      <top style="thin">
        <color rgb="FF847567"/>
      </top>
      <bottom style="thin">
        <color rgb="FF847567"/>
      </bottom>
    </border>
    <border>
      <top style="thin">
        <color rgb="FF847567"/>
      </top>
    </border>
    <border>
      <left style="thin">
        <color rgb="FF847567"/>
      </left>
    </border>
    <border>
      <right style="thin">
        <color rgb="FF847567"/>
      </right>
    </border>
    <border>
      <bottom style="thin">
        <color rgb="FF847567"/>
      </bottom>
    </border>
    <border>
      <right style="thin">
        <color rgb="FFEDE4E0"/>
      </right>
      <top style="thin">
        <color rgb="FFA89F9B"/>
      </top>
      <bottom style="thin">
        <color rgb="FFA89F9B"/>
      </bottom>
    </border>
    <border>
      <left style="thin">
        <color rgb="FFEDE4E0"/>
      </left>
      <right style="thin">
        <color rgb="FFEDE4E0"/>
      </right>
      <top style="thin">
        <color rgb="FFA89F9B"/>
      </top>
      <bottom style="thin">
        <color rgb="FFA89F9B"/>
      </bottom>
    </border>
    <border>
      <left style="thin">
        <color rgb="FFEDE4E0"/>
      </left>
      <top style="thin">
        <color rgb="FFA89F9B"/>
      </top>
      <bottom style="thin">
        <color rgb="FFA89F9B"/>
      </bottom>
    </border>
    <border>
      <left style="medium">
        <color rgb="FFA89F9B"/>
      </left>
      <right style="thin">
        <color rgb="FFEDE4E0"/>
      </right>
      <top style="medium">
        <color rgb="FFA89F9B"/>
      </top>
      <bottom style="thin">
        <color rgb="FFA89F9B"/>
      </bottom>
    </border>
    <border>
      <left style="thin">
        <color rgb="FFEDE4E0"/>
      </left>
      <right style="medium">
        <color rgb="FFA89F9B"/>
      </right>
      <top style="medium">
        <color rgb="FFA89F9B"/>
      </top>
      <bottom style="thin">
        <color rgb="FFA89F9B"/>
      </bottom>
    </border>
    <border>
      <left style="thin">
        <color rgb="FFA89F9B"/>
      </left>
      <top style="thin">
        <color rgb="FFA89F9B"/>
      </top>
    </border>
    <border>
      <top style="thin">
        <color rgb="FFA89F9B"/>
      </top>
    </border>
    <border>
      <left style="medium">
        <color rgb="FFA89F9B"/>
      </left>
      <right style="thin">
        <color rgb="FFA89F9B"/>
      </right>
      <top style="thin">
        <color rgb="FFA89F9B"/>
      </top>
      <bottom style="thin">
        <color rgb="FFA89F9B"/>
      </bottom>
    </border>
    <border>
      <left style="thin">
        <color rgb="FFA89F9B"/>
      </left>
      <right style="medium">
        <color rgb="FFA89F9B"/>
      </right>
      <top style="thin">
        <color rgb="FFA89F9B"/>
      </top>
      <bottom style="thin">
        <color rgb="FFA89F9B"/>
      </bottom>
    </border>
    <border>
      <left style="thin">
        <color rgb="FFA89F9B"/>
      </left>
    </border>
    <border>
      <left style="thin">
        <color rgb="FFA89F9B"/>
      </left>
      <bottom style="thin">
        <color rgb="FFA89F9B"/>
      </bottom>
    </border>
    <border>
      <bottom style="thin">
        <color rgb="FFA89F9B"/>
      </bottom>
    </border>
    <border>
      <left style="thin">
        <color rgb="FFA89F9B"/>
      </left>
      <right style="thin">
        <color rgb="FFA89F9B"/>
      </right>
      <top style="thin">
        <color rgb="FFA89F9B"/>
      </top>
    </border>
    <border>
      <left style="thin">
        <color rgb="FFA89F9B"/>
      </left>
      <right style="thin">
        <color rgb="FFA89F9B"/>
      </right>
    </border>
    <border>
      <left style="thin">
        <color rgb="FFA89F9B"/>
      </left>
      <right style="thin">
        <color rgb="FFA89F9B"/>
      </right>
      <bottom style="thin">
        <color rgb="FFA89F9B"/>
      </bottom>
    </border>
    <border>
      <top style="thin">
        <color rgb="FFA89F9B"/>
      </top>
      <bottom style="thin">
        <color rgb="FFA89F9B"/>
      </bottom>
    </border>
    <border>
      <right style="thin">
        <color rgb="FFA89F9B"/>
      </right>
      <top style="thin">
        <color rgb="FFA89F9B"/>
      </top>
    </border>
    <border>
      <right style="thin">
        <color rgb="FFA89F9B"/>
      </right>
    </border>
    <border>
      <right style="thin">
        <color rgb="FFA89F9B"/>
      </right>
      <bottom style="thin">
        <color rgb="FFA89F9B"/>
      </bottom>
    </border>
    <border>
      <left style="medium">
        <color rgb="FFA89F9B"/>
      </left>
      <right style="thin">
        <color rgb="FFA89F9B"/>
      </right>
      <top style="thin">
        <color rgb="FFA89F9B"/>
      </top>
      <bottom style="medium">
        <color rgb="FFA89F9B"/>
      </bottom>
    </border>
    <border>
      <left style="thin">
        <color rgb="FFA89F9B"/>
      </left>
      <right style="medium">
        <color rgb="FFA89F9B"/>
      </right>
      <top style="thin">
        <color rgb="FFA89F9B"/>
      </top>
      <bottom style="medium">
        <color rgb="FFA89F9B"/>
      </bottom>
    </border>
    <border>
      <left style="thin">
        <color rgb="FF8D8079"/>
      </left>
      <right style="thin">
        <color rgb="FF8D8079"/>
      </right>
    </border>
    <border>
      <left style="thin">
        <color rgb="FF8D8079"/>
      </left>
      <right style="thin">
        <color rgb="FF8D8079"/>
      </right>
      <bottom style="thin">
        <color rgb="FFEADDDF"/>
      </bottom>
    </border>
    <border>
      <left style="thin">
        <color rgb="FF8D8079"/>
      </left>
      <right style="thin">
        <color rgb="FF8D8079"/>
      </right>
      <top style="thin">
        <color rgb="FF8D8079"/>
      </top>
      <bottom style="thin">
        <color rgb="FF847567"/>
      </bottom>
    </border>
  </borders>
  <cellStyleXfs count="1">
    <xf borderId="0" fillId="0" fontId="0" numFmtId="0" applyAlignment="1" applyFont="1"/>
  </cellStyleXfs>
  <cellXfs count="2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2" fontId="4" numFmtId="0" xfId="0" applyAlignment="1" applyFill="1" applyFont="1">
      <alignment readingOrder="0"/>
    </xf>
    <xf borderId="0" fillId="2" fontId="5" numFmtId="0" xfId="0" applyFont="1"/>
    <xf borderId="0" fillId="0" fontId="6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horizontal="center" readingOrder="0" vertical="center"/>
    </xf>
    <xf borderId="0" fillId="0" fontId="10" numFmtId="0" xfId="0" applyAlignment="1" applyFont="1">
      <alignment readingOrder="0" vertical="center"/>
    </xf>
    <xf borderId="0" fillId="0" fontId="11" numFmtId="0" xfId="0" applyAlignment="1" applyFont="1">
      <alignment readingOrder="0" vertical="center"/>
    </xf>
    <xf borderId="0" fillId="0" fontId="12" numFmtId="0" xfId="0" applyAlignment="1" applyFont="1">
      <alignment readingOrder="0" vertical="center"/>
    </xf>
    <xf borderId="0" fillId="0" fontId="13" numFmtId="0" xfId="0" applyAlignment="1" applyFont="1">
      <alignment readingOrder="0" vertical="center"/>
    </xf>
    <xf borderId="0" fillId="3" fontId="14" numFmtId="0" xfId="0" applyAlignment="1" applyFill="1" applyFont="1">
      <alignment horizontal="right" readingOrder="0" vertical="center"/>
    </xf>
    <xf borderId="0" fillId="0" fontId="15" numFmtId="49" xfId="0" applyAlignment="1" applyFont="1" applyNumberFormat="1">
      <alignment horizontal="left" readingOrder="0" shrinkToFit="0" vertical="center" wrapText="0"/>
    </xf>
    <xf borderId="0" fillId="0" fontId="16" numFmtId="0" xfId="0" applyAlignment="1" applyFont="1">
      <alignment horizontal="center" readingOrder="0"/>
    </xf>
    <xf borderId="0" fillId="0" fontId="17" numFmtId="0" xfId="0" applyAlignment="1" applyFont="1">
      <alignment readingOrder="0"/>
    </xf>
    <xf borderId="0" fillId="0" fontId="18" numFmtId="0" xfId="0" applyAlignment="1" applyFont="1">
      <alignment readingOrder="0" vertical="center"/>
    </xf>
    <xf borderId="0" fillId="0" fontId="19" numFmtId="0" xfId="0" applyAlignment="1" applyFont="1">
      <alignment readingOrder="0" vertical="center"/>
    </xf>
    <xf borderId="0" fillId="4" fontId="20" numFmtId="164" xfId="0" applyAlignment="1" applyFill="1" applyFont="1" applyNumberFormat="1">
      <alignment horizontal="center" readingOrder="0" vertical="center"/>
    </xf>
    <xf borderId="0" fillId="5" fontId="21" numFmtId="0" xfId="0" applyAlignment="1" applyFill="1" applyFont="1">
      <alignment readingOrder="0" vertical="center"/>
    </xf>
    <xf borderId="0" fillId="0" fontId="22" numFmtId="0" xfId="0" applyAlignment="1" applyFont="1">
      <alignment readingOrder="0" vertical="center"/>
    </xf>
    <xf borderId="0" fillId="0" fontId="23" numFmtId="0" xfId="0" applyFont="1"/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 vertical="center"/>
    </xf>
    <xf borderId="0" fillId="0" fontId="25" numFmtId="0" xfId="0" applyAlignment="1" applyFont="1">
      <alignment readingOrder="0" vertical="center"/>
    </xf>
    <xf borderId="1" fillId="6" fontId="21" numFmtId="0" xfId="0" applyAlignment="1" applyBorder="1" applyFill="1" applyFont="1">
      <alignment readingOrder="0" vertical="center"/>
    </xf>
    <xf borderId="2" fillId="0" fontId="26" numFmtId="0" xfId="0" applyBorder="1" applyFont="1"/>
    <xf borderId="3" fillId="0" fontId="26" numFmtId="0" xfId="0" applyBorder="1" applyFont="1"/>
    <xf borderId="0" fillId="0" fontId="23" numFmtId="0" xfId="0" applyAlignment="1" applyFont="1">
      <alignment vertical="center"/>
    </xf>
    <xf borderId="4" fillId="4" fontId="27" numFmtId="0" xfId="0" applyAlignment="1" applyBorder="1" applyFont="1">
      <alignment horizontal="center" readingOrder="0" vertical="center"/>
    </xf>
    <xf borderId="4" fillId="4" fontId="28" numFmtId="0" xfId="0" applyAlignment="1" applyBorder="1" applyFont="1">
      <alignment horizontal="center" readingOrder="0" vertical="center"/>
    </xf>
    <xf borderId="4" fillId="4" fontId="29" numFmtId="0" xfId="0" applyAlignment="1" applyBorder="1" applyFont="1">
      <alignment horizontal="center" readingOrder="0" vertical="center"/>
    </xf>
    <xf borderId="5" fillId="5" fontId="30" numFmtId="0" xfId="0" applyAlignment="1" applyBorder="1" applyFont="1">
      <alignment horizontal="center" vertical="center"/>
    </xf>
    <xf borderId="5" fillId="5" fontId="30" numFmtId="0" xfId="0" applyAlignment="1" applyBorder="1" applyFont="1">
      <alignment horizontal="center" readingOrder="0" vertical="center"/>
    </xf>
    <xf borderId="6" fillId="5" fontId="30" numFmtId="0" xfId="0" applyAlignment="1" applyBorder="1" applyFont="1">
      <alignment horizontal="center" readingOrder="0" vertical="center"/>
    </xf>
    <xf borderId="7" fillId="0" fontId="26" numFmtId="0" xfId="0" applyBorder="1" applyFont="1"/>
    <xf borderId="0" fillId="0" fontId="31" numFmtId="49" xfId="0" applyAlignment="1" applyFont="1" applyNumberFormat="1">
      <alignment horizontal="left" readingOrder="0" shrinkToFit="0" vertical="center" wrapText="0"/>
    </xf>
    <xf borderId="8" fillId="7" fontId="32" numFmtId="49" xfId="0" applyAlignment="1" applyBorder="1" applyFill="1" applyFont="1" applyNumberFormat="1">
      <alignment horizontal="left" readingOrder="0" shrinkToFit="0" vertical="center" wrapText="0"/>
    </xf>
    <xf borderId="8" fillId="7" fontId="33" numFmtId="49" xfId="0" applyAlignment="1" applyBorder="1" applyFont="1" applyNumberFormat="1">
      <alignment vertical="center"/>
    </xf>
    <xf borderId="9" fillId="8" fontId="34" numFmtId="165" xfId="0" applyAlignment="1" applyBorder="1" applyFill="1" applyFont="1" applyNumberFormat="1">
      <alignment horizontal="right"/>
    </xf>
    <xf borderId="9" fillId="8" fontId="28" numFmtId="165" xfId="0" applyAlignment="1" applyBorder="1" applyFont="1" applyNumberFormat="1">
      <alignment horizontal="right"/>
    </xf>
    <xf borderId="9" fillId="8" fontId="29" numFmtId="165" xfId="0" applyAlignment="1" applyBorder="1" applyFont="1" applyNumberFormat="1">
      <alignment horizontal="right"/>
    </xf>
    <xf borderId="5" fillId="9" fontId="35" numFmtId="166" xfId="0" applyAlignment="1" applyBorder="1" applyFill="1" applyFont="1" applyNumberFormat="1">
      <alignment horizontal="left" readingOrder="0" vertical="center"/>
    </xf>
    <xf borderId="5" fillId="0" fontId="35" numFmtId="0" xfId="0" applyAlignment="1" applyBorder="1" applyFont="1">
      <alignment readingOrder="0" vertical="center"/>
    </xf>
    <xf borderId="5" fillId="0" fontId="35" numFmtId="167" xfId="0" applyAlignment="1" applyBorder="1" applyFont="1" applyNumberFormat="1">
      <alignment readingOrder="0" vertical="center"/>
    </xf>
    <xf borderId="5" fillId="0" fontId="35" numFmtId="0" xfId="0" applyAlignment="1" applyBorder="1" applyFont="1">
      <alignment horizontal="left" readingOrder="0" vertical="center"/>
    </xf>
    <xf borderId="6" fillId="9" fontId="35" numFmtId="167" xfId="0" applyAlignment="1" applyBorder="1" applyFont="1" applyNumberFormat="1">
      <alignment horizontal="left" readingOrder="0" vertical="center"/>
    </xf>
    <xf borderId="5" fillId="9" fontId="35" numFmtId="167" xfId="0" applyAlignment="1" applyBorder="1" applyFont="1" applyNumberFormat="1">
      <alignment horizontal="right" readingOrder="0" vertical="center"/>
    </xf>
    <xf borderId="5" fillId="9" fontId="36" numFmtId="167" xfId="0" applyAlignment="1" applyBorder="1" applyFont="1" applyNumberFormat="1">
      <alignment horizontal="center" readingOrder="0" vertical="center"/>
    </xf>
    <xf borderId="0" fillId="0" fontId="17" numFmtId="0" xfId="0" applyAlignment="1" applyFont="1">
      <alignment readingOrder="0" vertical="center"/>
    </xf>
    <xf borderId="8" fillId="0" fontId="17" numFmtId="0" xfId="0" applyAlignment="1" applyBorder="1" applyFont="1">
      <alignment readingOrder="0" vertical="center"/>
    </xf>
    <xf borderId="5" fillId="0" fontId="17" numFmtId="167" xfId="0" applyAlignment="1" applyBorder="1" applyFont="1" applyNumberFormat="1">
      <alignment readingOrder="0" vertical="center"/>
    </xf>
    <xf borderId="8" fillId="0" fontId="17" numFmtId="167" xfId="0" applyAlignment="1" applyBorder="1" applyFont="1" applyNumberFormat="1">
      <alignment readingOrder="0" vertical="center"/>
    </xf>
    <xf borderId="0" fillId="0" fontId="17" numFmtId="0" xfId="0" applyAlignment="1" applyFont="1">
      <alignment vertical="center"/>
    </xf>
    <xf borderId="8" fillId="0" fontId="17" numFmtId="0" xfId="0" applyAlignment="1" applyBorder="1" applyFont="1">
      <alignment readingOrder="0" vertical="center"/>
    </xf>
    <xf borderId="8" fillId="0" fontId="17" numFmtId="167" xfId="0" applyAlignment="1" applyBorder="1" applyFont="1" applyNumberFormat="1">
      <alignment readingOrder="0" vertical="center"/>
    </xf>
    <xf borderId="10" fillId="8" fontId="37" numFmtId="168" xfId="0" applyAlignment="1" applyBorder="1" applyFont="1" applyNumberFormat="1">
      <alignment horizontal="right"/>
    </xf>
    <xf borderId="11" fillId="8" fontId="34" numFmtId="165" xfId="0" applyAlignment="1" applyBorder="1" applyFont="1" applyNumberFormat="1">
      <alignment horizontal="right"/>
    </xf>
    <xf borderId="11" fillId="8" fontId="28" numFmtId="165" xfId="0" applyAlignment="1" applyBorder="1" applyFont="1" applyNumberFormat="1">
      <alignment horizontal="right"/>
    </xf>
    <xf borderId="11" fillId="8" fontId="29" numFmtId="165" xfId="0" applyAlignment="1" applyBorder="1" applyFont="1" applyNumberFormat="1">
      <alignment horizontal="right"/>
    </xf>
    <xf borderId="0" fillId="0" fontId="17" numFmtId="0" xfId="0" applyAlignment="1" applyFont="1">
      <alignment vertical="center"/>
    </xf>
    <xf borderId="8" fillId="0" fontId="17" numFmtId="0" xfId="0" applyAlignment="1" applyBorder="1" applyFont="1">
      <alignment vertical="center"/>
    </xf>
    <xf borderId="8" fillId="0" fontId="17" numFmtId="167" xfId="0" applyAlignment="1" applyBorder="1" applyFont="1" applyNumberFormat="1">
      <alignment vertical="center"/>
    </xf>
    <xf borderId="8" fillId="0" fontId="17" numFmtId="167" xfId="0" applyAlignment="1" applyBorder="1" applyFont="1" applyNumberFormat="1">
      <alignment vertical="center"/>
    </xf>
    <xf borderId="8" fillId="0" fontId="17" numFmtId="0" xfId="0" applyAlignment="1" applyBorder="1" applyFont="1">
      <alignment vertical="center"/>
    </xf>
    <xf borderId="0" fillId="0" fontId="32" numFmtId="49" xfId="0" applyAlignment="1" applyFont="1" applyNumberFormat="1">
      <alignment horizontal="left" readingOrder="0" shrinkToFit="0" vertical="center" wrapText="0"/>
    </xf>
    <xf borderId="8" fillId="8" fontId="32" numFmtId="49" xfId="0" applyAlignment="1" applyBorder="1" applyFont="1" applyNumberFormat="1">
      <alignment horizontal="left" readingOrder="0" shrinkToFit="0" vertical="center" wrapText="0"/>
    </xf>
    <xf borderId="8" fillId="8" fontId="38" numFmtId="167" xfId="0" applyBorder="1" applyFont="1" applyNumberFormat="1"/>
    <xf borderId="8" fillId="8" fontId="33" numFmtId="167" xfId="0" applyAlignment="1" applyBorder="1" applyFont="1" applyNumberFormat="1">
      <alignment readingOrder="0" vertical="center"/>
    </xf>
    <xf borderId="0" fillId="6" fontId="21" numFmtId="0" xfId="0" applyAlignment="1" applyFont="1">
      <alignment readingOrder="0" vertical="center"/>
    </xf>
    <xf borderId="0" fillId="4" fontId="21" numFmtId="0" xfId="0" applyAlignment="1" applyFont="1">
      <alignment readingOrder="0" vertical="center"/>
    </xf>
    <xf borderId="0" fillId="0" fontId="35" numFmtId="0" xfId="0" applyAlignment="1" applyFont="1">
      <alignment readingOrder="0" vertical="center"/>
    </xf>
    <xf borderId="0" fillId="0" fontId="35" numFmtId="0" xfId="0" applyAlignment="1" applyFont="1">
      <alignment vertical="center"/>
    </xf>
    <xf borderId="0" fillId="0" fontId="30" numFmtId="0" xfId="0" applyAlignment="1" applyFont="1">
      <alignment horizontal="center"/>
    </xf>
    <xf borderId="0" fillId="0" fontId="30" numFmtId="0" xfId="0" applyAlignment="1" applyFont="1">
      <alignment horizontal="center" readingOrder="0"/>
    </xf>
    <xf borderId="12" fillId="7" fontId="33" numFmtId="0" xfId="0" applyAlignment="1" applyBorder="1" applyFont="1">
      <alignment horizontal="center" readingOrder="0" vertical="center"/>
    </xf>
    <xf borderId="1" fillId="7" fontId="33" numFmtId="0" xfId="0" applyAlignment="1" applyBorder="1" applyFont="1">
      <alignment horizontal="center" readingOrder="0" vertical="center"/>
    </xf>
    <xf borderId="2" fillId="7" fontId="33" numFmtId="0" xfId="0" applyAlignment="1" applyBorder="1" applyFont="1">
      <alignment horizontal="center" readingOrder="0" vertical="center"/>
    </xf>
    <xf borderId="3" fillId="7" fontId="33" numFmtId="0" xfId="0" applyAlignment="1" applyBorder="1" applyFont="1">
      <alignment horizontal="center" readingOrder="0" vertical="center"/>
    </xf>
    <xf borderId="8" fillId="8" fontId="17" numFmtId="167" xfId="0" applyAlignment="1" applyBorder="1" applyFont="1" applyNumberFormat="1">
      <alignment readingOrder="0" vertical="center"/>
    </xf>
    <xf borderId="13" fillId="0" fontId="26" numFmtId="0" xfId="0" applyBorder="1" applyFont="1"/>
    <xf borderId="14" fillId="7" fontId="33" numFmtId="0" xfId="0" applyAlignment="1" applyBorder="1" applyFont="1">
      <alignment horizontal="center" readingOrder="0" vertical="center"/>
    </xf>
    <xf borderId="8" fillId="7" fontId="33" numFmtId="0" xfId="0" applyAlignment="1" applyBorder="1" applyFont="1">
      <alignment horizontal="center" readingOrder="0" vertical="center"/>
    </xf>
    <xf borderId="8" fillId="0" fontId="17" numFmtId="167" xfId="0" applyAlignment="1" applyBorder="1" applyFont="1" applyNumberFormat="1">
      <alignment horizontal="right" readingOrder="0" vertical="center"/>
    </xf>
    <xf borderId="8" fillId="8" fontId="17" numFmtId="167" xfId="0" applyAlignment="1" applyBorder="1" applyFont="1" applyNumberFormat="1">
      <alignment horizontal="right" readingOrder="0" vertical="center"/>
    </xf>
    <xf borderId="8" fillId="8" fontId="17" numFmtId="167" xfId="0" applyAlignment="1" applyBorder="1" applyFont="1" applyNumberFormat="1">
      <alignment horizontal="left" readingOrder="0" vertical="center"/>
    </xf>
    <xf borderId="0" fillId="0" fontId="17" numFmtId="166" xfId="0" applyAlignment="1" applyFont="1" applyNumberFormat="1">
      <alignment horizontal="left" readingOrder="0" vertical="center"/>
    </xf>
    <xf borderId="0" fillId="0" fontId="17" numFmtId="0" xfId="0" applyAlignment="1" applyFont="1">
      <alignment readingOrder="0" vertical="center"/>
    </xf>
    <xf borderId="0" fillId="0" fontId="30" numFmtId="0" xfId="0" applyAlignment="1" applyFont="1">
      <alignment horizontal="center" readingOrder="0" vertical="center"/>
    </xf>
    <xf borderId="0" fillId="0" fontId="17" numFmtId="167" xfId="0" applyAlignment="1" applyFont="1" applyNumberFormat="1">
      <alignment horizontal="right" readingOrder="0" vertical="center"/>
    </xf>
    <xf borderId="0" fillId="0" fontId="23" numFmtId="167" xfId="0" applyAlignment="1" applyFont="1" applyNumberFormat="1">
      <alignment horizontal="center" readingOrder="0" vertical="center"/>
    </xf>
    <xf borderId="15" fillId="7" fontId="33" numFmtId="0" xfId="0" applyAlignment="1" applyBorder="1" applyFont="1">
      <alignment horizontal="center" readingOrder="0" vertical="center"/>
    </xf>
    <xf borderId="14" fillId="0" fontId="26" numFmtId="0" xfId="0" applyBorder="1" applyFont="1"/>
    <xf borderId="5" fillId="0" fontId="35" numFmtId="0" xfId="0" applyAlignment="1" applyBorder="1" applyFont="1">
      <alignment vertical="center"/>
    </xf>
    <xf borderId="8" fillId="8" fontId="33" numFmtId="0" xfId="0" applyAlignment="1" applyBorder="1" applyFont="1">
      <alignment readingOrder="0" vertical="center"/>
    </xf>
    <xf borderId="1" fillId="10" fontId="21" numFmtId="0" xfId="0" applyAlignment="1" applyBorder="1" applyFill="1" applyFont="1">
      <alignment readingOrder="0" vertical="center"/>
    </xf>
    <xf borderId="16" fillId="6" fontId="39" numFmtId="0" xfId="0" applyAlignment="1" applyBorder="1" applyFont="1">
      <alignment readingOrder="0" vertical="center"/>
    </xf>
    <xf borderId="0" fillId="0" fontId="39" numFmtId="0" xfId="0" applyAlignment="1" applyFont="1">
      <alignment readingOrder="0" vertical="center"/>
    </xf>
    <xf borderId="1" fillId="0" fontId="17" numFmtId="0" xfId="0" applyAlignment="1" applyBorder="1" applyFont="1">
      <alignment readingOrder="0" vertical="center"/>
    </xf>
    <xf borderId="16" fillId="8" fontId="17" numFmtId="167" xfId="0" applyAlignment="1" applyBorder="1" applyFont="1" applyNumberFormat="1">
      <alignment readingOrder="0" vertical="center"/>
    </xf>
    <xf borderId="0" fillId="0" fontId="17" numFmtId="0" xfId="0" applyAlignment="1" applyFont="1">
      <alignment horizontal="center" readingOrder="0" vertical="center"/>
    </xf>
    <xf borderId="0" fillId="0" fontId="17" numFmtId="169" xfId="0" applyAlignment="1" applyFont="1" applyNumberFormat="1">
      <alignment readingOrder="0" vertical="center"/>
    </xf>
    <xf borderId="0" fillId="0" fontId="17" numFmtId="0" xfId="0" applyFont="1"/>
    <xf borderId="0" fillId="0" fontId="17" numFmtId="169" xfId="0" applyAlignment="1" applyFont="1" applyNumberFormat="1">
      <alignment horizontal="right" readingOrder="0" vertical="center"/>
    </xf>
    <xf borderId="0" fillId="0" fontId="17" numFmtId="3" xfId="0" applyAlignment="1" applyFont="1" applyNumberFormat="1">
      <alignment readingOrder="0" vertical="center"/>
    </xf>
    <xf borderId="8" fillId="0" fontId="38" numFmtId="0" xfId="0" applyAlignment="1" applyBorder="1" applyFont="1">
      <alignment vertical="center"/>
    </xf>
    <xf borderId="8" fillId="0" fontId="38" numFmtId="167" xfId="0" applyAlignment="1" applyBorder="1" applyFont="1" applyNumberFormat="1">
      <alignment vertical="center"/>
    </xf>
    <xf borderId="17" fillId="6" fontId="21" numFmtId="0" xfId="0" applyAlignment="1" applyBorder="1" applyFont="1">
      <alignment readingOrder="0" vertical="center"/>
    </xf>
    <xf borderId="18" fillId="6" fontId="21" numFmtId="0" xfId="0" applyAlignment="1" applyBorder="1" applyFont="1">
      <alignment readingOrder="0" vertical="center"/>
    </xf>
    <xf borderId="19" fillId="0" fontId="26" numFmtId="0" xfId="0" applyBorder="1" applyFont="1"/>
    <xf borderId="8" fillId="0" fontId="38" numFmtId="49" xfId="0" applyAlignment="1" applyBorder="1" applyFont="1" applyNumberFormat="1">
      <alignment vertical="center"/>
    </xf>
    <xf borderId="20" fillId="8" fontId="40" numFmtId="169" xfId="0" applyAlignment="1" applyBorder="1" applyFont="1" applyNumberFormat="1">
      <alignment horizontal="center" vertical="center"/>
    </xf>
    <xf borderId="21" fillId="8" fontId="40" numFmtId="169" xfId="0" applyAlignment="1" applyBorder="1" applyFont="1" applyNumberFormat="1">
      <alignment horizontal="center" vertical="center"/>
    </xf>
    <xf borderId="22" fillId="0" fontId="26" numFmtId="0" xfId="0" applyBorder="1" applyFont="1"/>
    <xf borderId="8" fillId="8" fontId="33" numFmtId="49" xfId="0" applyAlignment="1" applyBorder="1" applyFont="1" applyNumberFormat="1">
      <alignment vertical="center"/>
    </xf>
    <xf borderId="8" fillId="8" fontId="33" numFmtId="167" xfId="0" applyAlignment="1" applyBorder="1" applyFont="1" applyNumberFormat="1">
      <alignment horizontal="right" vertical="center"/>
    </xf>
    <xf borderId="23" fillId="0" fontId="26" numFmtId="0" xfId="0" applyBorder="1" applyFont="1"/>
    <xf borderId="24" fillId="0" fontId="26" numFmtId="0" xfId="0" applyBorder="1" applyFont="1"/>
    <xf borderId="25" fillId="0" fontId="26" numFmtId="0" xfId="0" applyBorder="1" applyFont="1"/>
    <xf borderId="0" fillId="0" fontId="38" numFmtId="167" xfId="0" applyAlignment="1" applyFont="1" applyNumberFormat="1">
      <alignment vertical="top"/>
    </xf>
    <xf borderId="0" fillId="0" fontId="41" numFmtId="49" xfId="0" applyAlignment="1" applyFont="1" applyNumberFormat="1">
      <alignment vertical="top"/>
    </xf>
    <xf borderId="0" fillId="0" fontId="42" numFmtId="0" xfId="0" applyAlignment="1" applyFont="1">
      <alignment readingOrder="0" vertical="top"/>
    </xf>
    <xf borderId="26" fillId="0" fontId="26" numFmtId="0" xfId="0" applyBorder="1" applyFont="1"/>
    <xf borderId="21" fillId="0" fontId="17" numFmtId="0" xfId="0" applyAlignment="1" applyBorder="1" applyFont="1">
      <alignment readingOrder="0" vertical="top"/>
    </xf>
    <xf borderId="27" fillId="0" fontId="26" numFmtId="0" xfId="0" applyBorder="1" applyFont="1"/>
    <xf borderId="28" fillId="0" fontId="26" numFmtId="0" xfId="0" applyBorder="1" applyFont="1"/>
    <xf borderId="29" fillId="0" fontId="26" numFmtId="0" xfId="0" applyBorder="1" applyFont="1"/>
    <xf borderId="30" fillId="0" fontId="26" numFmtId="0" xfId="0" applyBorder="1" applyFont="1"/>
    <xf borderId="0" fillId="0" fontId="42" numFmtId="0" xfId="0" applyAlignment="1" applyFont="1">
      <alignment readingOrder="0"/>
    </xf>
    <xf borderId="0" fillId="0" fontId="17" numFmtId="166" xfId="0" applyAlignment="1" applyFont="1" applyNumberFormat="1">
      <alignment horizontal="left" readingOrder="0"/>
    </xf>
    <xf borderId="0" fillId="0" fontId="17" numFmtId="167" xfId="0" applyAlignment="1" applyFont="1" applyNumberFormat="1">
      <alignment horizontal="right" readingOrder="0"/>
    </xf>
    <xf borderId="0" fillId="9" fontId="17" numFmtId="166" xfId="0" applyAlignment="1" applyFont="1" applyNumberFormat="1">
      <alignment horizontal="left" readingOrder="0"/>
    </xf>
    <xf borderId="0" fillId="11" fontId="43" numFmtId="10" xfId="0" applyAlignment="1" applyFill="1" applyFont="1" applyNumberFormat="1">
      <alignment readingOrder="0" vertical="center"/>
    </xf>
    <xf borderId="0" fillId="9" fontId="35" numFmtId="166" xfId="0" applyAlignment="1" applyFont="1" applyNumberFormat="1">
      <alignment horizontal="left" readingOrder="0"/>
    </xf>
    <xf borderId="5" fillId="9" fontId="17" numFmtId="166" xfId="0" applyAlignment="1" applyBorder="1" applyFont="1" applyNumberFormat="1">
      <alignment horizontal="left" readingOrder="0" vertical="center"/>
    </xf>
    <xf borderId="5" fillId="0" fontId="17" numFmtId="0" xfId="0" applyAlignment="1" applyBorder="1" applyFont="1">
      <alignment readingOrder="0" vertical="center"/>
    </xf>
    <xf borderId="6" fillId="9" fontId="17" numFmtId="167" xfId="0" applyAlignment="1" applyBorder="1" applyFont="1" applyNumberFormat="1">
      <alignment horizontal="left" readingOrder="0" vertical="center"/>
    </xf>
    <xf borderId="5" fillId="9" fontId="17" numFmtId="167" xfId="0" applyAlignment="1" applyBorder="1" applyFont="1" applyNumberFormat="1">
      <alignment horizontal="right" readingOrder="0" vertical="center"/>
    </xf>
    <xf borderId="5" fillId="9" fontId="23" numFmtId="167" xfId="0" applyAlignment="1" applyBorder="1" applyFont="1" applyNumberFormat="1">
      <alignment horizontal="center" readingOrder="0" vertical="center"/>
    </xf>
    <xf borderId="5" fillId="0" fontId="17" numFmtId="0" xfId="0" applyAlignment="1" applyBorder="1" applyFont="1">
      <alignment vertical="center"/>
    </xf>
    <xf borderId="0" fillId="0" fontId="14" numFmtId="0" xfId="0" applyAlignment="1" applyFont="1">
      <alignment horizontal="right" readingOrder="0" vertical="center"/>
    </xf>
    <xf borderId="0" fillId="0" fontId="24" numFmtId="0" xfId="0" applyAlignment="1" applyFont="1">
      <alignment readingOrder="0" vertical="center"/>
    </xf>
    <xf borderId="6" fillId="6" fontId="39" numFmtId="0" xfId="0" applyAlignment="1" applyBorder="1" applyFont="1">
      <alignment horizontal="center" readingOrder="0" vertical="center"/>
    </xf>
    <xf borderId="31" fillId="0" fontId="26" numFmtId="0" xfId="0" applyBorder="1" applyFont="1"/>
    <xf borderId="32" fillId="6" fontId="39" numFmtId="0" xfId="0" applyAlignment="1" applyBorder="1" applyFont="1">
      <alignment horizontal="center" readingOrder="0" vertical="center"/>
    </xf>
    <xf borderId="32" fillId="6" fontId="39" numFmtId="0" xfId="0" applyAlignment="1" applyBorder="1" applyFont="1">
      <alignment horizontal="center" readingOrder="0" vertical="center"/>
    </xf>
    <xf borderId="33" fillId="6" fontId="39" numFmtId="0" xfId="0" applyAlignment="1" applyBorder="1" applyFont="1">
      <alignment horizontal="center" readingOrder="0" vertical="center"/>
    </xf>
    <xf borderId="34" fillId="6" fontId="39" numFmtId="0" xfId="0" applyAlignment="1" applyBorder="1" applyFont="1">
      <alignment horizontal="center" readingOrder="0" vertical="center"/>
    </xf>
    <xf borderId="35" fillId="6" fontId="39" numFmtId="0" xfId="0" applyAlignment="1" applyBorder="1" applyFont="1">
      <alignment horizontal="center" readingOrder="0" vertical="center"/>
    </xf>
    <xf borderId="0" fillId="0" fontId="39" numFmtId="0" xfId="0" applyAlignment="1" applyFont="1">
      <alignment horizontal="center" readingOrder="0" vertical="center"/>
    </xf>
    <xf borderId="0" fillId="0" fontId="39" numFmtId="170" xfId="0" applyAlignment="1" applyFont="1" applyNumberFormat="1">
      <alignment horizontal="center" readingOrder="0" vertical="center"/>
    </xf>
    <xf borderId="0" fillId="0" fontId="44" numFmtId="0" xfId="0" applyAlignment="1" applyFont="1">
      <alignment readingOrder="0" vertical="center"/>
    </xf>
    <xf borderId="36" fillId="6" fontId="39" numFmtId="3" xfId="0" applyAlignment="1" applyBorder="1" applyFont="1" applyNumberFormat="1">
      <alignment readingOrder="0" textRotation="255" vertical="center"/>
    </xf>
    <xf borderId="37" fillId="0" fontId="26" numFmtId="0" xfId="0" applyBorder="1" applyFont="1"/>
    <xf borderId="5" fillId="0" fontId="35" numFmtId="49" xfId="0" applyAlignment="1" applyBorder="1" applyFont="1" applyNumberFormat="1">
      <alignment horizontal="left" readingOrder="0" vertical="center"/>
    </xf>
    <xf borderId="5" fillId="0" fontId="35" numFmtId="49" xfId="0" applyAlignment="1" applyBorder="1" applyFont="1" applyNumberFormat="1">
      <alignment readingOrder="0" vertical="center"/>
    </xf>
    <xf borderId="5" fillId="8" fontId="17" numFmtId="167" xfId="0" applyAlignment="1" applyBorder="1" applyFont="1" applyNumberFormat="1">
      <alignment readingOrder="0" vertical="center"/>
    </xf>
    <xf borderId="6" fillId="8" fontId="17" numFmtId="167" xfId="0" applyAlignment="1" applyBorder="1" applyFont="1" applyNumberFormat="1">
      <alignment readingOrder="0" vertical="center"/>
    </xf>
    <xf borderId="38" fillId="8" fontId="17" numFmtId="167" xfId="0" applyAlignment="1" applyBorder="1" applyFont="1" applyNumberFormat="1">
      <alignment readingOrder="0" vertical="center"/>
    </xf>
    <xf borderId="39" fillId="8" fontId="17" numFmtId="167" xfId="0" applyAlignment="1" applyBorder="1" applyFont="1" applyNumberFormat="1">
      <alignment readingOrder="0" vertical="center"/>
    </xf>
    <xf borderId="0" fillId="0" fontId="17" numFmtId="167" xfId="0" applyAlignment="1" applyFont="1" applyNumberFormat="1">
      <alignment readingOrder="0" vertical="center"/>
    </xf>
    <xf borderId="0" fillId="0" fontId="33" numFmtId="3" xfId="0" applyAlignment="1" applyFont="1" applyNumberFormat="1">
      <alignment readingOrder="0" vertical="center"/>
    </xf>
    <xf borderId="0" fillId="0" fontId="33" numFmtId="0" xfId="0" applyAlignment="1" applyFont="1">
      <alignment readingOrder="0" vertical="center"/>
    </xf>
    <xf borderId="40" fillId="0" fontId="26" numFmtId="0" xfId="0" applyBorder="1" applyFont="1"/>
    <xf borderId="41" fillId="0" fontId="26" numFmtId="0" xfId="0" applyBorder="1" applyFont="1"/>
    <xf borderId="42" fillId="0" fontId="26" numFmtId="0" xfId="0" applyBorder="1" applyFont="1"/>
    <xf borderId="6" fillId="6" fontId="39" numFmtId="3" xfId="0" applyAlignment="1" applyBorder="1" applyFont="1" applyNumberFormat="1">
      <alignment readingOrder="0" vertical="center"/>
    </xf>
    <xf borderId="7" fillId="6" fontId="39" numFmtId="3" xfId="0" applyAlignment="1" applyBorder="1" applyFont="1" applyNumberFormat="1">
      <alignment readingOrder="0" vertical="center"/>
    </xf>
    <xf borderId="5" fillId="6" fontId="30" numFmtId="167" xfId="0" applyAlignment="1" applyBorder="1" applyFont="1" applyNumberFormat="1">
      <alignment readingOrder="0" vertical="center"/>
    </xf>
    <xf borderId="6" fillId="6" fontId="30" numFmtId="167" xfId="0" applyAlignment="1" applyBorder="1" applyFont="1" applyNumberFormat="1">
      <alignment readingOrder="0" vertical="center"/>
    </xf>
    <xf borderId="38" fillId="6" fontId="30" numFmtId="167" xfId="0" applyAlignment="1" applyBorder="1" applyFont="1" applyNumberFormat="1">
      <alignment readingOrder="0" vertical="center"/>
    </xf>
    <xf borderId="39" fillId="6" fontId="30" numFmtId="167" xfId="0" applyAlignment="1" applyBorder="1" applyFont="1" applyNumberFormat="1">
      <alignment readingOrder="0" vertical="center"/>
    </xf>
    <xf borderId="0" fillId="0" fontId="30" numFmtId="167" xfId="0" applyAlignment="1" applyFont="1" applyNumberFormat="1">
      <alignment readingOrder="0" vertical="center"/>
    </xf>
    <xf borderId="43" fillId="6" fontId="39" numFmtId="3" xfId="0" applyAlignment="1" applyBorder="1" applyFont="1" applyNumberFormat="1">
      <alignment readingOrder="0" textRotation="255" vertical="center"/>
    </xf>
    <xf borderId="43" fillId="7" fontId="32" numFmtId="3" xfId="0" applyAlignment="1" applyBorder="1" applyFont="1" applyNumberFormat="1">
      <alignment readingOrder="0" textRotation="255" vertical="center"/>
    </xf>
    <xf borderId="44" fillId="0" fontId="26" numFmtId="0" xfId="0" applyBorder="1" applyFont="1"/>
    <xf borderId="45" fillId="0" fontId="26" numFmtId="0" xfId="0" applyBorder="1" applyFont="1"/>
    <xf borderId="6" fillId="7" fontId="32" numFmtId="49" xfId="0" applyAlignment="1" applyBorder="1" applyFont="1" applyNumberFormat="1">
      <alignment readingOrder="0" vertical="center"/>
    </xf>
    <xf borderId="5" fillId="7" fontId="17" numFmtId="167" xfId="0" applyAlignment="1" applyBorder="1" applyFont="1" applyNumberFormat="1">
      <alignment readingOrder="0" vertical="center"/>
    </xf>
    <xf borderId="6" fillId="7" fontId="17" numFmtId="167" xfId="0" applyAlignment="1" applyBorder="1" applyFont="1" applyNumberFormat="1">
      <alignment readingOrder="0" vertical="center"/>
    </xf>
    <xf borderId="38" fillId="7" fontId="17" numFmtId="167" xfId="0" applyAlignment="1" applyBorder="1" applyFont="1" applyNumberFormat="1">
      <alignment readingOrder="0" vertical="center"/>
    </xf>
    <xf borderId="39" fillId="7" fontId="17" numFmtId="167" xfId="0" applyAlignment="1" applyBorder="1" applyFont="1" applyNumberFormat="1">
      <alignment readingOrder="0" vertical="center"/>
    </xf>
    <xf borderId="46" fillId="0" fontId="26" numFmtId="0" xfId="0" applyBorder="1" applyFont="1"/>
    <xf borderId="5" fillId="6" fontId="45" numFmtId="49" xfId="0" applyAlignment="1" applyBorder="1" applyFont="1" applyNumberFormat="1">
      <alignment readingOrder="0" vertical="center"/>
    </xf>
    <xf borderId="5" fillId="6" fontId="30" numFmtId="169" xfId="0" applyAlignment="1" applyBorder="1" applyFont="1" applyNumberFormat="1">
      <alignment readingOrder="0" vertical="center"/>
    </xf>
    <xf borderId="38" fillId="6" fontId="30" numFmtId="169" xfId="0" applyAlignment="1" applyBorder="1" applyFont="1" applyNumberFormat="1">
      <alignment readingOrder="0" vertical="center"/>
    </xf>
    <xf borderId="39" fillId="6" fontId="30" numFmtId="169" xfId="0" applyAlignment="1" applyBorder="1" applyFont="1" applyNumberFormat="1">
      <alignment readingOrder="0" vertical="center"/>
    </xf>
    <xf borderId="0" fillId="0" fontId="17" numFmtId="169" xfId="0" applyAlignment="1" applyFont="1" applyNumberFormat="1">
      <alignment readingOrder="0" vertical="center"/>
    </xf>
    <xf borderId="5" fillId="0" fontId="17" numFmtId="3" xfId="0" applyAlignment="1" applyBorder="1" applyFont="1" applyNumberFormat="1">
      <alignment readingOrder="0" vertical="center"/>
    </xf>
    <xf borderId="6" fillId="6" fontId="39" numFmtId="49" xfId="0" applyAlignment="1" applyBorder="1" applyFont="1" applyNumberFormat="1">
      <alignment readingOrder="0" vertical="center"/>
    </xf>
    <xf borderId="47" fillId="0" fontId="26" numFmtId="0" xfId="0" applyBorder="1" applyFont="1"/>
    <xf borderId="6" fillId="0" fontId="35" numFmtId="49" xfId="0" applyAlignment="1" applyBorder="1" applyFont="1" applyNumberFormat="1">
      <alignment readingOrder="0"/>
    </xf>
    <xf borderId="5" fillId="0" fontId="35" numFmtId="49" xfId="0" applyAlignment="1" applyBorder="1" applyFont="1" applyNumberFormat="1">
      <alignment vertical="center"/>
    </xf>
    <xf borderId="48" fillId="0" fontId="26" numFmtId="0" xfId="0" applyBorder="1" applyFont="1"/>
    <xf borderId="5" fillId="0" fontId="35" numFmtId="49" xfId="0" applyAlignment="1" applyBorder="1" applyFont="1" applyNumberFormat="1">
      <alignment readingOrder="0" vertical="center"/>
    </xf>
    <xf borderId="49" fillId="0" fontId="26" numFmtId="0" xfId="0" applyBorder="1" applyFont="1"/>
    <xf borderId="36" fillId="12" fontId="33" numFmtId="3" xfId="0" applyAlignment="1" applyBorder="1" applyFill="1" applyFont="1" applyNumberFormat="1">
      <alignment readingOrder="0" textRotation="255" vertical="center"/>
    </xf>
    <xf borderId="6" fillId="12" fontId="33" numFmtId="3" xfId="0" applyAlignment="1" applyBorder="1" applyFont="1" applyNumberFormat="1">
      <alignment readingOrder="0" vertical="center"/>
    </xf>
    <xf borderId="5" fillId="12" fontId="17" numFmtId="167" xfId="0" applyAlignment="1" applyBorder="1" applyFont="1" applyNumberFormat="1">
      <alignment readingOrder="0" vertical="center"/>
    </xf>
    <xf borderId="6" fillId="12" fontId="17" numFmtId="167" xfId="0" applyAlignment="1" applyBorder="1" applyFont="1" applyNumberFormat="1">
      <alignment readingOrder="0" vertical="center"/>
    </xf>
    <xf borderId="38" fillId="12" fontId="17" numFmtId="167" xfId="0" applyAlignment="1" applyBorder="1" applyFont="1" applyNumberFormat="1">
      <alignment readingOrder="0" vertical="center"/>
    </xf>
    <xf borderId="39" fillId="12" fontId="17" numFmtId="167" xfId="0" applyAlignment="1" applyBorder="1" applyFont="1" applyNumberFormat="1">
      <alignment readingOrder="0" vertical="center"/>
    </xf>
    <xf borderId="5" fillId="12" fontId="46" numFmtId="49" xfId="0" applyAlignment="1" applyBorder="1" applyFont="1" applyNumberFormat="1">
      <alignment readingOrder="0" vertical="center"/>
    </xf>
    <xf borderId="5" fillId="12" fontId="17" numFmtId="169" xfId="0" applyAlignment="1" applyBorder="1" applyFont="1" applyNumberFormat="1">
      <alignment readingOrder="0" vertical="center"/>
    </xf>
    <xf borderId="6" fillId="12" fontId="17" numFmtId="169" xfId="0" applyAlignment="1" applyBorder="1" applyFont="1" applyNumberFormat="1">
      <alignment readingOrder="0" vertical="center"/>
    </xf>
    <xf borderId="50" fillId="12" fontId="17" numFmtId="169" xfId="0" applyAlignment="1" applyBorder="1" applyFont="1" applyNumberFormat="1">
      <alignment readingOrder="0" vertical="center"/>
    </xf>
    <xf borderId="51" fillId="12" fontId="17" numFmtId="169" xfId="0" applyAlignment="1" applyBorder="1" applyFont="1" applyNumberFormat="1">
      <alignment readingOrder="0" vertical="center"/>
    </xf>
    <xf borderId="0" fillId="11" fontId="43" numFmtId="0" xfId="0" applyAlignment="1" applyFont="1">
      <alignment readingOrder="0" vertical="center"/>
    </xf>
    <xf borderId="0" fillId="11" fontId="43" numFmtId="3" xfId="0" applyAlignment="1" applyFont="1" applyNumberFormat="1">
      <alignment readingOrder="0" vertical="center"/>
    </xf>
    <xf borderId="0" fillId="0" fontId="43" numFmtId="10" xfId="0" applyAlignment="1" applyFont="1" applyNumberFormat="1">
      <alignment readingOrder="0" vertical="center"/>
    </xf>
    <xf borderId="0" fillId="0" fontId="19" numFmtId="0" xfId="0" applyAlignment="1" applyFont="1">
      <alignment readingOrder="0" vertical="center"/>
    </xf>
    <xf borderId="0" fillId="13" fontId="5" numFmtId="0" xfId="0" applyFill="1" applyFont="1"/>
    <xf borderId="0" fillId="13" fontId="47" numFmtId="49" xfId="0" applyAlignment="1" applyFont="1" applyNumberFormat="1">
      <alignment horizontal="left" readingOrder="0" shrinkToFit="0" vertical="center" wrapText="0"/>
    </xf>
    <xf borderId="0" fillId="13" fontId="17" numFmtId="0" xfId="0" applyAlignment="1" applyFont="1">
      <alignment readingOrder="0"/>
    </xf>
    <xf borderId="0" fillId="13" fontId="18" numFmtId="0" xfId="0" applyAlignment="1" applyFont="1">
      <alignment readingOrder="0" vertical="center"/>
    </xf>
    <xf borderId="0" fillId="13" fontId="19" numFmtId="0" xfId="0" applyAlignment="1" applyFont="1">
      <alignment readingOrder="0" vertical="center"/>
    </xf>
    <xf borderId="0" fillId="13" fontId="5" numFmtId="0" xfId="0" applyAlignment="1" applyFont="1">
      <alignment readingOrder="0"/>
    </xf>
    <xf borderId="0" fillId="13" fontId="23" numFmtId="0" xfId="0" applyFont="1"/>
    <xf borderId="8" fillId="8" fontId="17" numFmtId="167" xfId="0" applyAlignment="1" applyBorder="1" applyFont="1" applyNumberFormat="1">
      <alignment readingOrder="0"/>
    </xf>
    <xf borderId="0" fillId="13" fontId="17" numFmtId="0" xfId="0" applyFont="1"/>
    <xf borderId="8" fillId="0" fontId="17" numFmtId="0" xfId="0" applyAlignment="1" applyBorder="1" applyFont="1">
      <alignment readingOrder="0"/>
    </xf>
    <xf borderId="0" fillId="13" fontId="18" numFmtId="3" xfId="0" applyAlignment="1" applyFont="1" applyNumberFormat="1">
      <alignment readingOrder="0" vertical="center"/>
    </xf>
    <xf borderId="8" fillId="0" fontId="17" numFmtId="0" xfId="0" applyBorder="1" applyFont="1"/>
    <xf borderId="8" fillId="8" fontId="33" numFmtId="167" xfId="0" applyAlignment="1" applyBorder="1" applyFont="1" applyNumberFormat="1">
      <alignment readingOrder="0"/>
    </xf>
    <xf borderId="0" fillId="13" fontId="48" numFmtId="0" xfId="0" applyAlignment="1" applyFont="1">
      <alignment readingOrder="0" vertical="center"/>
    </xf>
    <xf borderId="0" fillId="13" fontId="24" numFmtId="0" xfId="0" applyAlignment="1" applyFont="1">
      <alignment readingOrder="0" vertical="center"/>
    </xf>
    <xf borderId="0" fillId="13" fontId="32" numFmtId="49" xfId="0" applyAlignment="1" applyFont="1" applyNumberFormat="1">
      <alignment horizontal="left" readingOrder="0" shrinkToFit="0" vertical="center" wrapText="0"/>
    </xf>
    <xf borderId="0" fillId="13" fontId="35" numFmtId="0" xfId="0" applyAlignment="1" applyFont="1">
      <alignment readingOrder="0" vertical="center"/>
    </xf>
    <xf borderId="0" fillId="13" fontId="17" numFmtId="0" xfId="0" applyAlignment="1" applyFont="1">
      <alignment readingOrder="0" vertical="center"/>
    </xf>
    <xf borderId="0" fillId="13" fontId="35" numFmtId="0" xfId="0" applyFont="1"/>
    <xf borderId="8" fillId="6" fontId="21" numFmtId="0" xfId="0" applyAlignment="1" applyBorder="1" applyFont="1">
      <alignment readingOrder="0" vertical="center"/>
    </xf>
    <xf borderId="28" fillId="13" fontId="39" numFmtId="0" xfId="0" applyAlignment="1" applyBorder="1" applyFont="1">
      <alignment readingOrder="0" vertical="center"/>
    </xf>
    <xf borderId="8" fillId="8" fontId="17" numFmtId="0" xfId="0" applyAlignment="1" applyBorder="1" applyFont="1">
      <alignment readingOrder="0" vertical="center"/>
    </xf>
    <xf borderId="1" fillId="8" fontId="17" numFmtId="167" xfId="0" applyAlignment="1" applyBorder="1" applyFont="1" applyNumberFormat="1">
      <alignment readingOrder="0" vertical="center"/>
    </xf>
    <xf borderId="28" fillId="13" fontId="17" numFmtId="0" xfId="0" applyAlignment="1" applyBorder="1" applyFont="1">
      <alignment horizontal="center" readingOrder="0" vertical="center"/>
    </xf>
    <xf borderId="0" fillId="13" fontId="49" numFmtId="0" xfId="0" applyAlignment="1" applyFont="1">
      <alignment readingOrder="0" vertical="center"/>
    </xf>
    <xf borderId="28" fillId="13" fontId="17" numFmtId="169" xfId="0" applyAlignment="1" applyBorder="1" applyFont="1" applyNumberFormat="1">
      <alignment readingOrder="0" vertical="center"/>
    </xf>
    <xf borderId="0" fillId="13" fontId="50" numFmtId="0" xfId="0" applyAlignment="1" applyFont="1">
      <alignment readingOrder="0" vertical="center"/>
    </xf>
    <xf borderId="28" fillId="13" fontId="17" numFmtId="169" xfId="0" applyAlignment="1" applyBorder="1" applyFont="1" applyNumberFormat="1">
      <alignment horizontal="right" readingOrder="0" vertical="center"/>
    </xf>
    <xf borderId="0" fillId="13" fontId="51" numFmtId="0" xfId="0" applyAlignment="1" applyFont="1">
      <alignment readingOrder="0" vertical="center"/>
    </xf>
    <xf borderId="1" fillId="6" fontId="25" numFmtId="0" xfId="0" applyAlignment="1" applyBorder="1" applyFont="1">
      <alignment readingOrder="0" vertical="center"/>
    </xf>
    <xf borderId="0" fillId="13" fontId="25" numFmtId="0" xfId="0" applyAlignment="1" applyFont="1">
      <alignment readingOrder="0" vertical="center"/>
    </xf>
    <xf borderId="0" fillId="13" fontId="31" numFmtId="49" xfId="0" applyAlignment="1" applyFont="1" applyNumberFormat="1">
      <alignment horizontal="left" readingOrder="0" shrinkToFit="0" vertical="center" wrapText="0"/>
    </xf>
    <xf borderId="0" fillId="13" fontId="52" numFmtId="0" xfId="0" applyAlignment="1" applyFont="1">
      <alignment readingOrder="0" vertical="center"/>
    </xf>
    <xf borderId="0" fillId="13" fontId="53" numFmtId="0" xfId="0" applyFont="1"/>
    <xf borderId="8" fillId="7" fontId="31" numFmtId="49" xfId="0" applyAlignment="1" applyBorder="1" applyFont="1" applyNumberFormat="1">
      <alignment horizontal="left" readingOrder="0" shrinkToFit="0" vertical="center" wrapText="0"/>
    </xf>
    <xf borderId="0" fillId="13" fontId="17" numFmtId="167" xfId="0" applyAlignment="1" applyFont="1" applyNumberFormat="1">
      <alignment readingOrder="0"/>
    </xf>
    <xf borderId="0" fillId="13" fontId="5" numFmtId="0" xfId="0" applyFont="1"/>
    <xf borderId="1" fillId="8" fontId="17" numFmtId="3" xfId="0" applyAlignment="1" applyBorder="1" applyFont="1" applyNumberFormat="1">
      <alignment readingOrder="0" vertical="center"/>
    </xf>
    <xf borderId="5" fillId="9" fontId="17" numFmtId="3" xfId="0" applyAlignment="1" applyBorder="1" applyFont="1" applyNumberFormat="1">
      <alignment readingOrder="0" vertical="center"/>
    </xf>
    <xf borderId="0" fillId="13" fontId="17" numFmtId="167" xfId="0" applyFont="1" applyNumberFormat="1"/>
    <xf borderId="0" fillId="13" fontId="33" numFmtId="167" xfId="0" applyAlignment="1" applyFont="1" applyNumberFormat="1">
      <alignment readingOrder="0"/>
    </xf>
    <xf borderId="0" fillId="13" fontId="54" numFmtId="0" xfId="0" applyAlignment="1" applyFont="1">
      <alignment readingOrder="0" vertical="center"/>
    </xf>
    <xf borderId="0" fillId="0" fontId="8" numFmtId="0" xfId="0" applyAlignment="1" applyFont="1">
      <alignment readingOrder="0" textRotation="0"/>
    </xf>
    <xf borderId="0" fillId="0" fontId="5" numFmtId="0" xfId="0" applyAlignment="1" applyFont="1">
      <alignment textRotation="0"/>
    </xf>
    <xf borderId="8" fillId="4" fontId="32" numFmtId="49" xfId="0" applyAlignment="1" applyBorder="1" applyFont="1" applyNumberFormat="1">
      <alignment horizontal="center" readingOrder="0" shrinkToFit="0" vertical="center" wrapText="0"/>
    </xf>
    <xf borderId="0" fillId="0" fontId="32" numFmtId="49" xfId="0" applyAlignment="1" applyFont="1" applyNumberFormat="1">
      <alignment horizontal="center" readingOrder="0" shrinkToFit="0" vertical="center" wrapText="0"/>
    </xf>
    <xf borderId="0" fillId="0" fontId="55" numFmtId="0" xfId="0" applyAlignment="1" applyFont="1">
      <alignment horizontal="center" textRotation="0"/>
    </xf>
    <xf borderId="8" fillId="0" fontId="17" numFmtId="167" xfId="0" applyAlignment="1" applyBorder="1" applyFont="1" applyNumberFormat="1">
      <alignment readingOrder="0"/>
    </xf>
    <xf borderId="0" fillId="0" fontId="17" numFmtId="167" xfId="0" applyAlignment="1" applyFont="1" applyNumberFormat="1">
      <alignment readingOrder="0"/>
    </xf>
    <xf borderId="15" fillId="6" fontId="56" numFmtId="0" xfId="0" applyAlignment="1" applyBorder="1" applyFont="1">
      <alignment readingOrder="0" textRotation="0" vertical="center"/>
    </xf>
    <xf borderId="52" fillId="0" fontId="26" numFmtId="0" xfId="0" applyBorder="1" applyFont="1"/>
    <xf borderId="8" fillId="9" fontId="17" numFmtId="0" xfId="0" applyAlignment="1" applyBorder="1" applyFont="1">
      <alignment readingOrder="0" vertical="center"/>
    </xf>
    <xf borderId="53" fillId="0" fontId="26" numFmtId="0" xfId="0" applyBorder="1" applyFont="1"/>
    <xf borderId="52" fillId="6" fontId="56" numFmtId="0" xfId="0" applyAlignment="1" applyBorder="1" applyFont="1">
      <alignment readingOrder="0" textRotation="0" vertical="center"/>
    </xf>
    <xf borderId="0" fillId="0" fontId="55" numFmtId="0" xfId="0" applyAlignment="1" applyFont="1">
      <alignment horizontal="center"/>
    </xf>
    <xf borderId="15" fillId="7" fontId="32" numFmtId="49" xfId="0" applyAlignment="1" applyBorder="1" applyFont="1" applyNumberFormat="1">
      <alignment horizontal="left" readingOrder="0" shrinkToFit="0" vertical="center" wrapText="0"/>
    </xf>
    <xf borderId="15" fillId="0" fontId="17" numFmtId="167" xfId="0" applyAlignment="1" applyBorder="1" applyFont="1" applyNumberFormat="1">
      <alignment readingOrder="0"/>
    </xf>
    <xf borderId="54" fillId="8" fontId="32" numFmtId="49" xfId="0" applyAlignment="1" applyBorder="1" applyFont="1" applyNumberFormat="1">
      <alignment horizontal="left" readingOrder="0" shrinkToFit="0" vertical="center" wrapText="0"/>
    </xf>
    <xf borderId="54" fillId="8" fontId="33" numFmtId="167" xfId="0" applyAlignment="1" applyBorder="1" applyFont="1" applyNumberFormat="1">
      <alignment readingOrder="0"/>
    </xf>
    <xf borderId="54" fillId="0" fontId="33" numFmtId="0" xfId="0" applyAlignment="1" applyBorder="1" applyFont="1">
      <alignment readingOrder="0"/>
    </xf>
    <xf borderId="14" fillId="7" fontId="32" numFmtId="49" xfId="0" applyAlignment="1" applyBorder="1" applyFont="1" applyNumberFormat="1">
      <alignment horizontal="left" readingOrder="0" shrinkToFit="0" vertical="center" wrapText="0"/>
    </xf>
    <xf borderId="0" fillId="14" fontId="45" numFmtId="167" xfId="0" applyAlignment="1" applyFill="1" applyFont="1" applyNumberFormat="1">
      <alignment readingOrder="0" vertical="center"/>
    </xf>
    <xf borderId="0" fillId="14" fontId="45" numFmtId="0" xfId="0" applyAlignment="1" applyFont="1">
      <alignment readingOrder="0"/>
    </xf>
    <xf borderId="0" fillId="14" fontId="45" numFmtId="0" xfId="0" applyFont="1"/>
    <xf borderId="0" fillId="0" fontId="36" numFmtId="167" xfId="0" applyAlignment="1" applyFont="1" applyNumberFormat="1">
      <alignment readingOrder="0" vertical="center"/>
    </xf>
    <xf borderId="0" fillId="0" fontId="36" numFmtId="0" xfId="0" applyAlignment="1" applyFont="1">
      <alignment readingOrder="0"/>
    </xf>
    <xf borderId="0" fillId="0" fontId="36" numFmtId="0" xfId="0" applyFont="1"/>
    <xf borderId="0" fillId="0" fontId="36" numFmtId="1" xfId="0" applyAlignment="1" applyFont="1" applyNumberFormat="1">
      <alignment readingOrder="0"/>
    </xf>
    <xf borderId="0" fillId="0" fontId="36" numFmtId="167" xfId="0" applyAlignment="1" applyFont="1" applyNumberFormat="1">
      <alignment vertical="center"/>
    </xf>
    <xf borderId="0" fillId="0" fontId="36" numFmtId="0" xfId="0" applyAlignment="1" applyFont="1">
      <alignment vertical="bottom"/>
    </xf>
    <xf borderId="0" fillId="0" fontId="36" numFmtId="1" xfId="0" applyFont="1" applyNumberFormat="1"/>
    <xf borderId="0" fillId="0" fontId="36" numFmtId="0" xfId="0" applyAlignment="1" applyFont="1">
      <alignment vertical="bottom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78909C"/>
          <bgColor rgb="FF78909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>
        <color rgb="FFD9D9D9"/>
      </font>
      <fill>
        <patternFill patternType="none"/>
      </fill>
      <border/>
    </dxf>
    <dxf>
      <font/>
      <fill>
        <patternFill patternType="solid">
          <fgColor rgb="FFFAFAFA"/>
          <bgColor rgb="FFFAFAFA"/>
        </patternFill>
      </fill>
      <border/>
    </dxf>
  </dxfs>
  <tableStyles count="15">
    <tableStyle count="3" pivot="0" name="1月-style">
      <tableStyleElement dxfId="1" type="headerRow"/>
      <tableStyleElement dxfId="2" type="firstRowStripe"/>
      <tableStyleElement dxfId="3" type="secondRowStripe"/>
    </tableStyle>
    <tableStyle count="3" pivot="0" name="2月-style">
      <tableStyleElement dxfId="1" type="headerRow"/>
      <tableStyleElement dxfId="2" type="firstRowStripe"/>
      <tableStyleElement dxfId="3" type="secondRowStripe"/>
    </tableStyle>
    <tableStyle count="3" pivot="0" name="3月-style">
      <tableStyleElement dxfId="1" type="headerRow"/>
      <tableStyleElement dxfId="2" type="firstRowStripe"/>
      <tableStyleElement dxfId="3" type="secondRowStripe"/>
    </tableStyle>
    <tableStyle count="3" pivot="0" name="4月-style">
      <tableStyleElement dxfId="1" type="headerRow"/>
      <tableStyleElement dxfId="2" type="firstRowStripe"/>
      <tableStyleElement dxfId="3" type="secondRowStripe"/>
    </tableStyle>
    <tableStyle count="3" pivot="0" name="5月-style">
      <tableStyleElement dxfId="1" type="headerRow"/>
      <tableStyleElement dxfId="2" type="firstRowStripe"/>
      <tableStyleElement dxfId="3" type="secondRowStripe"/>
    </tableStyle>
    <tableStyle count="3" pivot="0" name="6月-style">
      <tableStyleElement dxfId="1" type="headerRow"/>
      <tableStyleElement dxfId="2" type="firstRowStripe"/>
      <tableStyleElement dxfId="3" type="secondRowStripe"/>
    </tableStyle>
    <tableStyle count="3" pivot="0" name="7月-style">
      <tableStyleElement dxfId="1" type="headerRow"/>
      <tableStyleElement dxfId="2" type="firstRowStripe"/>
      <tableStyleElement dxfId="3" type="secondRowStripe"/>
    </tableStyle>
    <tableStyle count="3" pivot="0" name="8月-style">
      <tableStyleElement dxfId="1" type="headerRow"/>
      <tableStyleElement dxfId="2" type="firstRowStripe"/>
      <tableStyleElement dxfId="3" type="secondRowStripe"/>
    </tableStyle>
    <tableStyle count="3" pivot="0" name="9月-style">
      <tableStyleElement dxfId="1" type="headerRow"/>
      <tableStyleElement dxfId="2" type="firstRowStripe"/>
      <tableStyleElement dxfId="3" type="secondRowStripe"/>
    </tableStyle>
    <tableStyle count="3" pivot="0" name="10月-style">
      <tableStyleElement dxfId="1" type="headerRow"/>
      <tableStyleElement dxfId="2" type="firstRowStripe"/>
      <tableStyleElement dxfId="3" type="secondRowStripe"/>
    </tableStyle>
    <tableStyle count="3" pivot="0" name="11月-style">
      <tableStyleElement dxfId="1" type="headerRow"/>
      <tableStyleElement dxfId="2" type="firstRowStripe"/>
      <tableStyleElement dxfId="3" type="secondRowStripe"/>
    </tableStyle>
    <tableStyle count="3" pivot="0" name="12月-style">
      <tableStyleElement dxfId="1" type="headerRow"/>
      <tableStyleElement dxfId="2" type="firstRowStripe"/>
      <tableStyleElement dxfId="3" type="secondRowStripe"/>
    </tableStyle>
    <tableStyle count="3" pivot="0" name="年間推移シート-style">
      <tableStyleElement dxfId="1" type="headerRow"/>
      <tableStyleElement dxfId="2" type="firstRowStripe"/>
      <tableStyleElement dxfId="3" type="secondRowStripe"/>
    </tableStyle>
    <tableStyle count="2" pivot="0" name="収支可視化シート-style">
      <tableStyleElement dxfId="5" type="firstRowStripe"/>
      <tableStyleElement dxfId="2" type="secondRowStripe"/>
    </tableStyle>
    <tableStyle count="3" pivot="0" name="収支可視化シート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24375" cy="6524625"/>
    <xdr:pic>
      <xdr:nvPicPr>
        <xdr:cNvPr id="0" name="image1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2</xdr:row>
      <xdr:rowOff>200025</xdr:rowOff>
    </xdr:from>
    <xdr:ext cx="5762625" cy="3248025"/>
    <xdr:pic>
      <xdr:nvPicPr>
        <xdr:cNvPr id="178983835" name="Chart1" title="グラフ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38100</xdr:colOff>
      <xdr:row>37</xdr:row>
      <xdr:rowOff>66675</xdr:rowOff>
    </xdr:from>
    <xdr:ext cx="5762625" cy="3248025"/>
    <xdr:pic>
      <xdr:nvPicPr>
        <xdr:cNvPr id="513956312" name="Chart2" title="グラフ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51:Z51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1月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51:Z51" displayName="Table_2" name="Table_2" id="2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2月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51:Z51" displayName="Table_3" name="Table_3" id="3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3月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51:Z51" displayName="Table_4" name="Table_4" id="4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4月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51:Z51" displayName="Table_5" name="Table_5" id="5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5月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51:Z51" displayName="Table_6" name="Table_6" id="6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6月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51:Z51" displayName="Table_7" name="Table_7" id="7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7月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A51:Z51" displayName="Table_8" name="Table_8" id="8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8月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A51:Z51" displayName="Table_9" name="Table_9" id="9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9月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A51:Z51" displayName="Table_10" name="Table_10" id="10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10月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A51:Z51" displayName="Table_11" name="Table_11" id="1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11月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headerRowCount="0" ref="A51:Z51" displayName="Table_12" name="Table_12" id="12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12月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headerRowCount="0" ref="A64:S64" displayName="Table_13" name="Table_13" id="13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年間推移シート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headerRowCount="0" ref="A51:B60" displayName="Table_14" name="Table_14" id="14">
  <tableColumns count="2">
    <tableColumn name="Column1" id="1"/>
    <tableColumn name="Column2" id="2"/>
  </tableColumns>
  <tableStyleInfo name="収支可視化シート-style" showColumnStripes="0" showFirstColumn="1" showLastColumn="1" showRowStripes="1"/>
</table>
</file>

<file path=xl/tables/table15.xml><?xml version="1.0" encoding="utf-8"?>
<table xmlns="http://schemas.openxmlformats.org/spreadsheetml/2006/main" headerRowCount="0" ref="A64:O64" displayName="Table_15" name="Table_15" id="15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収支可視化シート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loom.com/share/7df2fd3f96d8450eaead1efa6d80f9ae" TargetMode="External"/><Relationship Id="rId10" Type="http://schemas.openxmlformats.org/officeDocument/2006/relationships/hyperlink" Target="https://www.loom.com/share/c84a9fac4d4c455990c32c65b0127334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www.loom.com/share/c5822df7b4aa432da211e2d1040d1c62" TargetMode="External"/><Relationship Id="rId1" Type="http://schemas.openxmlformats.org/officeDocument/2006/relationships/hyperlink" Target="https://docs.google.com/spreadsheets/d/17IY06cKMxbN9RkT_RKE8P9Hi3TCbj9vyqdSf7Ji-IQU/edit?usp=sharing" TargetMode="External"/><Relationship Id="rId2" Type="http://schemas.openxmlformats.org/officeDocument/2006/relationships/hyperlink" Target="https://www.loom.com/share/37b2dd6e3192492cad6bd00e9eec2e59?sid=942f5ea2-309b-4961-a169-0edd331df914" TargetMode="External"/><Relationship Id="rId3" Type="http://schemas.openxmlformats.org/officeDocument/2006/relationships/hyperlink" Target="https://www.loom.com/share/22315fc3571547b08d7fb8604cdd833b" TargetMode="External"/><Relationship Id="rId4" Type="http://schemas.openxmlformats.org/officeDocument/2006/relationships/hyperlink" Target="https://www.loom.com/share/89c1cf4ee43145dca461fe9334c9dd6f?sid=2a5acbce-cc47-4e1f-b258-f597eeb6d21c" TargetMode="External"/><Relationship Id="rId9" Type="http://schemas.openxmlformats.org/officeDocument/2006/relationships/hyperlink" Target="https://www.loom.com/share/78292bbc3862419c99e4e5c73a5361a7" TargetMode="External"/><Relationship Id="rId5" Type="http://schemas.openxmlformats.org/officeDocument/2006/relationships/hyperlink" Target="https://www.loom.com/share/a11131eea75e4983a4cd70746b292bea?sid=d7ec20dd-8da5-48c0-a97f-9e07cfbbc26d" TargetMode="External"/><Relationship Id="rId6" Type="http://schemas.openxmlformats.org/officeDocument/2006/relationships/hyperlink" Target="https://www.loom.com/share/ec77e9ddfe4f4ecdb27c69937ac317c6?sid=0b5f8703-987c-4617-82b4-51dfa63dd329" TargetMode="External"/><Relationship Id="rId7" Type="http://schemas.openxmlformats.org/officeDocument/2006/relationships/hyperlink" Target="https://www.loom.com/share/468b7c509ef041ecbabe6457f7a6cb27" TargetMode="External"/><Relationship Id="rId8" Type="http://schemas.openxmlformats.org/officeDocument/2006/relationships/hyperlink" Target="https://www.loom.com/share/fc6dcc39dfc84e028cd50287b05d48bd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0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1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2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3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4" Type="http://schemas.openxmlformats.org/officeDocument/2006/relationships/table" Target="../tables/table14.xml"/><Relationship Id="rId5" Type="http://schemas.openxmlformats.org/officeDocument/2006/relationships/table" Target="../tables/table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showGridLines="0" workbookViewId="0"/>
  </sheetViews>
  <sheetFormatPr customHeight="1" defaultColWidth="12.63" defaultRowHeight="15.75"/>
  <cols>
    <col customWidth="1" min="7" max="7" width="24.75"/>
  </cols>
  <sheetData>
    <row r="5">
      <c r="F5" s="1" t="s">
        <v>0</v>
      </c>
    </row>
    <row r="7">
      <c r="F7" s="2" t="s">
        <v>1</v>
      </c>
    </row>
    <row r="8">
      <c r="F8" s="2" t="s">
        <v>2</v>
      </c>
      <c r="G8" s="3"/>
    </row>
    <row r="12">
      <c r="F12" s="4" t="s">
        <v>3</v>
      </c>
      <c r="G12" s="5"/>
      <c r="H12" s="5"/>
    </row>
    <row r="13">
      <c r="F13" s="6" t="s">
        <v>4</v>
      </c>
    </row>
    <row r="16">
      <c r="F16" s="4" t="s">
        <v>5</v>
      </c>
      <c r="G16" s="5"/>
      <c r="H16" s="5"/>
      <c r="I16" s="7" t="s">
        <v>6</v>
      </c>
    </row>
    <row r="17">
      <c r="F17" s="8" t="s">
        <v>7</v>
      </c>
      <c r="H17" s="6" t="s">
        <v>8</v>
      </c>
    </row>
    <row r="18">
      <c r="F18" s="7" t="s">
        <v>9</v>
      </c>
      <c r="H18" s="6" t="s">
        <v>10</v>
      </c>
    </row>
    <row r="19">
      <c r="F19" s="7" t="s">
        <v>11</v>
      </c>
      <c r="H19" s="6" t="s">
        <v>12</v>
      </c>
    </row>
    <row r="20">
      <c r="F20" s="7" t="s">
        <v>13</v>
      </c>
      <c r="H20" s="6" t="s">
        <v>14</v>
      </c>
    </row>
    <row r="21">
      <c r="F21" s="7" t="s">
        <v>15</v>
      </c>
      <c r="H21" s="6" t="s">
        <v>16</v>
      </c>
    </row>
    <row r="22">
      <c r="F22" s="7" t="s">
        <v>17</v>
      </c>
      <c r="H22" s="6" t="s">
        <v>18</v>
      </c>
    </row>
    <row r="23">
      <c r="F23" s="7" t="s">
        <v>19</v>
      </c>
      <c r="H23" s="9" t="s">
        <v>20</v>
      </c>
    </row>
    <row r="24">
      <c r="F24" s="7" t="s">
        <v>21</v>
      </c>
      <c r="H24" s="6" t="s">
        <v>22</v>
      </c>
    </row>
    <row r="25">
      <c r="F25" s="7" t="s">
        <v>23</v>
      </c>
      <c r="H25" s="6" t="s">
        <v>24</v>
      </c>
    </row>
    <row r="26">
      <c r="F26" s="7" t="s">
        <v>25</v>
      </c>
      <c r="H26" s="6" t="s">
        <v>26</v>
      </c>
    </row>
    <row r="27">
      <c r="F27" s="7" t="s">
        <v>27</v>
      </c>
      <c r="H27" s="6" t="s">
        <v>28</v>
      </c>
    </row>
  </sheetData>
  <hyperlinks>
    <hyperlink r:id="rId1" ref="F13"/>
    <hyperlink r:id="rId2" ref="H17"/>
    <hyperlink r:id="rId3" ref="H18"/>
    <hyperlink r:id="rId4" ref="H19"/>
    <hyperlink r:id="rId5" ref="H20"/>
    <hyperlink r:id="rId6" ref="H21"/>
    <hyperlink r:id="rId7" ref="H22"/>
    <hyperlink r:id="rId8" ref="H23"/>
    <hyperlink r:id="rId9" ref="H24"/>
    <hyperlink r:id="rId10" ref="H25"/>
    <hyperlink r:id="rId11" ref="H26"/>
    <hyperlink r:id="rId12" ref="H27"/>
  </hyperlinks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8CC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.0"/>
    <col customWidth="1" min="2" max="2" width="18.0"/>
    <col customWidth="1" min="3" max="4" width="11.63"/>
    <col customWidth="1" min="5" max="5" width="2.0"/>
    <col customWidth="1" min="6" max="6" width="18.0"/>
    <col customWidth="1" min="7" max="8" width="11.63"/>
    <col customWidth="1" min="9" max="9" width="2.63"/>
    <col customWidth="1" min="10" max="16" width="13.88"/>
    <col customWidth="1" min="17" max="17" width="2.63"/>
    <col customWidth="1" min="18" max="25" width="12.75"/>
    <col customWidth="1" min="26" max="26" width="2.0"/>
    <col customWidth="1" hidden="1" min="27" max="28" width="11.0"/>
  </cols>
  <sheetData>
    <row r="1" ht="42.0" customHeight="1">
      <c r="A1" s="10"/>
      <c r="B1" s="11">
        <v>1.0</v>
      </c>
      <c r="C1" s="12"/>
      <c r="D1" s="12" t="s">
        <v>29</v>
      </c>
      <c r="E1" s="13"/>
      <c r="F1" s="12"/>
      <c r="G1" s="14"/>
      <c r="H1" s="14"/>
      <c r="I1" s="15"/>
      <c r="J1" s="12" t="s">
        <v>30</v>
      </c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6"/>
      <c r="AB1" s="16"/>
    </row>
    <row r="2" ht="21.75" customHeight="1">
      <c r="A2" s="17"/>
      <c r="B2" s="18">
        <v>2025.0</v>
      </c>
      <c r="C2" s="19"/>
      <c r="D2" s="19"/>
      <c r="G2" s="20"/>
      <c r="H2" s="20"/>
      <c r="I2" s="21"/>
      <c r="J2" s="22">
        <f>DATE(B2,B1,1)</f>
        <v>45658</v>
      </c>
      <c r="K2" s="21"/>
      <c r="L2" s="21"/>
      <c r="M2" s="21"/>
      <c r="N2" s="21"/>
      <c r="O2" s="21"/>
      <c r="P2" s="21"/>
      <c r="Q2" s="21"/>
      <c r="R2" s="23" t="s">
        <v>31</v>
      </c>
      <c r="Z2" s="21"/>
      <c r="AA2" s="21"/>
      <c r="AB2" s="21"/>
    </row>
    <row r="3" ht="7.5" customHeight="1">
      <c r="A3" s="20"/>
      <c r="B3" s="24"/>
      <c r="C3" s="25"/>
      <c r="D3" s="25"/>
      <c r="E3" s="25"/>
      <c r="F3" s="26"/>
      <c r="G3" s="26"/>
      <c r="H3" s="26"/>
      <c r="I3" s="27"/>
      <c r="J3" s="25"/>
      <c r="K3" s="25"/>
      <c r="L3" s="25"/>
      <c r="M3" s="27"/>
      <c r="N3" s="27"/>
      <c r="O3" s="27"/>
      <c r="P3" s="27"/>
      <c r="Q3" s="21"/>
      <c r="Z3" s="21"/>
      <c r="AA3" s="21"/>
      <c r="AB3" s="21"/>
    </row>
    <row r="4" ht="20.25" customHeight="1">
      <c r="A4" s="28"/>
      <c r="B4" s="29" t="s">
        <v>32</v>
      </c>
      <c r="C4" s="30"/>
      <c r="D4" s="31"/>
      <c r="E4" s="32"/>
      <c r="F4" s="29" t="s">
        <v>33</v>
      </c>
      <c r="G4" s="30"/>
      <c r="H4" s="31"/>
      <c r="I4" s="27"/>
      <c r="J4" s="33" t="s">
        <v>34</v>
      </c>
      <c r="K4" s="33" t="s">
        <v>35</v>
      </c>
      <c r="L4" s="33" t="s">
        <v>36</v>
      </c>
      <c r="M4" s="33" t="s">
        <v>37</v>
      </c>
      <c r="N4" s="33" t="s">
        <v>38</v>
      </c>
      <c r="O4" s="34" t="s">
        <v>39</v>
      </c>
      <c r="P4" s="35" t="s">
        <v>40</v>
      </c>
      <c r="Q4" s="21"/>
      <c r="R4" s="36" t="s">
        <v>41</v>
      </c>
      <c r="S4" s="37" t="s">
        <v>42</v>
      </c>
      <c r="T4" s="37" t="s">
        <v>43</v>
      </c>
      <c r="U4" s="37" t="s">
        <v>44</v>
      </c>
      <c r="V4" s="38" t="s">
        <v>45</v>
      </c>
      <c r="W4" s="39"/>
      <c r="X4" s="37" t="s">
        <v>46</v>
      </c>
      <c r="Y4" s="37" t="s">
        <v>47</v>
      </c>
      <c r="Z4" s="21"/>
      <c r="AA4" s="21"/>
      <c r="AB4" s="21"/>
    </row>
    <row r="5" ht="20.25" customHeight="1">
      <c r="A5" s="40"/>
      <c r="B5" s="41" t="s">
        <v>44</v>
      </c>
      <c r="C5" s="42" t="s">
        <v>48</v>
      </c>
      <c r="D5" s="41" t="s">
        <v>46</v>
      </c>
      <c r="E5" s="32"/>
      <c r="F5" s="41" t="s">
        <v>44</v>
      </c>
      <c r="G5" s="41" t="s">
        <v>43</v>
      </c>
      <c r="H5" s="41" t="s">
        <v>46</v>
      </c>
      <c r="I5" s="27"/>
      <c r="J5" s="43">
        <f>$J$2-weekday($J$2)+2</f>
        <v>45656</v>
      </c>
      <c r="K5" s="43">
        <f t="shared" ref="K5:P5" si="1">J5+1</f>
        <v>45657</v>
      </c>
      <c r="L5" s="43">
        <f t="shared" si="1"/>
        <v>45658</v>
      </c>
      <c r="M5" s="43">
        <f t="shared" si="1"/>
        <v>45659</v>
      </c>
      <c r="N5" s="43">
        <f t="shared" si="1"/>
        <v>45660</v>
      </c>
      <c r="O5" s="44">
        <f t="shared" si="1"/>
        <v>45661</v>
      </c>
      <c r="P5" s="45">
        <f t="shared" si="1"/>
        <v>45662</v>
      </c>
      <c r="Q5" s="21"/>
      <c r="R5" s="46">
        <v>45658.0</v>
      </c>
      <c r="S5" s="47" t="s">
        <v>49</v>
      </c>
      <c r="T5" s="48" t="s">
        <v>50</v>
      </c>
      <c r="U5" s="49" t="s">
        <v>51</v>
      </c>
      <c r="V5" s="50"/>
      <c r="W5" s="39"/>
      <c r="X5" s="51">
        <v>1000.0</v>
      </c>
      <c r="Y5" s="52"/>
      <c r="Z5" s="21"/>
      <c r="AA5" s="21"/>
      <c r="AB5" s="21"/>
    </row>
    <row r="6" ht="20.25" customHeight="1">
      <c r="A6" s="53"/>
      <c r="B6" s="54" t="s">
        <v>52</v>
      </c>
      <c r="C6" s="55" t="s">
        <v>53</v>
      </c>
      <c r="D6" s="56">
        <v>250000.0</v>
      </c>
      <c r="E6" s="57"/>
      <c r="F6" s="58" t="s">
        <v>54</v>
      </c>
      <c r="G6" s="55"/>
      <c r="H6" s="59">
        <v>20000.0</v>
      </c>
      <c r="I6" s="27"/>
      <c r="J6" s="60">
        <f t="shared" ref="J6:P6" si="2">sumifs($X:$X,$R:$R,J5)</f>
        <v>0</v>
      </c>
      <c r="K6" s="60">
        <f t="shared" si="2"/>
        <v>0</v>
      </c>
      <c r="L6" s="60">
        <f t="shared" si="2"/>
        <v>1000</v>
      </c>
      <c r="M6" s="60">
        <f t="shared" si="2"/>
        <v>0</v>
      </c>
      <c r="N6" s="60">
        <f t="shared" si="2"/>
        <v>0</v>
      </c>
      <c r="O6" s="60">
        <f t="shared" si="2"/>
        <v>0</v>
      </c>
      <c r="P6" s="60">
        <f t="shared" si="2"/>
        <v>0</v>
      </c>
      <c r="Q6" s="21"/>
      <c r="R6" s="46"/>
      <c r="S6" s="47"/>
      <c r="T6" s="48"/>
      <c r="U6" s="49"/>
      <c r="V6" s="50"/>
      <c r="W6" s="39"/>
      <c r="X6" s="51"/>
      <c r="Y6" s="52"/>
      <c r="Z6" s="21"/>
      <c r="AA6" s="21"/>
      <c r="AB6" s="21"/>
    </row>
    <row r="7" ht="20.25" customHeight="1">
      <c r="A7" s="53"/>
      <c r="B7" s="54" t="s">
        <v>55</v>
      </c>
      <c r="C7" s="55" t="s">
        <v>56</v>
      </c>
      <c r="D7" s="56">
        <v>150000.0</v>
      </c>
      <c r="E7" s="57"/>
      <c r="F7" s="58" t="s">
        <v>57</v>
      </c>
      <c r="G7" s="55" t="s">
        <v>58</v>
      </c>
      <c r="H7" s="59">
        <v>30000.0</v>
      </c>
      <c r="I7" s="27"/>
      <c r="J7" s="61">
        <f t="shared" ref="J7:P7" si="3">J5+7</f>
        <v>45663</v>
      </c>
      <c r="K7" s="61">
        <f t="shared" si="3"/>
        <v>45664</v>
      </c>
      <c r="L7" s="61">
        <f t="shared" si="3"/>
        <v>45665</v>
      </c>
      <c r="M7" s="61">
        <f t="shared" si="3"/>
        <v>45666</v>
      </c>
      <c r="N7" s="61">
        <f t="shared" si="3"/>
        <v>45667</v>
      </c>
      <c r="O7" s="62">
        <f t="shared" si="3"/>
        <v>45668</v>
      </c>
      <c r="P7" s="63">
        <f t="shared" si="3"/>
        <v>45669</v>
      </c>
      <c r="Q7" s="21"/>
      <c r="R7" s="46"/>
      <c r="S7" s="47"/>
      <c r="T7" s="48"/>
      <c r="U7" s="49"/>
      <c r="V7" s="50"/>
      <c r="W7" s="39"/>
      <c r="X7" s="51"/>
      <c r="Y7" s="52"/>
      <c r="Z7" s="21"/>
      <c r="AA7" s="21"/>
      <c r="AB7" s="21"/>
    </row>
    <row r="8" ht="20.25" customHeight="1">
      <c r="A8" s="53"/>
      <c r="B8" s="54"/>
      <c r="C8" s="55"/>
      <c r="D8" s="56"/>
      <c r="E8" s="57"/>
      <c r="F8" s="58" t="s">
        <v>59</v>
      </c>
      <c r="G8" s="55"/>
      <c r="H8" s="59">
        <v>30000.0</v>
      </c>
      <c r="I8" s="27"/>
      <c r="J8" s="60">
        <f t="shared" ref="J8:P8" si="4">sumifs($X:$X,$R:$R,J7)</f>
        <v>0</v>
      </c>
      <c r="K8" s="60">
        <f t="shared" si="4"/>
        <v>0</v>
      </c>
      <c r="L8" s="60">
        <f t="shared" si="4"/>
        <v>0</v>
      </c>
      <c r="M8" s="60">
        <f t="shared" si="4"/>
        <v>0</v>
      </c>
      <c r="N8" s="60">
        <f t="shared" si="4"/>
        <v>0</v>
      </c>
      <c r="O8" s="60">
        <f t="shared" si="4"/>
        <v>0</v>
      </c>
      <c r="P8" s="60">
        <f t="shared" si="4"/>
        <v>0</v>
      </c>
      <c r="Q8" s="21"/>
      <c r="R8" s="46"/>
      <c r="S8" s="47"/>
      <c r="T8" s="48"/>
      <c r="U8" s="49"/>
      <c r="V8" s="50"/>
      <c r="W8" s="39"/>
      <c r="X8" s="51"/>
      <c r="Y8" s="52"/>
      <c r="Z8" s="21"/>
      <c r="AA8" s="21"/>
      <c r="AB8" s="21"/>
    </row>
    <row r="9" ht="20.25" customHeight="1">
      <c r="A9" s="64"/>
      <c r="B9" s="54"/>
      <c r="C9" s="55"/>
      <c r="D9" s="59"/>
      <c r="E9" s="57"/>
      <c r="F9" s="58"/>
      <c r="G9" s="55"/>
      <c r="H9" s="59"/>
      <c r="I9" s="27"/>
      <c r="J9" s="43">
        <f t="shared" ref="J9:P9" si="5">J7+7</f>
        <v>45670</v>
      </c>
      <c r="K9" s="43">
        <f t="shared" si="5"/>
        <v>45671</v>
      </c>
      <c r="L9" s="43">
        <f t="shared" si="5"/>
        <v>45672</v>
      </c>
      <c r="M9" s="43">
        <f t="shared" si="5"/>
        <v>45673</v>
      </c>
      <c r="N9" s="43">
        <f t="shared" si="5"/>
        <v>45674</v>
      </c>
      <c r="O9" s="44">
        <f t="shared" si="5"/>
        <v>45675</v>
      </c>
      <c r="P9" s="45">
        <f t="shared" si="5"/>
        <v>45676</v>
      </c>
      <c r="Q9" s="21"/>
      <c r="R9" s="46"/>
      <c r="S9" s="47"/>
      <c r="T9" s="48"/>
      <c r="U9" s="49"/>
      <c r="V9" s="50"/>
      <c r="W9" s="39"/>
      <c r="X9" s="51"/>
      <c r="Y9" s="52"/>
      <c r="Z9" s="21"/>
      <c r="AA9" s="21"/>
      <c r="AB9" s="21"/>
    </row>
    <row r="10" ht="20.25" customHeight="1">
      <c r="A10" s="64"/>
      <c r="B10" s="54"/>
      <c r="C10" s="55"/>
      <c r="D10" s="56"/>
      <c r="E10" s="57"/>
      <c r="F10" s="65"/>
      <c r="G10" s="55"/>
      <c r="H10" s="66"/>
      <c r="I10" s="27"/>
      <c r="J10" s="60">
        <f t="shared" ref="J10:P10" si="6">sumifs($X:$X,$R:$R,J9)</f>
        <v>0</v>
      </c>
      <c r="K10" s="60">
        <f t="shared" si="6"/>
        <v>0</v>
      </c>
      <c r="L10" s="60">
        <f t="shared" si="6"/>
        <v>0</v>
      </c>
      <c r="M10" s="60">
        <f t="shared" si="6"/>
        <v>0</v>
      </c>
      <c r="N10" s="60">
        <f t="shared" si="6"/>
        <v>0</v>
      </c>
      <c r="O10" s="60">
        <f t="shared" si="6"/>
        <v>0</v>
      </c>
      <c r="P10" s="60">
        <f t="shared" si="6"/>
        <v>0</v>
      </c>
      <c r="Q10" s="21"/>
      <c r="R10" s="46"/>
      <c r="S10" s="47"/>
      <c r="T10" s="48"/>
      <c r="U10" s="49"/>
      <c r="V10" s="50"/>
      <c r="W10" s="39"/>
      <c r="X10" s="51"/>
      <c r="Y10" s="52"/>
      <c r="Z10" s="21"/>
      <c r="AA10" s="21"/>
      <c r="AB10" s="21"/>
    </row>
    <row r="11" ht="20.25" customHeight="1">
      <c r="A11" s="64"/>
      <c r="B11" s="54"/>
      <c r="C11" s="55"/>
      <c r="D11" s="67"/>
      <c r="E11" s="57"/>
      <c r="F11" s="65"/>
      <c r="G11" s="55"/>
      <c r="H11" s="66"/>
      <c r="I11" s="27"/>
      <c r="J11" s="61">
        <f t="shared" ref="J11:P11" si="7">J9+7</f>
        <v>45677</v>
      </c>
      <c r="K11" s="61">
        <f t="shared" si="7"/>
        <v>45678</v>
      </c>
      <c r="L11" s="61">
        <f t="shared" si="7"/>
        <v>45679</v>
      </c>
      <c r="M11" s="61">
        <f t="shared" si="7"/>
        <v>45680</v>
      </c>
      <c r="N11" s="61">
        <f t="shared" si="7"/>
        <v>45681</v>
      </c>
      <c r="O11" s="62">
        <f t="shared" si="7"/>
        <v>45682</v>
      </c>
      <c r="P11" s="63">
        <f t="shared" si="7"/>
        <v>45683</v>
      </c>
      <c r="Q11" s="21"/>
      <c r="R11" s="46"/>
      <c r="S11" s="47"/>
      <c r="T11" s="48"/>
      <c r="U11" s="49"/>
      <c r="V11" s="50"/>
      <c r="W11" s="39"/>
      <c r="X11" s="51"/>
      <c r="Y11" s="52"/>
      <c r="Z11" s="21"/>
      <c r="AA11" s="21"/>
      <c r="AB11" s="21"/>
    </row>
    <row r="12" ht="20.25" customHeight="1">
      <c r="A12" s="64"/>
      <c r="B12" s="68"/>
      <c r="C12" s="55"/>
      <c r="D12" s="67"/>
      <c r="E12" s="57"/>
      <c r="F12" s="65"/>
      <c r="G12" s="55"/>
      <c r="H12" s="66"/>
      <c r="I12" s="27"/>
      <c r="J12" s="60">
        <f t="shared" ref="J12:P12" si="8">sumifs($X:$X,$R:$R,J11)</f>
        <v>0</v>
      </c>
      <c r="K12" s="60">
        <f t="shared" si="8"/>
        <v>0</v>
      </c>
      <c r="L12" s="60">
        <f t="shared" si="8"/>
        <v>0</v>
      </c>
      <c r="M12" s="60">
        <f t="shared" si="8"/>
        <v>0</v>
      </c>
      <c r="N12" s="60">
        <f t="shared" si="8"/>
        <v>0</v>
      </c>
      <c r="O12" s="60">
        <f t="shared" si="8"/>
        <v>0</v>
      </c>
      <c r="P12" s="60">
        <f t="shared" si="8"/>
        <v>0</v>
      </c>
      <c r="Q12" s="21"/>
      <c r="R12" s="46"/>
      <c r="S12" s="47"/>
      <c r="T12" s="48"/>
      <c r="U12" s="49"/>
      <c r="V12" s="50"/>
      <c r="W12" s="39"/>
      <c r="X12" s="51"/>
      <c r="Y12" s="52"/>
      <c r="Z12" s="21"/>
      <c r="AA12" s="21"/>
      <c r="AB12" s="21"/>
    </row>
    <row r="13" ht="20.25" customHeight="1">
      <c r="A13" s="64"/>
      <c r="B13" s="68"/>
      <c r="C13" s="55"/>
      <c r="D13" s="67"/>
      <c r="E13" s="57"/>
      <c r="F13" s="65"/>
      <c r="G13" s="55"/>
      <c r="H13" s="66"/>
      <c r="I13" s="27"/>
      <c r="J13" s="43">
        <f t="shared" ref="J13:P13" si="9">J11+7</f>
        <v>45684</v>
      </c>
      <c r="K13" s="43">
        <f t="shared" si="9"/>
        <v>45685</v>
      </c>
      <c r="L13" s="43">
        <f t="shared" si="9"/>
        <v>45686</v>
      </c>
      <c r="M13" s="43">
        <f t="shared" si="9"/>
        <v>45687</v>
      </c>
      <c r="N13" s="43">
        <f t="shared" si="9"/>
        <v>45688</v>
      </c>
      <c r="O13" s="44">
        <f t="shared" si="9"/>
        <v>45689</v>
      </c>
      <c r="P13" s="45">
        <f t="shared" si="9"/>
        <v>45690</v>
      </c>
      <c r="Q13" s="21"/>
      <c r="R13" s="46"/>
      <c r="S13" s="47"/>
      <c r="T13" s="48"/>
      <c r="U13" s="49"/>
      <c r="V13" s="50"/>
      <c r="W13" s="39"/>
      <c r="X13" s="51"/>
      <c r="Y13" s="52"/>
      <c r="Z13" s="21"/>
      <c r="AA13" s="21"/>
      <c r="AB13" s="21"/>
    </row>
    <row r="14" ht="20.25" customHeight="1">
      <c r="A14" s="69"/>
      <c r="B14" s="70" t="s">
        <v>60</v>
      </c>
      <c r="C14" s="71"/>
      <c r="D14" s="72">
        <f>SUM(D6:D13)</f>
        <v>400000</v>
      </c>
      <c r="E14" s="57"/>
      <c r="F14" s="70" t="s">
        <v>60</v>
      </c>
      <c r="G14" s="72"/>
      <c r="H14" s="72">
        <f>SUM(H6:H13)</f>
        <v>80000</v>
      </c>
      <c r="I14" s="27"/>
      <c r="J14" s="60">
        <f t="shared" ref="J14:P14" si="10">sumifs($X:$X,$R:$R,J13)</f>
        <v>0</v>
      </c>
      <c r="K14" s="60">
        <f t="shared" si="10"/>
        <v>0</v>
      </c>
      <c r="L14" s="60">
        <f t="shared" si="10"/>
        <v>0</v>
      </c>
      <c r="M14" s="60">
        <f t="shared" si="10"/>
        <v>0</v>
      </c>
      <c r="N14" s="60">
        <f t="shared" si="10"/>
        <v>0</v>
      </c>
      <c r="O14" s="60">
        <f t="shared" si="10"/>
        <v>0</v>
      </c>
      <c r="P14" s="60">
        <f t="shared" si="10"/>
        <v>0</v>
      </c>
      <c r="Q14" s="21"/>
      <c r="R14" s="46"/>
      <c r="S14" s="47"/>
      <c r="T14" s="48"/>
      <c r="U14" s="49"/>
      <c r="V14" s="50"/>
      <c r="W14" s="39"/>
      <c r="X14" s="51"/>
      <c r="Y14" s="52"/>
      <c r="Z14" s="21"/>
      <c r="AA14" s="21"/>
      <c r="AB14" s="21"/>
    </row>
    <row r="15" ht="20.25" customHeight="1">
      <c r="A15" s="20"/>
      <c r="B15" s="24"/>
      <c r="C15" s="32"/>
      <c r="D15" s="32"/>
      <c r="E15" s="32"/>
      <c r="F15" s="32"/>
      <c r="G15" s="24"/>
      <c r="H15" s="24"/>
      <c r="I15" s="27"/>
      <c r="J15" s="25"/>
      <c r="K15" s="25"/>
      <c r="L15" s="25"/>
      <c r="M15" s="25"/>
      <c r="N15" s="25"/>
      <c r="O15" s="25"/>
      <c r="P15" s="25"/>
      <c r="Q15" s="21"/>
      <c r="R15" s="46"/>
      <c r="S15" s="47"/>
      <c r="T15" s="48"/>
      <c r="U15" s="49"/>
      <c r="V15" s="50"/>
      <c r="W15" s="39"/>
      <c r="X15" s="51"/>
      <c r="Y15" s="52"/>
      <c r="Z15" s="21"/>
      <c r="AA15" s="21"/>
      <c r="AB15" s="21"/>
    </row>
    <row r="16" ht="20.25" customHeight="1">
      <c r="A16" s="28"/>
      <c r="B16" s="73" t="s">
        <v>61</v>
      </c>
      <c r="E16" s="27"/>
      <c r="F16" s="73" t="s">
        <v>61</v>
      </c>
      <c r="I16" s="27"/>
      <c r="J16" s="74" t="s">
        <v>62</v>
      </c>
      <c r="Q16" s="21"/>
      <c r="R16" s="46"/>
      <c r="S16" s="47"/>
      <c r="T16" s="48"/>
      <c r="U16" s="49"/>
      <c r="V16" s="50"/>
      <c r="W16" s="39"/>
      <c r="X16" s="51"/>
      <c r="Y16" s="52"/>
      <c r="Z16" s="21"/>
      <c r="AA16" s="21"/>
      <c r="AB16" s="21"/>
    </row>
    <row r="17" ht="20.25" customHeight="1">
      <c r="A17" s="40"/>
      <c r="B17" s="69" t="s">
        <v>63</v>
      </c>
      <c r="C17" s="75"/>
      <c r="D17" s="75"/>
      <c r="E17" s="53"/>
      <c r="F17" s="69" t="s">
        <v>64</v>
      </c>
      <c r="G17" s="76"/>
      <c r="H17" s="76"/>
      <c r="I17" s="27"/>
      <c r="J17" s="77"/>
      <c r="K17" s="78"/>
      <c r="L17" s="78"/>
      <c r="M17" s="78"/>
      <c r="N17" s="78"/>
      <c r="O17" s="78"/>
      <c r="P17" s="78"/>
      <c r="Q17" s="21"/>
      <c r="R17" s="46"/>
      <c r="S17" s="47"/>
      <c r="T17" s="48"/>
      <c r="U17" s="49"/>
      <c r="V17" s="50"/>
      <c r="W17" s="39"/>
      <c r="X17" s="51"/>
      <c r="Y17" s="52"/>
      <c r="Z17" s="21"/>
      <c r="AA17" s="21"/>
      <c r="AB17" s="21"/>
    </row>
    <row r="18" ht="20.25" customHeight="1">
      <c r="A18" s="40"/>
      <c r="B18" s="41" t="s">
        <v>44</v>
      </c>
      <c r="C18" s="41" t="s">
        <v>43</v>
      </c>
      <c r="D18" s="41" t="s">
        <v>46</v>
      </c>
      <c r="E18" s="57"/>
      <c r="F18" s="41" t="s">
        <v>44</v>
      </c>
      <c r="G18" s="41" t="s">
        <v>65</v>
      </c>
      <c r="H18" s="41" t="s">
        <v>46</v>
      </c>
      <c r="I18" s="27"/>
      <c r="J18" s="79" t="s">
        <v>66</v>
      </c>
      <c r="K18" s="80"/>
      <c r="L18" s="81" t="s">
        <v>49</v>
      </c>
      <c r="M18" s="82"/>
      <c r="N18" s="80"/>
      <c r="O18" s="81" t="s">
        <v>67</v>
      </c>
      <c r="P18" s="82"/>
      <c r="Q18" s="21"/>
      <c r="R18" s="46"/>
      <c r="S18" s="47"/>
      <c r="T18" s="48"/>
      <c r="U18" s="49"/>
      <c r="V18" s="50"/>
      <c r="W18" s="39"/>
      <c r="X18" s="51"/>
      <c r="Y18" s="52"/>
      <c r="Z18" s="21"/>
      <c r="AA18" s="21"/>
      <c r="AB18" s="21"/>
    </row>
    <row r="19" ht="20.25" customHeight="1">
      <c r="A19" s="53"/>
      <c r="B19" s="54" t="s">
        <v>68</v>
      </c>
      <c r="C19" s="55" t="s">
        <v>58</v>
      </c>
      <c r="D19" s="56">
        <v>100000.0</v>
      </c>
      <c r="E19" s="57"/>
      <c r="F19" s="54" t="s">
        <v>51</v>
      </c>
      <c r="G19" s="56"/>
      <c r="H19" s="83">
        <f t="shared" ref="H19:H30" si="11">sumifs($X:$X,$U:$U,F19)</f>
        <v>1000</v>
      </c>
      <c r="I19" s="27"/>
      <c r="J19" s="84"/>
      <c r="K19" s="85" t="s">
        <v>65</v>
      </c>
      <c r="L19" s="85" t="s">
        <v>46</v>
      </c>
      <c r="M19" s="85" t="s">
        <v>69</v>
      </c>
      <c r="N19" s="86" t="s">
        <v>65</v>
      </c>
      <c r="O19" s="86" t="s">
        <v>46</v>
      </c>
      <c r="P19" s="86" t="s">
        <v>69</v>
      </c>
      <c r="Q19" s="21"/>
      <c r="R19" s="46"/>
      <c r="S19" s="47"/>
      <c r="T19" s="48"/>
      <c r="U19" s="49"/>
      <c r="V19" s="50"/>
      <c r="W19" s="39"/>
      <c r="X19" s="51"/>
      <c r="Y19" s="52"/>
      <c r="Z19" s="21"/>
      <c r="AA19" s="21"/>
      <c r="AB19" s="21"/>
    </row>
    <row r="20" ht="20.25" customHeight="1">
      <c r="A20" s="53"/>
      <c r="B20" s="54" t="s">
        <v>70</v>
      </c>
      <c r="C20" s="55" t="s">
        <v>71</v>
      </c>
      <c r="D20" s="56">
        <v>8000.0</v>
      </c>
      <c r="E20" s="57"/>
      <c r="F20" s="54" t="s">
        <v>72</v>
      </c>
      <c r="G20" s="56"/>
      <c r="H20" s="83">
        <f t="shared" si="11"/>
        <v>0</v>
      </c>
      <c r="I20" s="27"/>
      <c r="J20" s="54" t="s">
        <v>51</v>
      </c>
      <c r="K20" s="87">
        <v>10000.0</v>
      </c>
      <c r="L20" s="88">
        <f t="shared" ref="L20:L26" si="12">sumifs($X:$X,$S:$S,$L$18,$U:$U,J20)</f>
        <v>1000</v>
      </c>
      <c r="M20" s="88">
        <f t="shared" ref="M20:M27" si="13">K20-L20</f>
        <v>9000</v>
      </c>
      <c r="N20" s="87"/>
      <c r="O20" s="88">
        <f t="shared" ref="O20:O26" si="14">sumifs($X:$X,$S:$S,$O$18,$U:$U,J20)</f>
        <v>0</v>
      </c>
      <c r="P20" s="88">
        <f t="shared" ref="P20:P27" si="15">N20-O20</f>
        <v>0</v>
      </c>
      <c r="Q20" s="21"/>
      <c r="R20" s="46"/>
      <c r="S20" s="47"/>
      <c r="T20" s="48"/>
      <c r="U20" s="49"/>
      <c r="V20" s="50"/>
      <c r="W20" s="39"/>
      <c r="X20" s="51"/>
      <c r="Y20" s="52"/>
      <c r="Z20" s="21"/>
      <c r="AA20" s="21"/>
      <c r="AB20" s="21"/>
    </row>
    <row r="21" ht="20.25" customHeight="1">
      <c r="A21" s="53"/>
      <c r="B21" s="54" t="s">
        <v>73</v>
      </c>
      <c r="C21" s="55" t="s">
        <v>71</v>
      </c>
      <c r="D21" s="56">
        <v>5000.0</v>
      </c>
      <c r="E21" s="57"/>
      <c r="F21" s="54" t="s">
        <v>74</v>
      </c>
      <c r="G21" s="56"/>
      <c r="H21" s="83">
        <f t="shared" si="11"/>
        <v>0</v>
      </c>
      <c r="I21" s="27"/>
      <c r="J21" s="54"/>
      <c r="K21" s="87"/>
      <c r="L21" s="88">
        <f t="shared" si="12"/>
        <v>0</v>
      </c>
      <c r="M21" s="88">
        <f t="shared" si="13"/>
        <v>0</v>
      </c>
      <c r="N21" s="87"/>
      <c r="O21" s="88">
        <f t="shared" si="14"/>
        <v>0</v>
      </c>
      <c r="P21" s="88">
        <f t="shared" si="15"/>
        <v>0</v>
      </c>
      <c r="Q21" s="21"/>
      <c r="R21" s="46"/>
      <c r="S21" s="47"/>
      <c r="T21" s="48"/>
      <c r="U21" s="49"/>
      <c r="V21" s="50"/>
      <c r="W21" s="39"/>
      <c r="X21" s="51"/>
      <c r="Y21" s="52"/>
      <c r="Z21" s="21"/>
      <c r="AA21" s="21"/>
      <c r="AB21" s="21"/>
    </row>
    <row r="22" ht="20.25" customHeight="1">
      <c r="A22" s="53"/>
      <c r="B22" s="54" t="s">
        <v>75</v>
      </c>
      <c r="C22" s="55" t="s">
        <v>53</v>
      </c>
      <c r="D22" s="56">
        <v>2000.0</v>
      </c>
      <c r="E22" s="57"/>
      <c r="F22" s="54" t="s">
        <v>76</v>
      </c>
      <c r="G22" s="56"/>
      <c r="H22" s="83">
        <f t="shared" si="11"/>
        <v>0</v>
      </c>
      <c r="I22" s="27"/>
      <c r="J22" s="54"/>
      <c r="K22" s="87"/>
      <c r="L22" s="88">
        <f t="shared" si="12"/>
        <v>0</v>
      </c>
      <c r="M22" s="88">
        <f t="shared" si="13"/>
        <v>0</v>
      </c>
      <c r="N22" s="87"/>
      <c r="O22" s="88">
        <f t="shared" si="14"/>
        <v>0</v>
      </c>
      <c r="P22" s="88">
        <f t="shared" si="15"/>
        <v>0</v>
      </c>
      <c r="Q22" s="21"/>
      <c r="R22" s="46"/>
      <c r="S22" s="47"/>
      <c r="T22" s="48"/>
      <c r="U22" s="49"/>
      <c r="V22" s="50"/>
      <c r="W22" s="39"/>
      <c r="X22" s="51"/>
      <c r="Y22" s="52"/>
      <c r="Z22" s="21"/>
      <c r="AA22" s="21"/>
      <c r="AB22" s="21"/>
    </row>
    <row r="23" ht="20.25" customHeight="1">
      <c r="A23" s="53"/>
      <c r="B23" s="54" t="s">
        <v>77</v>
      </c>
      <c r="C23" s="55" t="s">
        <v>71</v>
      </c>
      <c r="D23" s="56">
        <v>5000.0</v>
      </c>
      <c r="E23" s="57"/>
      <c r="F23" s="54" t="s">
        <v>78</v>
      </c>
      <c r="G23" s="56"/>
      <c r="H23" s="83">
        <f t="shared" si="11"/>
        <v>0</v>
      </c>
      <c r="I23" s="27"/>
      <c r="J23" s="54"/>
      <c r="K23" s="87"/>
      <c r="L23" s="88">
        <f t="shared" si="12"/>
        <v>0</v>
      </c>
      <c r="M23" s="88">
        <f t="shared" si="13"/>
        <v>0</v>
      </c>
      <c r="N23" s="87"/>
      <c r="O23" s="88">
        <f t="shared" si="14"/>
        <v>0</v>
      </c>
      <c r="P23" s="88">
        <f t="shared" si="15"/>
        <v>0</v>
      </c>
      <c r="Q23" s="21"/>
      <c r="R23" s="46"/>
      <c r="S23" s="47"/>
      <c r="T23" s="48"/>
      <c r="U23" s="49"/>
      <c r="V23" s="50"/>
      <c r="W23" s="39"/>
      <c r="X23" s="51"/>
      <c r="Y23" s="52"/>
      <c r="Z23" s="21"/>
      <c r="AA23" s="21"/>
      <c r="AB23" s="21"/>
    </row>
    <row r="24" ht="20.25" customHeight="1">
      <c r="A24" s="53"/>
      <c r="B24" s="54" t="s">
        <v>79</v>
      </c>
      <c r="C24" s="55" t="s">
        <v>71</v>
      </c>
      <c r="D24" s="56">
        <v>2000.0</v>
      </c>
      <c r="E24" s="57"/>
      <c r="F24" s="54" t="s">
        <v>80</v>
      </c>
      <c r="G24" s="56"/>
      <c r="H24" s="83">
        <f t="shared" si="11"/>
        <v>0</v>
      </c>
      <c r="I24" s="27"/>
      <c r="J24" s="54"/>
      <c r="K24" s="87"/>
      <c r="L24" s="88">
        <f t="shared" si="12"/>
        <v>0</v>
      </c>
      <c r="M24" s="88">
        <f t="shared" si="13"/>
        <v>0</v>
      </c>
      <c r="N24" s="87"/>
      <c r="O24" s="88">
        <f t="shared" si="14"/>
        <v>0</v>
      </c>
      <c r="P24" s="88">
        <f t="shared" si="15"/>
        <v>0</v>
      </c>
      <c r="Q24" s="21"/>
      <c r="R24" s="46"/>
      <c r="S24" s="47"/>
      <c r="T24" s="48"/>
      <c r="U24" s="49"/>
      <c r="V24" s="50"/>
      <c r="W24" s="39"/>
      <c r="X24" s="51"/>
      <c r="Y24" s="52"/>
      <c r="Z24" s="21"/>
      <c r="AA24" s="21"/>
      <c r="AB24" s="21"/>
    </row>
    <row r="25" ht="20.25" customHeight="1">
      <c r="A25" s="53"/>
      <c r="B25" s="54" t="s">
        <v>81</v>
      </c>
      <c r="C25" s="55" t="s">
        <v>53</v>
      </c>
      <c r="D25" s="56">
        <v>5000.0</v>
      </c>
      <c r="E25" s="57"/>
      <c r="F25" s="54"/>
      <c r="G25" s="56"/>
      <c r="H25" s="83">
        <f t="shared" si="11"/>
        <v>0</v>
      </c>
      <c r="I25" s="27"/>
      <c r="J25" s="54"/>
      <c r="K25" s="87"/>
      <c r="L25" s="88">
        <f t="shared" si="12"/>
        <v>0</v>
      </c>
      <c r="M25" s="88">
        <f t="shared" si="13"/>
        <v>0</v>
      </c>
      <c r="N25" s="87"/>
      <c r="O25" s="88">
        <f t="shared" si="14"/>
        <v>0</v>
      </c>
      <c r="P25" s="88">
        <f t="shared" si="15"/>
        <v>0</v>
      </c>
      <c r="Q25" s="21"/>
      <c r="R25" s="46"/>
      <c r="S25" s="47"/>
      <c r="T25" s="48"/>
      <c r="U25" s="49"/>
      <c r="V25" s="50"/>
      <c r="W25" s="39"/>
      <c r="X25" s="51"/>
      <c r="Y25" s="52"/>
      <c r="Z25" s="21"/>
      <c r="AA25" s="21"/>
      <c r="AB25" s="21"/>
    </row>
    <row r="26" ht="20.25" customHeight="1">
      <c r="A26" s="53"/>
      <c r="B26" s="54" t="s">
        <v>82</v>
      </c>
      <c r="C26" s="55" t="s">
        <v>56</v>
      </c>
      <c r="D26" s="56">
        <v>30000.0</v>
      </c>
      <c r="E26" s="57"/>
      <c r="F26" s="54"/>
      <c r="G26" s="56"/>
      <c r="H26" s="83">
        <f t="shared" si="11"/>
        <v>0</v>
      </c>
      <c r="I26" s="27"/>
      <c r="J26" s="54"/>
      <c r="K26" s="87"/>
      <c r="L26" s="88">
        <f t="shared" si="12"/>
        <v>0</v>
      </c>
      <c r="M26" s="88">
        <f t="shared" si="13"/>
        <v>0</v>
      </c>
      <c r="N26" s="87"/>
      <c r="O26" s="88">
        <f t="shared" si="14"/>
        <v>0</v>
      </c>
      <c r="P26" s="88">
        <f t="shared" si="15"/>
        <v>0</v>
      </c>
      <c r="Q26" s="21"/>
      <c r="R26" s="46"/>
      <c r="S26" s="47"/>
      <c r="T26" s="48"/>
      <c r="U26" s="49"/>
      <c r="V26" s="50"/>
      <c r="W26" s="39"/>
      <c r="X26" s="51"/>
      <c r="Y26" s="52"/>
      <c r="Z26" s="21"/>
      <c r="AA26" s="21"/>
      <c r="AB26" s="21"/>
    </row>
    <row r="27" ht="20.25" customHeight="1">
      <c r="A27" s="53"/>
      <c r="B27" s="54"/>
      <c r="C27" s="55"/>
      <c r="D27" s="56"/>
      <c r="E27" s="57"/>
      <c r="F27" s="54"/>
      <c r="G27" s="56"/>
      <c r="H27" s="83">
        <f t="shared" si="11"/>
        <v>0</v>
      </c>
      <c r="I27" s="27"/>
      <c r="J27" s="89" t="s">
        <v>83</v>
      </c>
      <c r="K27" s="88">
        <f t="shared" ref="K27:L27" si="16">SUM(K20:K26)</f>
        <v>10000</v>
      </c>
      <c r="L27" s="88">
        <f t="shared" si="16"/>
        <v>1000</v>
      </c>
      <c r="M27" s="88">
        <f t="shared" si="13"/>
        <v>9000</v>
      </c>
      <c r="N27" s="88">
        <f t="shared" ref="N27:O27" si="17">SUM(N20:N26)</f>
        <v>0</v>
      </c>
      <c r="O27" s="88">
        <f t="shared" si="17"/>
        <v>0</v>
      </c>
      <c r="P27" s="88">
        <f t="shared" si="15"/>
        <v>0</v>
      </c>
      <c r="Q27" s="21"/>
      <c r="R27" s="46"/>
      <c r="S27" s="47"/>
      <c r="T27" s="48"/>
      <c r="U27" s="49"/>
      <c r="V27" s="50"/>
      <c r="W27" s="39"/>
      <c r="X27" s="51"/>
      <c r="Y27" s="52"/>
      <c r="Z27" s="21"/>
      <c r="AA27" s="21"/>
      <c r="AB27" s="21"/>
    </row>
    <row r="28" ht="20.25" customHeight="1">
      <c r="A28" s="53"/>
      <c r="B28" s="54"/>
      <c r="C28" s="55"/>
      <c r="D28" s="67"/>
      <c r="E28" s="57"/>
      <c r="F28" s="54"/>
      <c r="G28" s="56"/>
      <c r="H28" s="83">
        <f t="shared" si="11"/>
        <v>0</v>
      </c>
      <c r="I28" s="27"/>
      <c r="J28" s="90"/>
      <c r="K28" s="91"/>
      <c r="L28" s="92"/>
      <c r="M28" s="92"/>
      <c r="N28" s="92"/>
      <c r="O28" s="93"/>
      <c r="P28" s="94"/>
      <c r="Q28" s="21"/>
      <c r="R28" s="46"/>
      <c r="S28" s="47"/>
      <c r="T28" s="48"/>
      <c r="U28" s="49"/>
      <c r="V28" s="50"/>
      <c r="W28" s="39"/>
      <c r="X28" s="51"/>
      <c r="Y28" s="52"/>
      <c r="Z28" s="21"/>
      <c r="AA28" s="21"/>
      <c r="AB28" s="21"/>
    </row>
    <row r="29" ht="20.25" customHeight="1">
      <c r="A29" s="53"/>
      <c r="B29" s="54"/>
      <c r="C29" s="55"/>
      <c r="D29" s="67"/>
      <c r="E29" s="57"/>
      <c r="F29" s="54"/>
      <c r="G29" s="56"/>
      <c r="H29" s="83">
        <f t="shared" si="11"/>
        <v>0</v>
      </c>
      <c r="I29" s="27"/>
      <c r="J29" s="95" t="s">
        <v>66</v>
      </c>
      <c r="K29" s="80"/>
      <c r="L29" s="81" t="s">
        <v>84</v>
      </c>
      <c r="M29" s="82"/>
      <c r="N29" s="80"/>
      <c r="O29" s="81" t="s">
        <v>85</v>
      </c>
      <c r="P29" s="82"/>
      <c r="Q29" s="21"/>
      <c r="R29" s="46"/>
      <c r="S29" s="47"/>
      <c r="T29" s="48"/>
      <c r="U29" s="49"/>
      <c r="V29" s="50"/>
      <c r="W29" s="39"/>
      <c r="X29" s="51"/>
      <c r="Y29" s="52"/>
      <c r="Z29" s="21"/>
      <c r="AA29" s="21"/>
      <c r="AB29" s="21"/>
    </row>
    <row r="30" ht="20.25" customHeight="1">
      <c r="A30" s="53"/>
      <c r="B30" s="54"/>
      <c r="C30" s="55"/>
      <c r="D30" s="67"/>
      <c r="E30" s="57"/>
      <c r="F30" s="54"/>
      <c r="G30" s="56"/>
      <c r="H30" s="83">
        <f t="shared" si="11"/>
        <v>0</v>
      </c>
      <c r="I30" s="27"/>
      <c r="J30" s="96"/>
      <c r="K30" s="86" t="s">
        <v>65</v>
      </c>
      <c r="L30" s="86" t="s">
        <v>46</v>
      </c>
      <c r="M30" s="86" t="s">
        <v>69</v>
      </c>
      <c r="N30" s="86" t="s">
        <v>65</v>
      </c>
      <c r="O30" s="86" t="s">
        <v>46</v>
      </c>
      <c r="P30" s="86" t="s">
        <v>69</v>
      </c>
      <c r="Q30" s="21"/>
      <c r="R30" s="46"/>
      <c r="S30" s="97"/>
      <c r="T30" s="48"/>
      <c r="U30" s="49"/>
      <c r="V30" s="50"/>
      <c r="W30" s="39"/>
      <c r="X30" s="51"/>
      <c r="Y30" s="52"/>
      <c r="Z30" s="21"/>
      <c r="AA30" s="21"/>
      <c r="AB30" s="21"/>
    </row>
    <row r="31" ht="20.25" customHeight="1">
      <c r="A31" s="69"/>
      <c r="B31" s="70" t="s">
        <v>60</v>
      </c>
      <c r="C31" s="98"/>
      <c r="D31" s="72">
        <f>SUM(D19:D30)</f>
        <v>157000</v>
      </c>
      <c r="E31" s="57"/>
      <c r="F31" s="70" t="s">
        <v>60</v>
      </c>
      <c r="G31" s="72">
        <f t="shared" ref="G31:H31" si="18">SUM(G19:G30)</f>
        <v>0</v>
      </c>
      <c r="H31" s="72">
        <f t="shared" si="18"/>
        <v>1000</v>
      </c>
      <c r="I31" s="27"/>
      <c r="J31" s="54"/>
      <c r="K31" s="56"/>
      <c r="L31" s="88">
        <f t="shared" ref="L31:L37" si="19">sumifs($X:$X,$S:$S,$L$29,$U:$U,J31)</f>
        <v>0</v>
      </c>
      <c r="M31" s="88">
        <f t="shared" ref="M31:M38" si="20">K31-L31</f>
        <v>0</v>
      </c>
      <c r="N31" s="56"/>
      <c r="O31" s="88">
        <f t="shared" ref="O31:O37" si="21">sumifs($X:$X,$S:$S,$O$29,$U:$U,J31)</f>
        <v>0</v>
      </c>
      <c r="P31" s="88">
        <f t="shared" ref="P31:P38" si="22">N31-O31</f>
        <v>0</v>
      </c>
      <c r="Q31" s="21"/>
      <c r="R31" s="46"/>
      <c r="S31" s="97"/>
      <c r="T31" s="48"/>
      <c r="U31" s="49"/>
      <c r="V31" s="50"/>
      <c r="W31" s="39"/>
      <c r="X31" s="51"/>
      <c r="Y31" s="52"/>
      <c r="Z31" s="21"/>
      <c r="AA31" s="21"/>
      <c r="AB31" s="21"/>
    </row>
    <row r="32" ht="20.25" customHeight="1">
      <c r="A32" s="20"/>
      <c r="B32" s="24"/>
      <c r="C32" s="32"/>
      <c r="D32" s="32"/>
      <c r="E32" s="32"/>
      <c r="F32" s="32"/>
      <c r="G32" s="24"/>
      <c r="H32" s="24"/>
      <c r="I32" s="27"/>
      <c r="J32" s="54"/>
      <c r="K32" s="56"/>
      <c r="L32" s="88">
        <f t="shared" si="19"/>
        <v>0</v>
      </c>
      <c r="M32" s="88">
        <f t="shared" si="20"/>
        <v>0</v>
      </c>
      <c r="N32" s="56"/>
      <c r="O32" s="88">
        <f t="shared" si="21"/>
        <v>0</v>
      </c>
      <c r="P32" s="88">
        <f t="shared" si="22"/>
        <v>0</v>
      </c>
      <c r="Q32" s="21"/>
      <c r="R32" s="46"/>
      <c r="S32" s="97"/>
      <c r="T32" s="48"/>
      <c r="U32" s="49"/>
      <c r="V32" s="50"/>
      <c r="W32" s="39"/>
      <c r="X32" s="51"/>
      <c r="Y32" s="52"/>
      <c r="Z32" s="21"/>
      <c r="AA32" s="21"/>
      <c r="AB32" s="21"/>
    </row>
    <row r="33" ht="20.25" customHeight="1">
      <c r="A33" s="28"/>
      <c r="B33" s="99" t="s">
        <v>86</v>
      </c>
      <c r="C33" s="30"/>
      <c r="D33" s="31"/>
      <c r="E33" s="32"/>
      <c r="F33" s="29" t="s">
        <v>87</v>
      </c>
      <c r="G33" s="31"/>
      <c r="H33" s="100" t="s">
        <v>46</v>
      </c>
      <c r="I33" s="101"/>
      <c r="J33" s="54"/>
      <c r="K33" s="56"/>
      <c r="L33" s="88">
        <f t="shared" si="19"/>
        <v>0</v>
      </c>
      <c r="M33" s="88">
        <f t="shared" si="20"/>
        <v>0</v>
      </c>
      <c r="N33" s="56"/>
      <c r="O33" s="88">
        <f t="shared" si="21"/>
        <v>0</v>
      </c>
      <c r="P33" s="88">
        <f t="shared" si="22"/>
        <v>0</v>
      </c>
      <c r="Q33" s="21"/>
      <c r="R33" s="46"/>
      <c r="S33" s="97"/>
      <c r="T33" s="48"/>
      <c r="U33" s="49"/>
      <c r="V33" s="50"/>
      <c r="W33" s="39"/>
      <c r="X33" s="51"/>
      <c r="Y33" s="52"/>
      <c r="Z33" s="21"/>
      <c r="AA33" s="21"/>
      <c r="AB33" s="21"/>
    </row>
    <row r="34" ht="20.25" customHeight="1">
      <c r="A34" s="40"/>
      <c r="B34" s="41" t="s">
        <v>44</v>
      </c>
      <c r="C34" s="41" t="s">
        <v>43</v>
      </c>
      <c r="D34" s="41" t="s">
        <v>46</v>
      </c>
      <c r="E34" s="57"/>
      <c r="F34" s="102" t="s">
        <v>88</v>
      </c>
      <c r="G34" s="31"/>
      <c r="H34" s="103">
        <f>D14</f>
        <v>400000</v>
      </c>
      <c r="I34" s="104"/>
      <c r="J34" s="54"/>
      <c r="K34" s="56"/>
      <c r="L34" s="88">
        <f t="shared" si="19"/>
        <v>0</v>
      </c>
      <c r="M34" s="88">
        <f t="shared" si="20"/>
        <v>0</v>
      </c>
      <c r="N34" s="56"/>
      <c r="O34" s="88">
        <f t="shared" si="21"/>
        <v>0</v>
      </c>
      <c r="P34" s="88">
        <f t="shared" si="22"/>
        <v>0</v>
      </c>
      <c r="Q34" s="21"/>
      <c r="R34" s="46"/>
      <c r="S34" s="97"/>
      <c r="T34" s="48"/>
      <c r="U34" s="49"/>
      <c r="V34" s="50"/>
      <c r="W34" s="39"/>
      <c r="X34" s="51"/>
      <c r="Y34" s="52"/>
      <c r="Z34" s="21"/>
      <c r="AA34" s="21"/>
      <c r="AB34" s="21"/>
    </row>
    <row r="35" ht="20.25" customHeight="1">
      <c r="A35" s="19"/>
      <c r="B35" s="54" t="s">
        <v>89</v>
      </c>
      <c r="C35" s="55" t="s">
        <v>71</v>
      </c>
      <c r="D35" s="59">
        <v>12000.0</v>
      </c>
      <c r="E35" s="57"/>
      <c r="F35" s="102" t="s">
        <v>90</v>
      </c>
      <c r="G35" s="31"/>
      <c r="H35" s="103">
        <f>H14</f>
        <v>80000</v>
      </c>
      <c r="I35" s="104"/>
      <c r="J35" s="54"/>
      <c r="K35" s="56"/>
      <c r="L35" s="88">
        <f t="shared" si="19"/>
        <v>0</v>
      </c>
      <c r="M35" s="88">
        <f t="shared" si="20"/>
        <v>0</v>
      </c>
      <c r="N35" s="56"/>
      <c r="O35" s="88">
        <f t="shared" si="21"/>
        <v>0</v>
      </c>
      <c r="P35" s="88">
        <f t="shared" si="22"/>
        <v>0</v>
      </c>
      <c r="Q35" s="21"/>
      <c r="R35" s="46"/>
      <c r="S35" s="97"/>
      <c r="T35" s="48"/>
      <c r="U35" s="49"/>
      <c r="V35" s="50"/>
      <c r="W35" s="39"/>
      <c r="X35" s="51"/>
      <c r="Y35" s="52"/>
      <c r="Z35" s="21"/>
      <c r="AA35" s="21"/>
      <c r="AB35" s="21"/>
    </row>
    <row r="36" ht="20.25" customHeight="1">
      <c r="A36" s="19"/>
      <c r="B36" s="54"/>
      <c r="C36" s="55"/>
      <c r="D36" s="59"/>
      <c r="E36" s="57"/>
      <c r="F36" s="102" t="s">
        <v>91</v>
      </c>
      <c r="G36" s="31"/>
      <c r="H36" s="103">
        <f>D31+H31</f>
        <v>158000</v>
      </c>
      <c r="I36" s="105"/>
      <c r="J36" s="54"/>
      <c r="K36" s="56"/>
      <c r="L36" s="88">
        <f t="shared" si="19"/>
        <v>0</v>
      </c>
      <c r="M36" s="88">
        <f t="shared" si="20"/>
        <v>0</v>
      </c>
      <c r="N36" s="56"/>
      <c r="O36" s="88">
        <f t="shared" si="21"/>
        <v>0</v>
      </c>
      <c r="P36" s="88">
        <f t="shared" si="22"/>
        <v>0</v>
      </c>
      <c r="Q36" s="21"/>
      <c r="R36" s="46"/>
      <c r="S36" s="97"/>
      <c r="T36" s="48"/>
      <c r="U36" s="49"/>
      <c r="V36" s="50"/>
      <c r="W36" s="39"/>
      <c r="X36" s="51"/>
      <c r="Y36" s="52"/>
      <c r="Z36" s="21"/>
      <c r="AA36" s="21"/>
      <c r="AB36" s="21"/>
    </row>
    <row r="37" ht="20.25" customHeight="1">
      <c r="A37" s="19"/>
      <c r="B37" s="54"/>
      <c r="C37" s="55"/>
      <c r="D37" s="59"/>
      <c r="E37" s="57"/>
      <c r="F37" s="102" t="s">
        <v>92</v>
      </c>
      <c r="G37" s="31"/>
      <c r="H37" s="103">
        <f>H34-H35-H36</f>
        <v>162000</v>
      </c>
      <c r="I37" s="104"/>
      <c r="J37" s="54"/>
      <c r="K37" s="56"/>
      <c r="L37" s="88">
        <f t="shared" si="19"/>
        <v>0</v>
      </c>
      <c r="M37" s="88">
        <f t="shared" si="20"/>
        <v>0</v>
      </c>
      <c r="N37" s="56"/>
      <c r="O37" s="88">
        <f t="shared" si="21"/>
        <v>0</v>
      </c>
      <c r="P37" s="88">
        <f t="shared" si="22"/>
        <v>0</v>
      </c>
      <c r="Q37" s="21"/>
      <c r="R37" s="46"/>
      <c r="S37" s="97"/>
      <c r="T37" s="48"/>
      <c r="U37" s="49"/>
      <c r="V37" s="50"/>
      <c r="W37" s="39"/>
      <c r="X37" s="51"/>
      <c r="Y37" s="52"/>
      <c r="Z37" s="21"/>
      <c r="AA37" s="21"/>
      <c r="AB37" s="21"/>
    </row>
    <row r="38" ht="20.25" customHeight="1">
      <c r="A38" s="106"/>
      <c r="B38" s="54"/>
      <c r="C38" s="55"/>
      <c r="D38" s="59"/>
      <c r="E38" s="57"/>
      <c r="F38" s="102" t="s">
        <v>93</v>
      </c>
      <c r="G38" s="31"/>
      <c r="H38" s="103">
        <f>H35+H37</f>
        <v>242000</v>
      </c>
      <c r="I38" s="107"/>
      <c r="J38" s="89" t="s">
        <v>83</v>
      </c>
      <c r="K38" s="88">
        <f t="shared" ref="K38:L38" si="23">SUM(K31:K37)</f>
        <v>0</v>
      </c>
      <c r="L38" s="88">
        <f t="shared" si="23"/>
        <v>0</v>
      </c>
      <c r="M38" s="88">
        <f t="shared" si="20"/>
        <v>0</v>
      </c>
      <c r="N38" s="88">
        <f t="shared" ref="N38:O38" si="24">SUM(N31:N37)</f>
        <v>0</v>
      </c>
      <c r="O38" s="88">
        <f t="shared" si="24"/>
        <v>0</v>
      </c>
      <c r="P38" s="88">
        <f t="shared" si="22"/>
        <v>0</v>
      </c>
      <c r="Q38" s="21"/>
      <c r="R38" s="46"/>
      <c r="S38" s="97"/>
      <c r="T38" s="48"/>
      <c r="U38" s="49"/>
      <c r="V38" s="50"/>
      <c r="W38" s="39"/>
      <c r="X38" s="51"/>
      <c r="Y38" s="52"/>
      <c r="Z38" s="21"/>
      <c r="AA38" s="21"/>
      <c r="AB38" s="21"/>
    </row>
    <row r="39" ht="20.25" customHeight="1">
      <c r="A39" s="106"/>
      <c r="B39" s="54"/>
      <c r="C39" s="55"/>
      <c r="D39" s="66"/>
      <c r="E39" s="32"/>
      <c r="F39" s="32"/>
      <c r="G39" s="108"/>
      <c r="H39" s="108"/>
      <c r="I39" s="27"/>
      <c r="J39" s="90"/>
      <c r="K39" s="57"/>
      <c r="L39" s="92"/>
      <c r="M39" s="92"/>
      <c r="N39" s="92"/>
      <c r="O39" s="93"/>
      <c r="P39" s="94"/>
      <c r="Q39" s="21"/>
      <c r="R39" s="46"/>
      <c r="S39" s="97"/>
      <c r="T39" s="48"/>
      <c r="U39" s="49"/>
      <c r="V39" s="50"/>
      <c r="W39" s="39"/>
      <c r="X39" s="51"/>
      <c r="Y39" s="52"/>
      <c r="Z39" s="21"/>
      <c r="AA39" s="21"/>
      <c r="AB39" s="21"/>
    </row>
    <row r="40" ht="20.25" customHeight="1">
      <c r="A40" s="69"/>
      <c r="B40" s="109"/>
      <c r="C40" s="55"/>
      <c r="D40" s="110"/>
      <c r="E40" s="32"/>
      <c r="F40" s="111" t="s">
        <v>94</v>
      </c>
      <c r="G40" s="112" t="s">
        <v>95</v>
      </c>
      <c r="H40" s="113"/>
      <c r="I40" s="27"/>
      <c r="J40" s="95" t="s">
        <v>66</v>
      </c>
      <c r="K40" s="80"/>
      <c r="L40" s="81" t="s">
        <v>96</v>
      </c>
      <c r="M40" s="82"/>
      <c r="N40" s="80"/>
      <c r="O40" s="81" t="s">
        <v>83</v>
      </c>
      <c r="P40" s="82"/>
      <c r="Q40" s="21"/>
      <c r="R40" s="46"/>
      <c r="S40" s="97"/>
      <c r="T40" s="48"/>
      <c r="U40" s="49"/>
      <c r="V40" s="50"/>
      <c r="W40" s="39"/>
      <c r="X40" s="51"/>
      <c r="Y40" s="52"/>
      <c r="Z40" s="21"/>
      <c r="AA40" s="21"/>
      <c r="AB40" s="21"/>
    </row>
    <row r="41" ht="20.25" customHeight="1">
      <c r="B41" s="114"/>
      <c r="C41" s="55"/>
      <c r="D41" s="110"/>
      <c r="E41" s="32"/>
      <c r="F41" s="115">
        <f>H36/H34</f>
        <v>0.395</v>
      </c>
      <c r="G41" s="116">
        <f>H38/H34</f>
        <v>0.605</v>
      </c>
      <c r="H41" s="117"/>
      <c r="I41" s="27"/>
      <c r="J41" s="96"/>
      <c r="K41" s="86" t="s">
        <v>65</v>
      </c>
      <c r="L41" s="86" t="s">
        <v>46</v>
      </c>
      <c r="M41" s="86" t="s">
        <v>69</v>
      </c>
      <c r="N41" s="86" t="s">
        <v>65</v>
      </c>
      <c r="O41" s="86" t="s">
        <v>46</v>
      </c>
      <c r="P41" s="86" t="s">
        <v>69</v>
      </c>
      <c r="Q41" s="21"/>
      <c r="R41" s="46"/>
      <c r="S41" s="97"/>
      <c r="T41" s="48"/>
      <c r="U41" s="49"/>
      <c r="V41" s="50"/>
      <c r="W41" s="39"/>
      <c r="X41" s="51"/>
      <c r="Y41" s="52"/>
      <c r="Z41" s="21"/>
      <c r="AA41" s="21"/>
      <c r="AB41" s="21"/>
    </row>
    <row r="42" ht="20.25" customHeight="1">
      <c r="B42" s="118" t="s">
        <v>60</v>
      </c>
      <c r="C42" s="119"/>
      <c r="D42" s="119">
        <f>SUM(D35:D41)</f>
        <v>12000</v>
      </c>
      <c r="E42" s="32"/>
      <c r="F42" s="120"/>
      <c r="G42" s="121"/>
      <c r="H42" s="122"/>
      <c r="I42" s="27"/>
      <c r="J42" s="54"/>
      <c r="K42" s="56"/>
      <c r="L42" s="88">
        <f t="shared" ref="L42:L48" si="26">sumifs($X:$X,$S:$S,$L$40,$U:$U,J42)</f>
        <v>0</v>
      </c>
      <c r="M42" s="88">
        <f t="shared" ref="M42:M49" si="27">K42-L42</f>
        <v>0</v>
      </c>
      <c r="N42" s="83">
        <f t="shared" ref="N42:O42" si="25">K20+N20+K31+N31+K42</f>
        <v>10000</v>
      </c>
      <c r="O42" s="83">
        <f t="shared" si="25"/>
        <v>1000</v>
      </c>
      <c r="P42" s="88">
        <f t="shared" ref="P42:P49" si="29">N42-O42</f>
        <v>9000</v>
      </c>
      <c r="Q42" s="21"/>
      <c r="R42" s="46"/>
      <c r="S42" s="97"/>
      <c r="T42" s="48"/>
      <c r="U42" s="49"/>
      <c r="V42" s="50"/>
      <c r="W42" s="39"/>
      <c r="X42" s="51"/>
      <c r="Y42" s="52"/>
      <c r="Z42" s="21"/>
      <c r="AA42" s="21"/>
      <c r="AB42" s="21"/>
    </row>
    <row r="43" ht="20.25" customHeight="1">
      <c r="A43" s="69"/>
      <c r="B43" s="123"/>
      <c r="C43" s="124"/>
      <c r="D43" s="124" t="s">
        <v>97</v>
      </c>
      <c r="E43" s="25"/>
      <c r="F43" s="125" t="s">
        <v>98</v>
      </c>
      <c r="G43" s="125"/>
      <c r="H43" s="125" t="s">
        <v>99</v>
      </c>
      <c r="I43" s="27"/>
      <c r="J43" s="54"/>
      <c r="K43" s="56"/>
      <c r="L43" s="88">
        <f t="shared" si="26"/>
        <v>0</v>
      </c>
      <c r="M43" s="88">
        <f t="shared" si="27"/>
        <v>0</v>
      </c>
      <c r="N43" s="83">
        <f t="shared" ref="N43:O43" si="28">K21+N21+K32+N32+K43</f>
        <v>0</v>
      </c>
      <c r="O43" s="83">
        <f t="shared" si="28"/>
        <v>0</v>
      </c>
      <c r="P43" s="88">
        <f t="shared" si="29"/>
        <v>0</v>
      </c>
      <c r="Q43" s="21"/>
      <c r="R43" s="46"/>
      <c r="S43" s="97"/>
      <c r="T43" s="48"/>
      <c r="U43" s="49"/>
      <c r="V43" s="50"/>
      <c r="W43" s="39"/>
      <c r="X43" s="51"/>
      <c r="Y43" s="52"/>
      <c r="Z43" s="21"/>
      <c r="AA43" s="21"/>
      <c r="AB43" s="21"/>
    </row>
    <row r="44" ht="20.25" customHeight="1">
      <c r="A44" s="69"/>
      <c r="B44" s="112" t="s">
        <v>100</v>
      </c>
      <c r="C44" s="126"/>
      <c r="D44" s="126"/>
      <c r="E44" s="126"/>
      <c r="F44" s="126"/>
      <c r="G44" s="126"/>
      <c r="H44" s="113"/>
      <c r="I44" s="27"/>
      <c r="J44" s="54"/>
      <c r="K44" s="56"/>
      <c r="L44" s="88">
        <f t="shared" si="26"/>
        <v>0</v>
      </c>
      <c r="M44" s="88">
        <f t="shared" si="27"/>
        <v>0</v>
      </c>
      <c r="N44" s="83">
        <f t="shared" ref="N44:O44" si="30">K22+N22+K33+N33+K44</f>
        <v>0</v>
      </c>
      <c r="O44" s="83">
        <f t="shared" si="30"/>
        <v>0</v>
      </c>
      <c r="P44" s="88">
        <f t="shared" si="29"/>
        <v>0</v>
      </c>
      <c r="Q44" s="21"/>
      <c r="R44" s="46"/>
      <c r="S44" s="97"/>
      <c r="T44" s="48"/>
      <c r="U44" s="49"/>
      <c r="V44" s="50"/>
      <c r="W44" s="39"/>
      <c r="X44" s="51"/>
      <c r="Y44" s="52"/>
      <c r="Z44" s="21"/>
      <c r="AA44" s="21"/>
      <c r="AB44" s="21"/>
    </row>
    <row r="45" ht="20.25" customHeight="1">
      <c r="A45" s="20"/>
      <c r="B45" s="127"/>
      <c r="C45" s="128"/>
      <c r="D45" s="128"/>
      <c r="E45" s="128"/>
      <c r="F45" s="128"/>
      <c r="G45" s="128"/>
      <c r="H45" s="117"/>
      <c r="I45" s="27"/>
      <c r="J45" s="54"/>
      <c r="K45" s="56"/>
      <c r="L45" s="88">
        <f t="shared" si="26"/>
        <v>0</v>
      </c>
      <c r="M45" s="88">
        <f t="shared" si="27"/>
        <v>0</v>
      </c>
      <c r="N45" s="83">
        <f t="shared" ref="N45:O45" si="31">K23+N23+K34+N34+K45</f>
        <v>0</v>
      </c>
      <c r="O45" s="83">
        <f t="shared" si="31"/>
        <v>0</v>
      </c>
      <c r="P45" s="88">
        <f t="shared" si="29"/>
        <v>0</v>
      </c>
      <c r="Q45" s="21"/>
      <c r="R45" s="46"/>
      <c r="S45" s="97"/>
      <c r="T45" s="48"/>
      <c r="U45" s="49"/>
      <c r="V45" s="50"/>
      <c r="W45" s="39"/>
      <c r="X45" s="51"/>
      <c r="Y45" s="52"/>
      <c r="Z45" s="21"/>
      <c r="AA45" s="21"/>
      <c r="AB45" s="21"/>
    </row>
    <row r="46" ht="20.25" customHeight="1">
      <c r="A46" s="20"/>
      <c r="B46" s="129"/>
      <c r="H46" s="130"/>
      <c r="I46" s="27"/>
      <c r="J46" s="54"/>
      <c r="K46" s="56"/>
      <c r="L46" s="88">
        <f t="shared" si="26"/>
        <v>0</v>
      </c>
      <c r="M46" s="88">
        <f t="shared" si="27"/>
        <v>0</v>
      </c>
      <c r="N46" s="83">
        <f t="shared" ref="N46:O46" si="32">K24+N24+K35+N35+K46</f>
        <v>0</v>
      </c>
      <c r="O46" s="83">
        <f t="shared" si="32"/>
        <v>0</v>
      </c>
      <c r="P46" s="88">
        <f t="shared" si="29"/>
        <v>0</v>
      </c>
      <c r="Q46" s="21"/>
      <c r="R46" s="46"/>
      <c r="S46" s="97"/>
      <c r="T46" s="48"/>
      <c r="U46" s="49"/>
      <c r="V46" s="50"/>
      <c r="W46" s="39"/>
      <c r="X46" s="51"/>
      <c r="Y46" s="52"/>
      <c r="Z46" s="21"/>
      <c r="AA46" s="21"/>
      <c r="AB46" s="21"/>
    </row>
    <row r="47" ht="20.25" customHeight="1">
      <c r="A47" s="20"/>
      <c r="B47" s="129"/>
      <c r="H47" s="130"/>
      <c r="I47" s="27"/>
      <c r="J47" s="54"/>
      <c r="K47" s="56"/>
      <c r="L47" s="88">
        <f t="shared" si="26"/>
        <v>0</v>
      </c>
      <c r="M47" s="88">
        <f t="shared" si="27"/>
        <v>0</v>
      </c>
      <c r="N47" s="83">
        <f t="shared" ref="N47:O47" si="33">K25+N25+K36+N36+K47</f>
        <v>0</v>
      </c>
      <c r="O47" s="83">
        <f t="shared" si="33"/>
        <v>0</v>
      </c>
      <c r="P47" s="88">
        <f t="shared" si="29"/>
        <v>0</v>
      </c>
      <c r="Q47" s="21"/>
      <c r="R47" s="46"/>
      <c r="S47" s="97"/>
      <c r="T47" s="48"/>
      <c r="U47" s="49"/>
      <c r="V47" s="50"/>
      <c r="W47" s="39"/>
      <c r="X47" s="51"/>
      <c r="Y47" s="52"/>
      <c r="Z47" s="21"/>
      <c r="AA47" s="21"/>
      <c r="AB47" s="21"/>
    </row>
    <row r="48" ht="20.25" customHeight="1">
      <c r="A48" s="20"/>
      <c r="B48" s="129"/>
      <c r="H48" s="130"/>
      <c r="I48" s="27"/>
      <c r="J48" s="54"/>
      <c r="K48" s="56"/>
      <c r="L48" s="88">
        <f t="shared" si="26"/>
        <v>0</v>
      </c>
      <c r="M48" s="88">
        <f t="shared" si="27"/>
        <v>0</v>
      </c>
      <c r="N48" s="83">
        <f t="shared" ref="N48:O48" si="34">K26+N26+K37+N37+K48</f>
        <v>0</v>
      </c>
      <c r="O48" s="83">
        <f t="shared" si="34"/>
        <v>0</v>
      </c>
      <c r="P48" s="88">
        <f t="shared" si="29"/>
        <v>0</v>
      </c>
      <c r="Q48" s="21"/>
      <c r="R48" s="46"/>
      <c r="S48" s="97"/>
      <c r="T48" s="48"/>
      <c r="U48" s="49"/>
      <c r="V48" s="50"/>
      <c r="W48" s="39"/>
      <c r="X48" s="51"/>
      <c r="Y48" s="52"/>
      <c r="Z48" s="21"/>
      <c r="AA48" s="21"/>
      <c r="AB48" s="21"/>
    </row>
    <row r="49" ht="20.25" customHeight="1">
      <c r="A49" s="20"/>
      <c r="B49" s="121"/>
      <c r="C49" s="131"/>
      <c r="D49" s="131"/>
      <c r="E49" s="131"/>
      <c r="F49" s="131"/>
      <c r="G49" s="131"/>
      <c r="H49" s="122"/>
      <c r="I49" s="27"/>
      <c r="J49" s="89" t="s">
        <v>83</v>
      </c>
      <c r="K49" s="88">
        <f t="shared" ref="K49:L49" si="35">SUM(K42:K48)</f>
        <v>0</v>
      </c>
      <c r="L49" s="88">
        <f t="shared" si="35"/>
        <v>0</v>
      </c>
      <c r="M49" s="88">
        <f t="shared" si="27"/>
        <v>0</v>
      </c>
      <c r="N49" s="88">
        <f t="shared" ref="N49:O49" si="36">SUM(N42:N48)</f>
        <v>10000</v>
      </c>
      <c r="O49" s="88">
        <f t="shared" si="36"/>
        <v>1000</v>
      </c>
      <c r="P49" s="88">
        <f t="shared" si="29"/>
        <v>9000</v>
      </c>
      <c r="Q49" s="21"/>
      <c r="R49" s="46"/>
      <c r="S49" s="97"/>
      <c r="T49" s="48"/>
      <c r="U49" s="49"/>
      <c r="V49" s="50"/>
      <c r="W49" s="39"/>
      <c r="X49" s="51"/>
      <c r="Y49" s="52"/>
      <c r="Z49" s="21"/>
      <c r="AA49" s="21"/>
      <c r="AB49" s="21"/>
    </row>
    <row r="50" ht="6.75" customHeight="1">
      <c r="A50" s="20"/>
      <c r="E50" s="25"/>
      <c r="F50" s="132"/>
      <c r="G50" s="125"/>
      <c r="H50" s="125"/>
      <c r="I50" s="27"/>
      <c r="J50" s="133"/>
      <c r="K50" s="19"/>
      <c r="L50" s="78"/>
      <c r="M50" s="78"/>
      <c r="N50" s="78"/>
      <c r="O50" s="134"/>
      <c r="P50" s="94"/>
      <c r="Q50" s="21"/>
      <c r="R50" s="135"/>
      <c r="S50" s="135"/>
      <c r="T50" s="135"/>
      <c r="U50" s="135"/>
      <c r="V50" s="135"/>
      <c r="W50" s="135"/>
      <c r="X50" s="135"/>
      <c r="Y50" s="135"/>
      <c r="Z50" s="21"/>
      <c r="AA50" s="21"/>
      <c r="AB50" s="21"/>
    </row>
    <row r="51" hidden="1">
      <c r="F51" s="19"/>
      <c r="G51" s="106"/>
      <c r="H51" s="10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</row>
  </sheetData>
  <mergeCells count="67">
    <mergeCell ref="V32:W32"/>
    <mergeCell ref="V37:W37"/>
    <mergeCell ref="G40:H40"/>
    <mergeCell ref="J40:J41"/>
    <mergeCell ref="F41:F42"/>
    <mergeCell ref="G41:H42"/>
    <mergeCell ref="B44:H44"/>
    <mergeCell ref="B45:H49"/>
    <mergeCell ref="B33:D33"/>
    <mergeCell ref="F33:G33"/>
    <mergeCell ref="F34:G34"/>
    <mergeCell ref="F35:G35"/>
    <mergeCell ref="F36:G36"/>
    <mergeCell ref="F37:G37"/>
    <mergeCell ref="F38:G38"/>
    <mergeCell ref="V44:W44"/>
    <mergeCell ref="V45:W45"/>
    <mergeCell ref="V46:W46"/>
    <mergeCell ref="V47:W47"/>
    <mergeCell ref="V48:W48"/>
    <mergeCell ref="V49:W49"/>
    <mergeCell ref="V31:W31"/>
    <mergeCell ref="V38:W38"/>
    <mergeCell ref="V39:W39"/>
    <mergeCell ref="V40:W40"/>
    <mergeCell ref="V41:W41"/>
    <mergeCell ref="V42:W42"/>
    <mergeCell ref="V43:W43"/>
    <mergeCell ref="R2:Y2"/>
    <mergeCell ref="B4:D4"/>
    <mergeCell ref="F4:H4"/>
    <mergeCell ref="V4:W4"/>
    <mergeCell ref="V5:W5"/>
    <mergeCell ref="V6:W6"/>
    <mergeCell ref="V7:W7"/>
    <mergeCell ref="V15:W15"/>
    <mergeCell ref="B16:D16"/>
    <mergeCell ref="F16:H16"/>
    <mergeCell ref="J16:P16"/>
    <mergeCell ref="V16:W16"/>
    <mergeCell ref="J18:J19"/>
    <mergeCell ref="V18:W18"/>
    <mergeCell ref="V19:W19"/>
    <mergeCell ref="V8:W8"/>
    <mergeCell ref="V9:W9"/>
    <mergeCell ref="V10:W10"/>
    <mergeCell ref="V11:W11"/>
    <mergeCell ref="V12:W12"/>
    <mergeCell ref="V13:W13"/>
    <mergeCell ref="V14:W14"/>
    <mergeCell ref="V26:W26"/>
    <mergeCell ref="V27:W27"/>
    <mergeCell ref="V28:W28"/>
    <mergeCell ref="J29:J30"/>
    <mergeCell ref="V29:W29"/>
    <mergeCell ref="V30:W30"/>
    <mergeCell ref="V17:W17"/>
    <mergeCell ref="V20:W20"/>
    <mergeCell ref="V21:W21"/>
    <mergeCell ref="V22:W22"/>
    <mergeCell ref="V23:W23"/>
    <mergeCell ref="V24:W24"/>
    <mergeCell ref="V25:W25"/>
    <mergeCell ref="V34:W34"/>
    <mergeCell ref="V35:W35"/>
    <mergeCell ref="V33:W33"/>
    <mergeCell ref="V36:W36"/>
  </mergeCells>
  <conditionalFormatting sqref="J5:P5 J7:P7 J9:P9 J11:P11 J13:P13">
    <cfRule type="expression" dxfId="4" priority="1">
      <formula>MONTH(J5)&lt;&gt;$B$1</formula>
    </cfRule>
  </conditionalFormatting>
  <dataValidations>
    <dataValidation type="list" allowBlank="1" sqref="B6:B13">
      <formula1>list!$A$2:$A51</formula1>
    </dataValidation>
    <dataValidation type="list" allowBlank="1" sqref="F6:F13">
      <formula1>list!$B$2:$B51</formula1>
    </dataValidation>
    <dataValidation type="list" allowBlank="1" sqref="J20:J26 B19:B30 F19:F30 J31:J37 J42:J48">
      <formula1>list!$C$2:$C51</formula1>
    </dataValidation>
    <dataValidation type="list" allowBlank="1" sqref="C6:C13 G6:G13 C19:C30 C35:C41 T5:T49">
      <formula1>list!$F$2:$F51</formula1>
    </dataValidation>
    <dataValidation type="list" allowBlank="1" sqref="U5:U49">
      <formula1>list!$C$2:$C51</formula1>
    </dataValidation>
    <dataValidation type="list" allowBlank="1" sqref="B35:B41">
      <formula1>list!$D$2:$D51</formula1>
    </dataValidation>
    <dataValidation type="list" allowBlank="1" showErrorMessage="1" sqref="S5:S49">
      <formula1>"1week,2week,3week,4week,5week"</formula1>
    </dataValidation>
    <dataValidation type="custom" allowBlank="1" showDropDown="1" showErrorMessage="1" sqref="J28 J39 R5:R49 J50 R50:Y50">
      <formula1>OR(NOT(ISERROR(DATEVALUE(J5))), AND(ISNUMBER(J5), LEFT(CELL("format", J5))="D"))</formula1>
    </dataValidation>
    <dataValidation type="list" allowBlank="1" showErrorMessage="1" sqref="Y5:Y49">
      <formula1>"〇,△,✕"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8CC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.0"/>
    <col customWidth="1" min="2" max="2" width="18.0"/>
    <col customWidth="1" min="3" max="4" width="11.63"/>
    <col customWidth="1" min="5" max="5" width="2.0"/>
    <col customWidth="1" min="6" max="6" width="18.0"/>
    <col customWidth="1" min="7" max="8" width="11.63"/>
    <col customWidth="1" min="9" max="9" width="2.63"/>
    <col customWidth="1" min="10" max="16" width="13.88"/>
    <col customWidth="1" min="17" max="17" width="2.63"/>
    <col customWidth="1" min="18" max="25" width="12.75"/>
    <col customWidth="1" min="26" max="26" width="2.0"/>
    <col customWidth="1" hidden="1" min="27" max="28" width="11.0"/>
  </cols>
  <sheetData>
    <row r="1" ht="42.0" customHeight="1">
      <c r="A1" s="10"/>
      <c r="B1" s="11">
        <v>2.0</v>
      </c>
      <c r="C1" s="12"/>
      <c r="D1" s="12" t="s">
        <v>29</v>
      </c>
      <c r="E1" s="13"/>
      <c r="F1" s="12"/>
      <c r="G1" s="14"/>
      <c r="H1" s="14"/>
      <c r="I1" s="15"/>
      <c r="J1" s="12" t="s">
        <v>30</v>
      </c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6"/>
      <c r="AB1" s="16"/>
    </row>
    <row r="2" ht="21.75" customHeight="1">
      <c r="A2" s="17"/>
      <c r="B2" s="18">
        <v>2025.0</v>
      </c>
      <c r="C2" s="19"/>
      <c r="D2" s="19"/>
      <c r="G2" s="20"/>
      <c r="H2" s="20"/>
      <c r="I2" s="21"/>
      <c r="J2" s="22">
        <f>DATE(B2,B1,1)</f>
        <v>45689</v>
      </c>
      <c r="K2" s="21"/>
      <c r="L2" s="21"/>
      <c r="M2" s="21"/>
      <c r="N2" s="21"/>
      <c r="O2" s="21"/>
      <c r="P2" s="21"/>
      <c r="Q2" s="21"/>
      <c r="R2" s="23" t="s">
        <v>31</v>
      </c>
      <c r="Z2" s="21"/>
      <c r="AA2" s="21"/>
      <c r="AB2" s="21"/>
    </row>
    <row r="3" ht="7.5" customHeight="1">
      <c r="A3" s="20"/>
      <c r="B3" s="24"/>
      <c r="C3" s="25"/>
      <c r="D3" s="25"/>
      <c r="E3" s="25"/>
      <c r="F3" s="26"/>
      <c r="G3" s="26"/>
      <c r="H3" s="26"/>
      <c r="I3" s="27"/>
      <c r="J3" s="25"/>
      <c r="K3" s="25"/>
      <c r="L3" s="25"/>
      <c r="M3" s="27"/>
      <c r="N3" s="27"/>
      <c r="O3" s="27"/>
      <c r="P3" s="27"/>
      <c r="Q3" s="21"/>
      <c r="Z3" s="21"/>
      <c r="AA3" s="21"/>
      <c r="AB3" s="21"/>
    </row>
    <row r="4" ht="20.25" customHeight="1">
      <c r="A4" s="28"/>
      <c r="B4" s="29" t="s">
        <v>32</v>
      </c>
      <c r="C4" s="30"/>
      <c r="D4" s="31"/>
      <c r="E4" s="32"/>
      <c r="F4" s="29" t="s">
        <v>33</v>
      </c>
      <c r="G4" s="30"/>
      <c r="H4" s="31"/>
      <c r="I4" s="27"/>
      <c r="J4" s="33" t="s">
        <v>34</v>
      </c>
      <c r="K4" s="33" t="s">
        <v>35</v>
      </c>
      <c r="L4" s="33" t="s">
        <v>36</v>
      </c>
      <c r="M4" s="33" t="s">
        <v>37</v>
      </c>
      <c r="N4" s="33" t="s">
        <v>38</v>
      </c>
      <c r="O4" s="34" t="s">
        <v>39</v>
      </c>
      <c r="P4" s="35" t="s">
        <v>40</v>
      </c>
      <c r="Q4" s="21"/>
      <c r="R4" s="36" t="s">
        <v>41</v>
      </c>
      <c r="S4" s="37" t="s">
        <v>42</v>
      </c>
      <c r="T4" s="37" t="s">
        <v>43</v>
      </c>
      <c r="U4" s="37" t="s">
        <v>44</v>
      </c>
      <c r="V4" s="38" t="s">
        <v>45</v>
      </c>
      <c r="W4" s="39"/>
      <c r="X4" s="37" t="s">
        <v>46</v>
      </c>
      <c r="Y4" s="37" t="s">
        <v>47</v>
      </c>
      <c r="Z4" s="21"/>
      <c r="AA4" s="21"/>
      <c r="AB4" s="21"/>
    </row>
    <row r="5" ht="20.25" customHeight="1">
      <c r="A5" s="40"/>
      <c r="B5" s="41" t="s">
        <v>44</v>
      </c>
      <c r="C5" s="42" t="s">
        <v>48</v>
      </c>
      <c r="D5" s="41" t="s">
        <v>46</v>
      </c>
      <c r="E5" s="32"/>
      <c r="F5" s="41" t="s">
        <v>44</v>
      </c>
      <c r="G5" s="41" t="s">
        <v>43</v>
      </c>
      <c r="H5" s="41" t="s">
        <v>46</v>
      </c>
      <c r="I5" s="27"/>
      <c r="J5" s="43">
        <f>$J$2-weekday($J$2)+2</f>
        <v>45684</v>
      </c>
      <c r="K5" s="43">
        <f t="shared" ref="K5:P5" si="1">J5+1</f>
        <v>45685</v>
      </c>
      <c r="L5" s="43">
        <f t="shared" si="1"/>
        <v>45686</v>
      </c>
      <c r="M5" s="43">
        <f t="shared" si="1"/>
        <v>45687</v>
      </c>
      <c r="N5" s="43">
        <f t="shared" si="1"/>
        <v>45688</v>
      </c>
      <c r="O5" s="44">
        <f t="shared" si="1"/>
        <v>45689</v>
      </c>
      <c r="P5" s="45">
        <f t="shared" si="1"/>
        <v>45690</v>
      </c>
      <c r="Q5" s="21"/>
      <c r="R5" s="46">
        <v>45689.0</v>
      </c>
      <c r="S5" s="47"/>
      <c r="T5" s="48"/>
      <c r="U5" s="49"/>
      <c r="V5" s="50"/>
      <c r="W5" s="39"/>
      <c r="X5" s="51"/>
      <c r="Y5" s="52"/>
      <c r="Z5" s="21"/>
      <c r="AA5" s="21"/>
      <c r="AB5" s="21"/>
    </row>
    <row r="6" ht="20.25" customHeight="1">
      <c r="A6" s="53"/>
      <c r="B6" s="54"/>
      <c r="C6" s="55"/>
      <c r="D6" s="56"/>
      <c r="E6" s="57"/>
      <c r="F6" s="58"/>
      <c r="G6" s="55"/>
      <c r="H6" s="56"/>
      <c r="I6" s="27"/>
      <c r="J6" s="60">
        <f t="shared" ref="J6:P6" si="2">sumifs($X:$X,$R:$R,J5)</f>
        <v>0</v>
      </c>
      <c r="K6" s="60">
        <f t="shared" si="2"/>
        <v>0</v>
      </c>
      <c r="L6" s="60">
        <f t="shared" si="2"/>
        <v>0</v>
      </c>
      <c r="M6" s="60">
        <f t="shared" si="2"/>
        <v>0</v>
      </c>
      <c r="N6" s="60">
        <f t="shared" si="2"/>
        <v>0</v>
      </c>
      <c r="O6" s="60">
        <f t="shared" si="2"/>
        <v>0</v>
      </c>
      <c r="P6" s="60">
        <f t="shared" si="2"/>
        <v>0</v>
      </c>
      <c r="Q6" s="21"/>
      <c r="R6" s="46"/>
      <c r="S6" s="47"/>
      <c r="T6" s="48"/>
      <c r="U6" s="49"/>
      <c r="V6" s="50"/>
      <c r="W6" s="39"/>
      <c r="X6" s="51"/>
      <c r="Y6" s="52"/>
      <c r="Z6" s="21"/>
      <c r="AA6" s="21"/>
      <c r="AB6" s="21"/>
    </row>
    <row r="7" ht="20.25" customHeight="1">
      <c r="A7" s="53"/>
      <c r="B7" s="54"/>
      <c r="C7" s="55"/>
      <c r="D7" s="56"/>
      <c r="E7" s="57"/>
      <c r="F7" s="58"/>
      <c r="G7" s="55"/>
      <c r="H7" s="56"/>
      <c r="I7" s="27"/>
      <c r="J7" s="61">
        <f t="shared" ref="J7:P7" si="3">J5+7</f>
        <v>45691</v>
      </c>
      <c r="K7" s="61">
        <f t="shared" si="3"/>
        <v>45692</v>
      </c>
      <c r="L7" s="61">
        <f t="shared" si="3"/>
        <v>45693</v>
      </c>
      <c r="M7" s="61">
        <f t="shared" si="3"/>
        <v>45694</v>
      </c>
      <c r="N7" s="61">
        <f t="shared" si="3"/>
        <v>45695</v>
      </c>
      <c r="O7" s="62">
        <f t="shared" si="3"/>
        <v>45696</v>
      </c>
      <c r="P7" s="63">
        <f t="shared" si="3"/>
        <v>45697</v>
      </c>
      <c r="Q7" s="21"/>
      <c r="R7" s="46"/>
      <c r="S7" s="47"/>
      <c r="T7" s="48"/>
      <c r="U7" s="49"/>
      <c r="V7" s="50"/>
      <c r="W7" s="39"/>
      <c r="X7" s="51"/>
      <c r="Y7" s="52"/>
      <c r="Z7" s="21"/>
      <c r="AA7" s="21"/>
      <c r="AB7" s="21"/>
    </row>
    <row r="8" ht="20.25" customHeight="1">
      <c r="A8" s="53"/>
      <c r="B8" s="54"/>
      <c r="C8" s="55"/>
      <c r="D8" s="56"/>
      <c r="E8" s="57"/>
      <c r="F8" s="58"/>
      <c r="G8" s="55"/>
      <c r="H8" s="59"/>
      <c r="I8" s="27"/>
      <c r="J8" s="60">
        <f t="shared" ref="J8:P8" si="4">sumifs($X:$X,$R:$R,J7)</f>
        <v>0</v>
      </c>
      <c r="K8" s="60">
        <f t="shared" si="4"/>
        <v>0</v>
      </c>
      <c r="L8" s="60">
        <f t="shared" si="4"/>
        <v>0</v>
      </c>
      <c r="M8" s="60">
        <f t="shared" si="4"/>
        <v>0</v>
      </c>
      <c r="N8" s="60">
        <f t="shared" si="4"/>
        <v>0</v>
      </c>
      <c r="O8" s="60">
        <f t="shared" si="4"/>
        <v>0</v>
      </c>
      <c r="P8" s="60">
        <f t="shared" si="4"/>
        <v>0</v>
      </c>
      <c r="Q8" s="21"/>
      <c r="R8" s="46"/>
      <c r="S8" s="47"/>
      <c r="T8" s="48"/>
      <c r="U8" s="49"/>
      <c r="V8" s="50"/>
      <c r="W8" s="39"/>
      <c r="X8" s="51"/>
      <c r="Y8" s="52"/>
      <c r="Z8" s="21"/>
      <c r="AA8" s="21"/>
      <c r="AB8" s="21"/>
    </row>
    <row r="9" ht="20.25" customHeight="1">
      <c r="A9" s="64"/>
      <c r="B9" s="54"/>
      <c r="C9" s="55"/>
      <c r="D9" s="59"/>
      <c r="E9" s="57"/>
      <c r="F9" s="58"/>
      <c r="G9" s="55"/>
      <c r="H9" s="59"/>
      <c r="I9" s="27"/>
      <c r="J9" s="43">
        <f t="shared" ref="J9:P9" si="5">J7+7</f>
        <v>45698</v>
      </c>
      <c r="K9" s="43">
        <f t="shared" si="5"/>
        <v>45699</v>
      </c>
      <c r="L9" s="43">
        <f t="shared" si="5"/>
        <v>45700</v>
      </c>
      <c r="M9" s="43">
        <f t="shared" si="5"/>
        <v>45701</v>
      </c>
      <c r="N9" s="43">
        <f t="shared" si="5"/>
        <v>45702</v>
      </c>
      <c r="O9" s="44">
        <f t="shared" si="5"/>
        <v>45703</v>
      </c>
      <c r="P9" s="45">
        <f t="shared" si="5"/>
        <v>45704</v>
      </c>
      <c r="Q9" s="21"/>
      <c r="R9" s="46"/>
      <c r="S9" s="47"/>
      <c r="T9" s="48"/>
      <c r="U9" s="49"/>
      <c r="V9" s="50"/>
      <c r="W9" s="39"/>
      <c r="X9" s="51"/>
      <c r="Y9" s="52"/>
      <c r="Z9" s="21"/>
      <c r="AA9" s="21"/>
      <c r="AB9" s="21"/>
    </row>
    <row r="10" ht="20.25" customHeight="1">
      <c r="A10" s="64"/>
      <c r="B10" s="54"/>
      <c r="C10" s="55"/>
      <c r="D10" s="56"/>
      <c r="E10" s="57"/>
      <c r="F10" s="65"/>
      <c r="G10" s="55"/>
      <c r="H10" s="66"/>
      <c r="I10" s="27"/>
      <c r="J10" s="60">
        <f t="shared" ref="J10:P10" si="6">sumifs($X:$X,$R:$R,J9)</f>
        <v>0</v>
      </c>
      <c r="K10" s="60">
        <f t="shared" si="6"/>
        <v>0</v>
      </c>
      <c r="L10" s="60">
        <f t="shared" si="6"/>
        <v>0</v>
      </c>
      <c r="M10" s="60">
        <f t="shared" si="6"/>
        <v>0</v>
      </c>
      <c r="N10" s="60">
        <f t="shared" si="6"/>
        <v>0</v>
      </c>
      <c r="O10" s="60">
        <f t="shared" si="6"/>
        <v>0</v>
      </c>
      <c r="P10" s="60">
        <f t="shared" si="6"/>
        <v>0</v>
      </c>
      <c r="Q10" s="21"/>
      <c r="R10" s="46"/>
      <c r="S10" s="47"/>
      <c r="T10" s="48"/>
      <c r="U10" s="49"/>
      <c r="V10" s="50"/>
      <c r="W10" s="39"/>
      <c r="X10" s="51"/>
      <c r="Y10" s="52"/>
      <c r="Z10" s="21"/>
      <c r="AA10" s="21"/>
      <c r="AB10" s="21"/>
    </row>
    <row r="11" ht="20.25" customHeight="1">
      <c r="A11" s="64"/>
      <c r="B11" s="54"/>
      <c r="C11" s="55"/>
      <c r="D11" s="67"/>
      <c r="E11" s="57"/>
      <c r="F11" s="65"/>
      <c r="G11" s="55"/>
      <c r="H11" s="66"/>
      <c r="I11" s="27"/>
      <c r="J11" s="61">
        <f t="shared" ref="J11:P11" si="7">J9+7</f>
        <v>45705</v>
      </c>
      <c r="K11" s="61">
        <f t="shared" si="7"/>
        <v>45706</v>
      </c>
      <c r="L11" s="61">
        <f t="shared" si="7"/>
        <v>45707</v>
      </c>
      <c r="M11" s="61">
        <f t="shared" si="7"/>
        <v>45708</v>
      </c>
      <c r="N11" s="61">
        <f t="shared" si="7"/>
        <v>45709</v>
      </c>
      <c r="O11" s="62">
        <f t="shared" si="7"/>
        <v>45710</v>
      </c>
      <c r="P11" s="63">
        <f t="shared" si="7"/>
        <v>45711</v>
      </c>
      <c r="Q11" s="21"/>
      <c r="R11" s="46"/>
      <c r="S11" s="47"/>
      <c r="T11" s="48"/>
      <c r="U11" s="49"/>
      <c r="V11" s="50"/>
      <c r="W11" s="39"/>
      <c r="X11" s="51"/>
      <c r="Y11" s="52"/>
      <c r="Z11" s="21"/>
      <c r="AA11" s="21"/>
      <c r="AB11" s="21"/>
    </row>
    <row r="12" ht="20.25" customHeight="1">
      <c r="A12" s="64"/>
      <c r="B12" s="68"/>
      <c r="C12" s="55"/>
      <c r="D12" s="67"/>
      <c r="E12" s="57"/>
      <c r="F12" s="65"/>
      <c r="G12" s="55"/>
      <c r="H12" s="66"/>
      <c r="I12" s="27"/>
      <c r="J12" s="60">
        <f t="shared" ref="J12:P12" si="8">sumifs($X:$X,$R:$R,J11)</f>
        <v>0</v>
      </c>
      <c r="K12" s="60">
        <f t="shared" si="8"/>
        <v>0</v>
      </c>
      <c r="L12" s="60">
        <f t="shared" si="8"/>
        <v>0</v>
      </c>
      <c r="M12" s="60">
        <f t="shared" si="8"/>
        <v>0</v>
      </c>
      <c r="N12" s="60">
        <f t="shared" si="8"/>
        <v>0</v>
      </c>
      <c r="O12" s="60">
        <f t="shared" si="8"/>
        <v>0</v>
      </c>
      <c r="P12" s="60">
        <f t="shared" si="8"/>
        <v>0</v>
      </c>
      <c r="Q12" s="21"/>
      <c r="R12" s="46"/>
      <c r="S12" s="47"/>
      <c r="T12" s="48"/>
      <c r="U12" s="49"/>
      <c r="V12" s="50"/>
      <c r="W12" s="39"/>
      <c r="X12" s="51"/>
      <c r="Y12" s="52"/>
      <c r="Z12" s="21"/>
      <c r="AA12" s="21"/>
      <c r="AB12" s="21"/>
    </row>
    <row r="13" ht="20.25" customHeight="1">
      <c r="A13" s="64"/>
      <c r="B13" s="68"/>
      <c r="C13" s="55"/>
      <c r="D13" s="67"/>
      <c r="E13" s="57"/>
      <c r="F13" s="65"/>
      <c r="G13" s="55"/>
      <c r="H13" s="66"/>
      <c r="I13" s="27"/>
      <c r="J13" s="43">
        <f t="shared" ref="J13:P13" si="9">J11+7</f>
        <v>45712</v>
      </c>
      <c r="K13" s="43">
        <f t="shared" si="9"/>
        <v>45713</v>
      </c>
      <c r="L13" s="43">
        <f t="shared" si="9"/>
        <v>45714</v>
      </c>
      <c r="M13" s="43">
        <f t="shared" si="9"/>
        <v>45715</v>
      </c>
      <c r="N13" s="43">
        <f t="shared" si="9"/>
        <v>45716</v>
      </c>
      <c r="O13" s="44">
        <f t="shared" si="9"/>
        <v>45717</v>
      </c>
      <c r="P13" s="45">
        <f t="shared" si="9"/>
        <v>45718</v>
      </c>
      <c r="Q13" s="21"/>
      <c r="R13" s="46"/>
      <c r="S13" s="47"/>
      <c r="T13" s="48"/>
      <c r="U13" s="49"/>
      <c r="V13" s="50"/>
      <c r="W13" s="39"/>
      <c r="X13" s="51"/>
      <c r="Y13" s="52"/>
      <c r="Z13" s="21"/>
      <c r="AA13" s="21"/>
      <c r="AB13" s="21"/>
    </row>
    <row r="14" ht="20.25" customHeight="1">
      <c r="A14" s="69"/>
      <c r="B14" s="70" t="s">
        <v>60</v>
      </c>
      <c r="C14" s="72"/>
      <c r="D14" s="72">
        <f>SUM(D6:D13)</f>
        <v>0</v>
      </c>
      <c r="E14" s="57"/>
      <c r="F14" s="70" t="s">
        <v>60</v>
      </c>
      <c r="G14" s="72"/>
      <c r="H14" s="72">
        <f>SUM(H6:H13)</f>
        <v>0</v>
      </c>
      <c r="I14" s="27"/>
      <c r="J14" s="60">
        <f t="shared" ref="J14:P14" si="10">sumifs($X:$X,$R:$R,J13)</f>
        <v>0</v>
      </c>
      <c r="K14" s="60">
        <f t="shared" si="10"/>
        <v>0</v>
      </c>
      <c r="L14" s="60">
        <f t="shared" si="10"/>
        <v>0</v>
      </c>
      <c r="M14" s="60">
        <f t="shared" si="10"/>
        <v>0</v>
      </c>
      <c r="N14" s="60">
        <f t="shared" si="10"/>
        <v>0</v>
      </c>
      <c r="O14" s="60">
        <f t="shared" si="10"/>
        <v>0</v>
      </c>
      <c r="P14" s="60">
        <f t="shared" si="10"/>
        <v>0</v>
      </c>
      <c r="Q14" s="21"/>
      <c r="R14" s="46"/>
      <c r="S14" s="47"/>
      <c r="T14" s="48"/>
      <c r="U14" s="49"/>
      <c r="V14" s="50"/>
      <c r="W14" s="39"/>
      <c r="X14" s="51"/>
      <c r="Y14" s="52"/>
      <c r="Z14" s="21"/>
      <c r="AA14" s="21"/>
      <c r="AB14" s="21"/>
    </row>
    <row r="15" ht="20.25" customHeight="1">
      <c r="A15" s="20"/>
      <c r="B15" s="24"/>
      <c r="C15" s="32"/>
      <c r="D15" s="32"/>
      <c r="E15" s="32"/>
      <c r="F15" s="32"/>
      <c r="G15" s="24"/>
      <c r="H15" s="24"/>
      <c r="I15" s="27"/>
      <c r="J15" s="25"/>
      <c r="K15" s="25"/>
      <c r="L15" s="25"/>
      <c r="M15" s="25"/>
      <c r="N15" s="25"/>
      <c r="O15" s="25"/>
      <c r="P15" s="25"/>
      <c r="Q15" s="21"/>
      <c r="R15" s="46"/>
      <c r="S15" s="47"/>
      <c r="T15" s="48"/>
      <c r="U15" s="49"/>
      <c r="V15" s="50"/>
      <c r="W15" s="39"/>
      <c r="X15" s="51"/>
      <c r="Y15" s="52"/>
      <c r="Z15" s="21"/>
      <c r="AA15" s="21"/>
      <c r="AB15" s="21"/>
    </row>
    <row r="16" ht="20.25" customHeight="1">
      <c r="A16" s="28"/>
      <c r="B16" s="73" t="s">
        <v>61</v>
      </c>
      <c r="E16" s="27"/>
      <c r="F16" s="73" t="s">
        <v>61</v>
      </c>
      <c r="I16" s="27"/>
      <c r="J16" s="74" t="s">
        <v>62</v>
      </c>
      <c r="Q16" s="21"/>
      <c r="R16" s="46"/>
      <c r="S16" s="47"/>
      <c r="T16" s="48"/>
      <c r="U16" s="49"/>
      <c r="V16" s="50"/>
      <c r="W16" s="39"/>
      <c r="X16" s="51"/>
      <c r="Y16" s="52"/>
      <c r="Z16" s="21"/>
      <c r="AA16" s="21"/>
      <c r="AB16" s="21"/>
    </row>
    <row r="17" ht="20.25" customHeight="1">
      <c r="A17" s="40"/>
      <c r="B17" s="69" t="s">
        <v>63</v>
      </c>
      <c r="C17" s="75"/>
      <c r="D17" s="75"/>
      <c r="E17" s="53"/>
      <c r="F17" s="69" t="s">
        <v>64</v>
      </c>
      <c r="G17" s="76"/>
      <c r="H17" s="76"/>
      <c r="I17" s="27"/>
      <c r="J17" s="77"/>
      <c r="K17" s="78"/>
      <c r="L17" s="78"/>
      <c r="M17" s="78"/>
      <c r="N17" s="78"/>
      <c r="O17" s="78"/>
      <c r="P17" s="78"/>
      <c r="Q17" s="21"/>
      <c r="R17" s="46"/>
      <c r="S17" s="47"/>
      <c r="T17" s="48"/>
      <c r="U17" s="49"/>
      <c r="V17" s="50"/>
      <c r="W17" s="39"/>
      <c r="X17" s="51"/>
      <c r="Y17" s="52"/>
      <c r="Z17" s="21"/>
      <c r="AA17" s="21"/>
      <c r="AB17" s="21"/>
    </row>
    <row r="18" ht="20.25" customHeight="1">
      <c r="A18" s="40"/>
      <c r="B18" s="41" t="s">
        <v>44</v>
      </c>
      <c r="C18" s="41" t="s">
        <v>43</v>
      </c>
      <c r="D18" s="41" t="s">
        <v>46</v>
      </c>
      <c r="E18" s="57"/>
      <c r="F18" s="41" t="s">
        <v>44</v>
      </c>
      <c r="G18" s="41" t="s">
        <v>65</v>
      </c>
      <c r="H18" s="41" t="s">
        <v>46</v>
      </c>
      <c r="I18" s="27"/>
      <c r="J18" s="79" t="s">
        <v>66</v>
      </c>
      <c r="K18" s="80"/>
      <c r="L18" s="81" t="s">
        <v>49</v>
      </c>
      <c r="M18" s="82"/>
      <c r="N18" s="80"/>
      <c r="O18" s="81" t="s">
        <v>67</v>
      </c>
      <c r="P18" s="82"/>
      <c r="Q18" s="21"/>
      <c r="R18" s="46"/>
      <c r="S18" s="47"/>
      <c r="T18" s="48"/>
      <c r="U18" s="49"/>
      <c r="V18" s="50"/>
      <c r="W18" s="39"/>
      <c r="X18" s="51"/>
      <c r="Y18" s="52"/>
      <c r="Z18" s="21"/>
      <c r="AA18" s="21"/>
      <c r="AB18" s="21"/>
    </row>
    <row r="19" ht="20.25" customHeight="1">
      <c r="A19" s="53"/>
      <c r="B19" s="54"/>
      <c r="C19" s="55"/>
      <c r="D19" s="56"/>
      <c r="E19" s="57"/>
      <c r="F19" s="54"/>
      <c r="G19" s="56"/>
      <c r="H19" s="83">
        <f t="shared" ref="H19:H30" si="11">sumifs($X:$X,$U:$U,F19)</f>
        <v>0</v>
      </c>
      <c r="I19" s="27"/>
      <c r="J19" s="84"/>
      <c r="K19" s="85" t="s">
        <v>65</v>
      </c>
      <c r="L19" s="85" t="s">
        <v>46</v>
      </c>
      <c r="M19" s="85" t="s">
        <v>69</v>
      </c>
      <c r="N19" s="86" t="s">
        <v>65</v>
      </c>
      <c r="O19" s="86" t="s">
        <v>46</v>
      </c>
      <c r="P19" s="86" t="s">
        <v>69</v>
      </c>
      <c r="Q19" s="21"/>
      <c r="R19" s="46"/>
      <c r="S19" s="47"/>
      <c r="T19" s="48"/>
      <c r="U19" s="49"/>
      <c r="V19" s="50"/>
      <c r="W19" s="39"/>
      <c r="X19" s="51"/>
      <c r="Y19" s="52"/>
      <c r="Z19" s="21"/>
      <c r="AA19" s="21"/>
      <c r="AB19" s="21"/>
    </row>
    <row r="20" ht="20.25" customHeight="1">
      <c r="A20" s="53"/>
      <c r="B20" s="54"/>
      <c r="C20" s="55"/>
      <c r="D20" s="56"/>
      <c r="E20" s="57"/>
      <c r="F20" s="54"/>
      <c r="G20" s="56"/>
      <c r="H20" s="83">
        <f t="shared" si="11"/>
        <v>0</v>
      </c>
      <c r="I20" s="27"/>
      <c r="J20" s="54"/>
      <c r="K20" s="87"/>
      <c r="L20" s="88">
        <f t="shared" ref="L20:L26" si="12">sumifs($X:$X,$S:$S,$L$18,$U:$U,J20)</f>
        <v>0</v>
      </c>
      <c r="M20" s="88">
        <f t="shared" ref="M20:M27" si="13">K20-L20</f>
        <v>0</v>
      </c>
      <c r="N20" s="87"/>
      <c r="O20" s="88">
        <f t="shared" ref="O20:O26" si="14">sumifs($X:$X,$S:$S,$O$18,$U:$U,J20)</f>
        <v>0</v>
      </c>
      <c r="P20" s="88">
        <f t="shared" ref="P20:P27" si="15">N20-O20</f>
        <v>0</v>
      </c>
      <c r="Q20" s="21"/>
      <c r="R20" s="46"/>
      <c r="S20" s="47"/>
      <c r="T20" s="48"/>
      <c r="U20" s="49"/>
      <c r="V20" s="50"/>
      <c r="W20" s="39"/>
      <c r="X20" s="51"/>
      <c r="Y20" s="52"/>
      <c r="Z20" s="21"/>
      <c r="AA20" s="21"/>
      <c r="AB20" s="21"/>
    </row>
    <row r="21" ht="20.25" customHeight="1">
      <c r="A21" s="53"/>
      <c r="B21" s="54"/>
      <c r="C21" s="55"/>
      <c r="D21" s="56"/>
      <c r="E21" s="57"/>
      <c r="F21" s="54"/>
      <c r="G21" s="56"/>
      <c r="H21" s="83">
        <f t="shared" si="11"/>
        <v>0</v>
      </c>
      <c r="I21" s="27"/>
      <c r="J21" s="54"/>
      <c r="K21" s="87"/>
      <c r="L21" s="88">
        <f t="shared" si="12"/>
        <v>0</v>
      </c>
      <c r="M21" s="88">
        <f t="shared" si="13"/>
        <v>0</v>
      </c>
      <c r="N21" s="87"/>
      <c r="O21" s="88">
        <f t="shared" si="14"/>
        <v>0</v>
      </c>
      <c r="P21" s="88">
        <f t="shared" si="15"/>
        <v>0</v>
      </c>
      <c r="Q21" s="21"/>
      <c r="R21" s="46"/>
      <c r="S21" s="47"/>
      <c r="T21" s="48"/>
      <c r="U21" s="49"/>
      <c r="V21" s="50"/>
      <c r="W21" s="39"/>
      <c r="X21" s="51"/>
      <c r="Y21" s="52"/>
      <c r="Z21" s="21"/>
      <c r="AA21" s="21"/>
      <c r="AB21" s="21"/>
    </row>
    <row r="22" ht="20.25" customHeight="1">
      <c r="A22" s="53"/>
      <c r="B22" s="54"/>
      <c r="C22" s="55"/>
      <c r="D22" s="56"/>
      <c r="E22" s="57"/>
      <c r="F22" s="54"/>
      <c r="G22" s="56"/>
      <c r="H22" s="83">
        <f t="shared" si="11"/>
        <v>0</v>
      </c>
      <c r="I22" s="27"/>
      <c r="J22" s="54"/>
      <c r="K22" s="87"/>
      <c r="L22" s="88">
        <f t="shared" si="12"/>
        <v>0</v>
      </c>
      <c r="M22" s="88">
        <f t="shared" si="13"/>
        <v>0</v>
      </c>
      <c r="N22" s="87"/>
      <c r="O22" s="88">
        <f t="shared" si="14"/>
        <v>0</v>
      </c>
      <c r="P22" s="88">
        <f t="shared" si="15"/>
        <v>0</v>
      </c>
      <c r="Q22" s="21"/>
      <c r="R22" s="46"/>
      <c r="S22" s="47"/>
      <c r="T22" s="48"/>
      <c r="U22" s="49"/>
      <c r="V22" s="50"/>
      <c r="W22" s="39"/>
      <c r="X22" s="51"/>
      <c r="Y22" s="52"/>
      <c r="Z22" s="21"/>
      <c r="AA22" s="21"/>
      <c r="AB22" s="21"/>
    </row>
    <row r="23" ht="20.25" customHeight="1">
      <c r="A23" s="53"/>
      <c r="B23" s="54"/>
      <c r="C23" s="55"/>
      <c r="D23" s="56"/>
      <c r="E23" s="57"/>
      <c r="F23" s="54"/>
      <c r="G23" s="56"/>
      <c r="H23" s="83">
        <f t="shared" si="11"/>
        <v>0</v>
      </c>
      <c r="I23" s="27"/>
      <c r="J23" s="54"/>
      <c r="K23" s="87"/>
      <c r="L23" s="88">
        <f t="shared" si="12"/>
        <v>0</v>
      </c>
      <c r="M23" s="88">
        <f t="shared" si="13"/>
        <v>0</v>
      </c>
      <c r="N23" s="87"/>
      <c r="O23" s="88">
        <f t="shared" si="14"/>
        <v>0</v>
      </c>
      <c r="P23" s="88">
        <f t="shared" si="15"/>
        <v>0</v>
      </c>
      <c r="Q23" s="21"/>
      <c r="R23" s="46"/>
      <c r="S23" s="47"/>
      <c r="T23" s="48"/>
      <c r="U23" s="49"/>
      <c r="V23" s="50"/>
      <c r="W23" s="39"/>
      <c r="X23" s="51"/>
      <c r="Y23" s="52"/>
      <c r="Z23" s="21"/>
      <c r="AA23" s="21"/>
      <c r="AB23" s="21"/>
    </row>
    <row r="24" ht="20.25" customHeight="1">
      <c r="A24" s="53"/>
      <c r="B24" s="54"/>
      <c r="C24" s="55"/>
      <c r="D24" s="56"/>
      <c r="E24" s="57"/>
      <c r="F24" s="54"/>
      <c r="G24" s="56"/>
      <c r="H24" s="83">
        <f t="shared" si="11"/>
        <v>0</v>
      </c>
      <c r="I24" s="27"/>
      <c r="J24" s="54"/>
      <c r="K24" s="87"/>
      <c r="L24" s="88">
        <f t="shared" si="12"/>
        <v>0</v>
      </c>
      <c r="M24" s="88">
        <f t="shared" si="13"/>
        <v>0</v>
      </c>
      <c r="N24" s="87"/>
      <c r="O24" s="88">
        <f t="shared" si="14"/>
        <v>0</v>
      </c>
      <c r="P24" s="88">
        <f t="shared" si="15"/>
        <v>0</v>
      </c>
      <c r="Q24" s="21"/>
      <c r="R24" s="46"/>
      <c r="S24" s="47"/>
      <c r="T24" s="48"/>
      <c r="U24" s="49"/>
      <c r="V24" s="50"/>
      <c r="W24" s="39"/>
      <c r="X24" s="51"/>
      <c r="Y24" s="52"/>
      <c r="Z24" s="21"/>
      <c r="AA24" s="21"/>
      <c r="AB24" s="21"/>
    </row>
    <row r="25" ht="20.25" customHeight="1">
      <c r="A25" s="53"/>
      <c r="B25" s="54"/>
      <c r="C25" s="55"/>
      <c r="D25" s="56"/>
      <c r="E25" s="57"/>
      <c r="F25" s="54"/>
      <c r="G25" s="56"/>
      <c r="H25" s="83">
        <f t="shared" si="11"/>
        <v>0</v>
      </c>
      <c r="I25" s="27"/>
      <c r="J25" s="54"/>
      <c r="K25" s="87"/>
      <c r="L25" s="88">
        <f t="shared" si="12"/>
        <v>0</v>
      </c>
      <c r="M25" s="88">
        <f t="shared" si="13"/>
        <v>0</v>
      </c>
      <c r="N25" s="87"/>
      <c r="O25" s="88">
        <f t="shared" si="14"/>
        <v>0</v>
      </c>
      <c r="P25" s="88">
        <f t="shared" si="15"/>
        <v>0</v>
      </c>
      <c r="Q25" s="21"/>
      <c r="R25" s="46"/>
      <c r="S25" s="47"/>
      <c r="T25" s="48"/>
      <c r="U25" s="49"/>
      <c r="V25" s="50"/>
      <c r="W25" s="39"/>
      <c r="X25" s="51"/>
      <c r="Y25" s="52"/>
      <c r="Z25" s="21"/>
      <c r="AA25" s="21"/>
      <c r="AB25" s="21"/>
    </row>
    <row r="26" ht="20.25" customHeight="1">
      <c r="A26" s="53"/>
      <c r="B26" s="54"/>
      <c r="C26" s="55"/>
      <c r="D26" s="56"/>
      <c r="E26" s="57"/>
      <c r="F26" s="54"/>
      <c r="G26" s="56"/>
      <c r="H26" s="83">
        <f t="shared" si="11"/>
        <v>0</v>
      </c>
      <c r="I26" s="27"/>
      <c r="J26" s="54"/>
      <c r="K26" s="87"/>
      <c r="L26" s="88">
        <f t="shared" si="12"/>
        <v>0</v>
      </c>
      <c r="M26" s="88">
        <f t="shared" si="13"/>
        <v>0</v>
      </c>
      <c r="N26" s="87"/>
      <c r="O26" s="88">
        <f t="shared" si="14"/>
        <v>0</v>
      </c>
      <c r="P26" s="88">
        <f t="shared" si="15"/>
        <v>0</v>
      </c>
      <c r="Q26" s="21"/>
      <c r="R26" s="46"/>
      <c r="S26" s="47"/>
      <c r="T26" s="48"/>
      <c r="U26" s="49"/>
      <c r="V26" s="50"/>
      <c r="W26" s="39"/>
      <c r="X26" s="51"/>
      <c r="Y26" s="52"/>
      <c r="Z26" s="21"/>
      <c r="AA26" s="21"/>
      <c r="AB26" s="21"/>
    </row>
    <row r="27" ht="20.25" customHeight="1">
      <c r="A27" s="53"/>
      <c r="B27" s="54"/>
      <c r="C27" s="55"/>
      <c r="D27" s="56"/>
      <c r="E27" s="57"/>
      <c r="F27" s="54"/>
      <c r="G27" s="56"/>
      <c r="H27" s="83">
        <f t="shared" si="11"/>
        <v>0</v>
      </c>
      <c r="I27" s="27"/>
      <c r="J27" s="89" t="s">
        <v>83</v>
      </c>
      <c r="K27" s="88">
        <f t="shared" ref="K27:L27" si="16">SUM(K20:K26)</f>
        <v>0</v>
      </c>
      <c r="L27" s="88">
        <f t="shared" si="16"/>
        <v>0</v>
      </c>
      <c r="M27" s="88">
        <f t="shared" si="13"/>
        <v>0</v>
      </c>
      <c r="N27" s="88">
        <f t="shared" ref="N27:O27" si="17">SUM(N20:N26)</f>
        <v>0</v>
      </c>
      <c r="O27" s="88">
        <f t="shared" si="17"/>
        <v>0</v>
      </c>
      <c r="P27" s="88">
        <f t="shared" si="15"/>
        <v>0</v>
      </c>
      <c r="Q27" s="21"/>
      <c r="R27" s="46"/>
      <c r="S27" s="47"/>
      <c r="T27" s="48"/>
      <c r="U27" s="49"/>
      <c r="V27" s="50"/>
      <c r="W27" s="39"/>
      <c r="X27" s="51"/>
      <c r="Y27" s="52"/>
      <c r="Z27" s="21"/>
      <c r="AA27" s="21"/>
      <c r="AB27" s="21"/>
    </row>
    <row r="28" ht="20.25" customHeight="1">
      <c r="A28" s="53"/>
      <c r="B28" s="54"/>
      <c r="C28" s="55"/>
      <c r="D28" s="67"/>
      <c r="E28" s="57"/>
      <c r="F28" s="54"/>
      <c r="G28" s="56"/>
      <c r="H28" s="83">
        <f t="shared" si="11"/>
        <v>0</v>
      </c>
      <c r="I28" s="27"/>
      <c r="J28" s="90"/>
      <c r="K28" s="91"/>
      <c r="L28" s="92"/>
      <c r="M28" s="92"/>
      <c r="N28" s="92"/>
      <c r="O28" s="93"/>
      <c r="P28" s="94"/>
      <c r="Q28" s="21"/>
      <c r="R28" s="46"/>
      <c r="S28" s="47"/>
      <c r="T28" s="48"/>
      <c r="U28" s="49"/>
      <c r="V28" s="50"/>
      <c r="W28" s="39"/>
      <c r="X28" s="51"/>
      <c r="Y28" s="52"/>
      <c r="Z28" s="21"/>
      <c r="AA28" s="21"/>
      <c r="AB28" s="21"/>
    </row>
    <row r="29" ht="20.25" customHeight="1">
      <c r="A29" s="53"/>
      <c r="B29" s="54"/>
      <c r="C29" s="55"/>
      <c r="D29" s="67"/>
      <c r="E29" s="57"/>
      <c r="F29" s="54"/>
      <c r="G29" s="56"/>
      <c r="H29" s="83">
        <f t="shared" si="11"/>
        <v>0</v>
      </c>
      <c r="I29" s="27"/>
      <c r="J29" s="95" t="s">
        <v>66</v>
      </c>
      <c r="K29" s="80"/>
      <c r="L29" s="81" t="s">
        <v>84</v>
      </c>
      <c r="M29" s="82"/>
      <c r="N29" s="80"/>
      <c r="O29" s="81" t="s">
        <v>85</v>
      </c>
      <c r="P29" s="82"/>
      <c r="Q29" s="21"/>
      <c r="R29" s="46"/>
      <c r="S29" s="47"/>
      <c r="T29" s="48"/>
      <c r="U29" s="49"/>
      <c r="V29" s="50"/>
      <c r="W29" s="39"/>
      <c r="X29" s="51"/>
      <c r="Y29" s="52"/>
      <c r="Z29" s="21"/>
      <c r="AA29" s="21"/>
      <c r="AB29" s="21"/>
    </row>
    <row r="30" ht="20.25" customHeight="1">
      <c r="A30" s="53"/>
      <c r="B30" s="54"/>
      <c r="C30" s="55"/>
      <c r="D30" s="67"/>
      <c r="E30" s="57"/>
      <c r="F30" s="54"/>
      <c r="G30" s="56"/>
      <c r="H30" s="83">
        <f t="shared" si="11"/>
        <v>0</v>
      </c>
      <c r="I30" s="27"/>
      <c r="J30" s="96"/>
      <c r="K30" s="86" t="s">
        <v>65</v>
      </c>
      <c r="L30" s="86" t="s">
        <v>46</v>
      </c>
      <c r="M30" s="86" t="s">
        <v>69</v>
      </c>
      <c r="N30" s="86" t="s">
        <v>65</v>
      </c>
      <c r="O30" s="86" t="s">
        <v>46</v>
      </c>
      <c r="P30" s="86" t="s">
        <v>69</v>
      </c>
      <c r="Q30" s="21"/>
      <c r="R30" s="46"/>
      <c r="S30" s="97"/>
      <c r="T30" s="48"/>
      <c r="U30" s="49"/>
      <c r="V30" s="50"/>
      <c r="W30" s="39"/>
      <c r="X30" s="51"/>
      <c r="Y30" s="52"/>
      <c r="Z30" s="21"/>
      <c r="AA30" s="21"/>
      <c r="AB30" s="21"/>
    </row>
    <row r="31" ht="20.25" customHeight="1">
      <c r="A31" s="69"/>
      <c r="B31" s="70" t="s">
        <v>60</v>
      </c>
      <c r="C31" s="98"/>
      <c r="D31" s="72">
        <f>SUM(D19:D30)</f>
        <v>0</v>
      </c>
      <c r="E31" s="57"/>
      <c r="F31" s="70" t="s">
        <v>60</v>
      </c>
      <c r="G31" s="72">
        <f t="shared" ref="G31:H31" si="18">SUM(G19:G30)</f>
        <v>0</v>
      </c>
      <c r="H31" s="72">
        <f t="shared" si="18"/>
        <v>0</v>
      </c>
      <c r="I31" s="27"/>
      <c r="J31" s="54"/>
      <c r="K31" s="56"/>
      <c r="L31" s="88">
        <f t="shared" ref="L31:L37" si="19">sumifs($X:$X,$S:$S,$L$29,$U:$U,J31)</f>
        <v>0</v>
      </c>
      <c r="M31" s="88">
        <f t="shared" ref="M31:M38" si="20">K31-L31</f>
        <v>0</v>
      </c>
      <c r="N31" s="56"/>
      <c r="O31" s="88">
        <f t="shared" ref="O31:O37" si="21">sumifs($X:$X,$S:$S,$O$29,$U:$U,J31)</f>
        <v>0</v>
      </c>
      <c r="P31" s="88">
        <f t="shared" ref="P31:P38" si="22">N31-O31</f>
        <v>0</v>
      </c>
      <c r="Q31" s="21"/>
      <c r="R31" s="46"/>
      <c r="S31" s="97"/>
      <c r="T31" s="48"/>
      <c r="U31" s="49"/>
      <c r="V31" s="50"/>
      <c r="W31" s="39"/>
      <c r="X31" s="51"/>
      <c r="Y31" s="52"/>
      <c r="Z31" s="21"/>
      <c r="AA31" s="21"/>
      <c r="AB31" s="21"/>
    </row>
    <row r="32" ht="20.25" customHeight="1">
      <c r="A32" s="20"/>
      <c r="B32" s="24"/>
      <c r="C32" s="32"/>
      <c r="D32" s="32"/>
      <c r="E32" s="32"/>
      <c r="F32" s="32"/>
      <c r="G32" s="24"/>
      <c r="H32" s="24"/>
      <c r="I32" s="27"/>
      <c r="J32" s="54"/>
      <c r="K32" s="56"/>
      <c r="L32" s="88">
        <f t="shared" si="19"/>
        <v>0</v>
      </c>
      <c r="M32" s="88">
        <f t="shared" si="20"/>
        <v>0</v>
      </c>
      <c r="N32" s="56"/>
      <c r="O32" s="88">
        <f t="shared" si="21"/>
        <v>0</v>
      </c>
      <c r="P32" s="88">
        <f t="shared" si="22"/>
        <v>0</v>
      </c>
      <c r="Q32" s="21"/>
      <c r="R32" s="46"/>
      <c r="S32" s="97"/>
      <c r="T32" s="48"/>
      <c r="U32" s="49"/>
      <c r="V32" s="50"/>
      <c r="W32" s="39"/>
      <c r="X32" s="51"/>
      <c r="Y32" s="52"/>
      <c r="Z32" s="21"/>
      <c r="AA32" s="21"/>
      <c r="AB32" s="21"/>
    </row>
    <row r="33" ht="20.25" customHeight="1">
      <c r="A33" s="28"/>
      <c r="B33" s="99" t="s">
        <v>86</v>
      </c>
      <c r="C33" s="30"/>
      <c r="D33" s="31"/>
      <c r="E33" s="32"/>
      <c r="F33" s="29" t="s">
        <v>87</v>
      </c>
      <c r="G33" s="31"/>
      <c r="H33" s="100" t="s">
        <v>46</v>
      </c>
      <c r="I33" s="101"/>
      <c r="J33" s="54"/>
      <c r="K33" s="56"/>
      <c r="L33" s="88">
        <f t="shared" si="19"/>
        <v>0</v>
      </c>
      <c r="M33" s="88">
        <f t="shared" si="20"/>
        <v>0</v>
      </c>
      <c r="N33" s="56"/>
      <c r="O33" s="88">
        <f t="shared" si="21"/>
        <v>0</v>
      </c>
      <c r="P33" s="88">
        <f t="shared" si="22"/>
        <v>0</v>
      </c>
      <c r="Q33" s="21"/>
      <c r="R33" s="46"/>
      <c r="S33" s="97"/>
      <c r="T33" s="48"/>
      <c r="U33" s="49"/>
      <c r="V33" s="50"/>
      <c r="W33" s="39"/>
      <c r="X33" s="51"/>
      <c r="Y33" s="52"/>
      <c r="Z33" s="21"/>
      <c r="AA33" s="21"/>
      <c r="AB33" s="21"/>
    </row>
    <row r="34" ht="20.25" customHeight="1">
      <c r="A34" s="40"/>
      <c r="B34" s="41" t="s">
        <v>44</v>
      </c>
      <c r="C34" s="41" t="s">
        <v>43</v>
      </c>
      <c r="D34" s="41" t="s">
        <v>46</v>
      </c>
      <c r="E34" s="57"/>
      <c r="F34" s="102" t="s">
        <v>88</v>
      </c>
      <c r="G34" s="31"/>
      <c r="H34" s="103">
        <f>D14</f>
        <v>0</v>
      </c>
      <c r="I34" s="104"/>
      <c r="J34" s="54"/>
      <c r="K34" s="56"/>
      <c r="L34" s="88">
        <f t="shared" si="19"/>
        <v>0</v>
      </c>
      <c r="M34" s="88">
        <f t="shared" si="20"/>
        <v>0</v>
      </c>
      <c r="N34" s="56"/>
      <c r="O34" s="88">
        <f t="shared" si="21"/>
        <v>0</v>
      </c>
      <c r="P34" s="88">
        <f t="shared" si="22"/>
        <v>0</v>
      </c>
      <c r="Q34" s="21"/>
      <c r="R34" s="46"/>
      <c r="S34" s="97"/>
      <c r="T34" s="48"/>
      <c r="U34" s="49"/>
      <c r="V34" s="50"/>
      <c r="W34" s="39"/>
      <c r="X34" s="51"/>
      <c r="Y34" s="52"/>
      <c r="Z34" s="21"/>
      <c r="AA34" s="21"/>
      <c r="AB34" s="21"/>
    </row>
    <row r="35" ht="20.25" customHeight="1">
      <c r="A35" s="19"/>
      <c r="B35" s="54"/>
      <c r="C35" s="55"/>
      <c r="D35" s="56"/>
      <c r="E35" s="57"/>
      <c r="F35" s="102" t="s">
        <v>90</v>
      </c>
      <c r="G35" s="31"/>
      <c r="H35" s="103">
        <f>H14</f>
        <v>0</v>
      </c>
      <c r="I35" s="104"/>
      <c r="J35" s="54"/>
      <c r="K35" s="56"/>
      <c r="L35" s="88">
        <f t="shared" si="19"/>
        <v>0</v>
      </c>
      <c r="M35" s="88">
        <f t="shared" si="20"/>
        <v>0</v>
      </c>
      <c r="N35" s="56"/>
      <c r="O35" s="88">
        <f t="shared" si="21"/>
        <v>0</v>
      </c>
      <c r="P35" s="88">
        <f t="shared" si="22"/>
        <v>0</v>
      </c>
      <c r="Q35" s="21"/>
      <c r="R35" s="46"/>
      <c r="S35" s="97"/>
      <c r="T35" s="48"/>
      <c r="U35" s="49"/>
      <c r="V35" s="50"/>
      <c r="W35" s="39"/>
      <c r="X35" s="51"/>
      <c r="Y35" s="52"/>
      <c r="Z35" s="21"/>
      <c r="AA35" s="21"/>
      <c r="AB35" s="21"/>
    </row>
    <row r="36" ht="20.25" customHeight="1">
      <c r="A36" s="19"/>
      <c r="B36" s="54"/>
      <c r="C36" s="55"/>
      <c r="D36" s="59"/>
      <c r="E36" s="57"/>
      <c r="F36" s="102" t="s">
        <v>91</v>
      </c>
      <c r="G36" s="31"/>
      <c r="H36" s="103">
        <f>D31+H31</f>
        <v>0</v>
      </c>
      <c r="I36" s="105"/>
      <c r="J36" s="54"/>
      <c r="K36" s="56"/>
      <c r="L36" s="88">
        <f t="shared" si="19"/>
        <v>0</v>
      </c>
      <c r="M36" s="88">
        <f t="shared" si="20"/>
        <v>0</v>
      </c>
      <c r="N36" s="56"/>
      <c r="O36" s="88">
        <f t="shared" si="21"/>
        <v>0</v>
      </c>
      <c r="P36" s="88">
        <f t="shared" si="22"/>
        <v>0</v>
      </c>
      <c r="Q36" s="21"/>
      <c r="R36" s="46"/>
      <c r="S36" s="97"/>
      <c r="T36" s="48"/>
      <c r="U36" s="49"/>
      <c r="V36" s="50"/>
      <c r="W36" s="39"/>
      <c r="X36" s="51"/>
      <c r="Y36" s="52"/>
      <c r="Z36" s="21"/>
      <c r="AA36" s="21"/>
      <c r="AB36" s="21"/>
    </row>
    <row r="37" ht="20.25" customHeight="1">
      <c r="A37" s="19"/>
      <c r="B37" s="54"/>
      <c r="C37" s="55"/>
      <c r="D37" s="59"/>
      <c r="E37" s="57"/>
      <c r="F37" s="102" t="s">
        <v>92</v>
      </c>
      <c r="G37" s="31"/>
      <c r="H37" s="103">
        <f>H34-H35-H36</f>
        <v>0</v>
      </c>
      <c r="I37" s="104"/>
      <c r="J37" s="54"/>
      <c r="K37" s="56"/>
      <c r="L37" s="88">
        <f t="shared" si="19"/>
        <v>0</v>
      </c>
      <c r="M37" s="88">
        <f t="shared" si="20"/>
        <v>0</v>
      </c>
      <c r="N37" s="56"/>
      <c r="O37" s="88">
        <f t="shared" si="21"/>
        <v>0</v>
      </c>
      <c r="P37" s="88">
        <f t="shared" si="22"/>
        <v>0</v>
      </c>
      <c r="Q37" s="21"/>
      <c r="R37" s="46"/>
      <c r="S37" s="97"/>
      <c r="T37" s="48"/>
      <c r="U37" s="49"/>
      <c r="V37" s="50"/>
      <c r="W37" s="39"/>
      <c r="X37" s="51"/>
      <c r="Y37" s="52"/>
      <c r="Z37" s="21"/>
      <c r="AA37" s="21"/>
      <c r="AB37" s="21"/>
    </row>
    <row r="38" ht="20.25" customHeight="1">
      <c r="A38" s="106"/>
      <c r="B38" s="54"/>
      <c r="C38" s="55"/>
      <c r="D38" s="59"/>
      <c r="E38" s="57"/>
      <c r="F38" s="102" t="s">
        <v>93</v>
      </c>
      <c r="G38" s="31"/>
      <c r="H38" s="103">
        <f>H35+H37</f>
        <v>0</v>
      </c>
      <c r="I38" s="107"/>
      <c r="J38" s="89" t="s">
        <v>83</v>
      </c>
      <c r="K38" s="88">
        <f t="shared" ref="K38:L38" si="23">SUM(K31:K37)</f>
        <v>0</v>
      </c>
      <c r="L38" s="88">
        <f t="shared" si="23"/>
        <v>0</v>
      </c>
      <c r="M38" s="88">
        <f t="shared" si="20"/>
        <v>0</v>
      </c>
      <c r="N38" s="88">
        <f t="shared" ref="N38:O38" si="24">SUM(N31:N37)</f>
        <v>0</v>
      </c>
      <c r="O38" s="88">
        <f t="shared" si="24"/>
        <v>0</v>
      </c>
      <c r="P38" s="88">
        <f t="shared" si="22"/>
        <v>0</v>
      </c>
      <c r="Q38" s="21"/>
      <c r="R38" s="46"/>
      <c r="S38" s="97"/>
      <c r="T38" s="48"/>
      <c r="U38" s="49"/>
      <c r="V38" s="50"/>
      <c r="W38" s="39"/>
      <c r="X38" s="51"/>
      <c r="Y38" s="52"/>
      <c r="Z38" s="21"/>
      <c r="AA38" s="21"/>
      <c r="AB38" s="21"/>
    </row>
    <row r="39" ht="20.25" customHeight="1">
      <c r="A39" s="106"/>
      <c r="B39" s="54"/>
      <c r="C39" s="55"/>
      <c r="D39" s="66"/>
      <c r="E39" s="32"/>
      <c r="F39" s="32"/>
      <c r="G39" s="108"/>
      <c r="H39" s="108"/>
      <c r="I39" s="27"/>
      <c r="J39" s="90"/>
      <c r="K39" s="57"/>
      <c r="L39" s="92"/>
      <c r="M39" s="92"/>
      <c r="N39" s="92"/>
      <c r="O39" s="93"/>
      <c r="P39" s="94"/>
      <c r="Q39" s="21"/>
      <c r="R39" s="46"/>
      <c r="S39" s="97"/>
      <c r="T39" s="48"/>
      <c r="U39" s="49"/>
      <c r="V39" s="50"/>
      <c r="W39" s="39"/>
      <c r="X39" s="51"/>
      <c r="Y39" s="52"/>
      <c r="Z39" s="21"/>
      <c r="AA39" s="21"/>
      <c r="AB39" s="21"/>
    </row>
    <row r="40" ht="20.25" customHeight="1">
      <c r="A40" s="69"/>
      <c r="B40" s="109"/>
      <c r="C40" s="55"/>
      <c r="D40" s="110"/>
      <c r="E40" s="32"/>
      <c r="F40" s="111" t="s">
        <v>101</v>
      </c>
      <c r="G40" s="112" t="s">
        <v>102</v>
      </c>
      <c r="H40" s="113"/>
      <c r="I40" s="27"/>
      <c r="J40" s="95" t="s">
        <v>66</v>
      </c>
      <c r="K40" s="80"/>
      <c r="L40" s="81" t="s">
        <v>96</v>
      </c>
      <c r="M40" s="82"/>
      <c r="N40" s="80"/>
      <c r="O40" s="81" t="s">
        <v>83</v>
      </c>
      <c r="P40" s="82"/>
      <c r="Q40" s="21"/>
      <c r="R40" s="46"/>
      <c r="S40" s="97"/>
      <c r="T40" s="48"/>
      <c r="U40" s="49"/>
      <c r="V40" s="50"/>
      <c r="W40" s="39"/>
      <c r="X40" s="51"/>
      <c r="Y40" s="52"/>
      <c r="Z40" s="21"/>
      <c r="AA40" s="21"/>
      <c r="AB40" s="21"/>
    </row>
    <row r="41" ht="20.25" customHeight="1">
      <c r="B41" s="114"/>
      <c r="C41" s="55"/>
      <c r="D41" s="110"/>
      <c r="E41" s="32"/>
      <c r="F41" s="115" t="str">
        <f>H36/H34</f>
        <v>#DIV/0!</v>
      </c>
      <c r="G41" s="116" t="str">
        <f>H38/H34</f>
        <v>#DIV/0!</v>
      </c>
      <c r="H41" s="117"/>
      <c r="I41" s="27"/>
      <c r="J41" s="96"/>
      <c r="K41" s="86" t="s">
        <v>65</v>
      </c>
      <c r="L41" s="86" t="s">
        <v>46</v>
      </c>
      <c r="M41" s="86" t="s">
        <v>69</v>
      </c>
      <c r="N41" s="86" t="s">
        <v>65</v>
      </c>
      <c r="O41" s="86" t="s">
        <v>46</v>
      </c>
      <c r="P41" s="86" t="s">
        <v>69</v>
      </c>
      <c r="Q41" s="21"/>
      <c r="R41" s="46"/>
      <c r="S41" s="97"/>
      <c r="T41" s="48"/>
      <c r="U41" s="49"/>
      <c r="V41" s="50"/>
      <c r="W41" s="39"/>
      <c r="X41" s="51"/>
      <c r="Y41" s="52"/>
      <c r="Z41" s="21"/>
      <c r="AA41" s="21"/>
      <c r="AB41" s="21"/>
    </row>
    <row r="42" ht="20.25" customHeight="1">
      <c r="B42" s="118" t="s">
        <v>60</v>
      </c>
      <c r="C42" s="119"/>
      <c r="D42" s="119">
        <f>SUM(D35:D41)</f>
        <v>0</v>
      </c>
      <c r="E42" s="32"/>
      <c r="F42" s="120"/>
      <c r="G42" s="121"/>
      <c r="H42" s="122"/>
      <c r="I42" s="27"/>
      <c r="J42" s="54"/>
      <c r="K42" s="56"/>
      <c r="L42" s="88">
        <f t="shared" ref="L42:L48" si="26">sumifs($X:$X,$S:$S,$L$40,$U:$U,J42)</f>
        <v>0</v>
      </c>
      <c r="M42" s="88">
        <f t="shared" ref="M42:M49" si="27">K42-L42</f>
        <v>0</v>
      </c>
      <c r="N42" s="83">
        <f t="shared" ref="N42:O42" si="25">K20+N20+K31+N31+K42</f>
        <v>0</v>
      </c>
      <c r="O42" s="83">
        <f t="shared" si="25"/>
        <v>0</v>
      </c>
      <c r="P42" s="88">
        <f t="shared" ref="P42:P49" si="29">N42-O42</f>
        <v>0</v>
      </c>
      <c r="Q42" s="21"/>
      <c r="R42" s="46"/>
      <c r="S42" s="97"/>
      <c r="T42" s="48"/>
      <c r="U42" s="49"/>
      <c r="V42" s="50"/>
      <c r="W42" s="39"/>
      <c r="X42" s="51"/>
      <c r="Y42" s="52"/>
      <c r="Z42" s="21"/>
      <c r="AA42" s="21"/>
      <c r="AB42" s="21"/>
    </row>
    <row r="43" ht="20.25" customHeight="1">
      <c r="A43" s="69"/>
      <c r="B43" s="123"/>
      <c r="C43" s="124"/>
      <c r="D43" s="124" t="s">
        <v>97</v>
      </c>
      <c r="E43" s="25"/>
      <c r="F43" s="125" t="s">
        <v>98</v>
      </c>
      <c r="G43" s="125"/>
      <c r="H43" s="125" t="s">
        <v>99</v>
      </c>
      <c r="I43" s="27"/>
      <c r="J43" s="54"/>
      <c r="K43" s="56"/>
      <c r="L43" s="88">
        <f t="shared" si="26"/>
        <v>0</v>
      </c>
      <c r="M43" s="88">
        <f t="shared" si="27"/>
        <v>0</v>
      </c>
      <c r="N43" s="83">
        <f t="shared" ref="N43:O43" si="28">K21+N21+K32+N32+K43</f>
        <v>0</v>
      </c>
      <c r="O43" s="83">
        <f t="shared" si="28"/>
        <v>0</v>
      </c>
      <c r="P43" s="88">
        <f t="shared" si="29"/>
        <v>0</v>
      </c>
      <c r="Q43" s="21"/>
      <c r="R43" s="46"/>
      <c r="S43" s="97"/>
      <c r="T43" s="48"/>
      <c r="U43" s="49"/>
      <c r="V43" s="50"/>
      <c r="W43" s="39"/>
      <c r="X43" s="51"/>
      <c r="Y43" s="52"/>
      <c r="Z43" s="21"/>
      <c r="AA43" s="21"/>
      <c r="AB43" s="21"/>
    </row>
    <row r="44" ht="20.25" customHeight="1">
      <c r="A44" s="69"/>
      <c r="B44" s="112" t="s">
        <v>100</v>
      </c>
      <c r="C44" s="126"/>
      <c r="D44" s="126"/>
      <c r="E44" s="126"/>
      <c r="F44" s="126"/>
      <c r="G44" s="126"/>
      <c r="H44" s="113"/>
      <c r="I44" s="27"/>
      <c r="J44" s="54"/>
      <c r="K44" s="56"/>
      <c r="L44" s="88">
        <f t="shared" si="26"/>
        <v>0</v>
      </c>
      <c r="M44" s="88">
        <f t="shared" si="27"/>
        <v>0</v>
      </c>
      <c r="N44" s="83">
        <f t="shared" ref="N44:O44" si="30">K22+N22+K33+N33+K44</f>
        <v>0</v>
      </c>
      <c r="O44" s="83">
        <f t="shared" si="30"/>
        <v>0</v>
      </c>
      <c r="P44" s="88">
        <f t="shared" si="29"/>
        <v>0</v>
      </c>
      <c r="Q44" s="21"/>
      <c r="R44" s="46"/>
      <c r="S44" s="97"/>
      <c r="T44" s="48"/>
      <c r="U44" s="49"/>
      <c r="V44" s="50"/>
      <c r="W44" s="39"/>
      <c r="X44" s="51"/>
      <c r="Y44" s="52"/>
      <c r="Z44" s="21"/>
      <c r="AA44" s="21"/>
      <c r="AB44" s="21"/>
    </row>
    <row r="45" ht="20.25" customHeight="1">
      <c r="A45" s="20"/>
      <c r="B45" s="127"/>
      <c r="C45" s="128"/>
      <c r="D45" s="128"/>
      <c r="E45" s="128"/>
      <c r="F45" s="128"/>
      <c r="G45" s="128"/>
      <c r="H45" s="117"/>
      <c r="I45" s="27"/>
      <c r="J45" s="54"/>
      <c r="K45" s="56"/>
      <c r="L45" s="88">
        <f t="shared" si="26"/>
        <v>0</v>
      </c>
      <c r="M45" s="88">
        <f t="shared" si="27"/>
        <v>0</v>
      </c>
      <c r="N45" s="83">
        <f t="shared" ref="N45:O45" si="31">K23+N23+K34+N34+K45</f>
        <v>0</v>
      </c>
      <c r="O45" s="83">
        <f t="shared" si="31"/>
        <v>0</v>
      </c>
      <c r="P45" s="88">
        <f t="shared" si="29"/>
        <v>0</v>
      </c>
      <c r="Q45" s="21"/>
      <c r="R45" s="46"/>
      <c r="S45" s="97"/>
      <c r="T45" s="48"/>
      <c r="U45" s="49"/>
      <c r="V45" s="50"/>
      <c r="W45" s="39"/>
      <c r="X45" s="51"/>
      <c r="Y45" s="52"/>
      <c r="Z45" s="21"/>
      <c r="AA45" s="21"/>
      <c r="AB45" s="21"/>
    </row>
    <row r="46" ht="20.25" customHeight="1">
      <c r="A46" s="20"/>
      <c r="B46" s="129"/>
      <c r="H46" s="130"/>
      <c r="I46" s="27"/>
      <c r="J46" s="54"/>
      <c r="K46" s="56"/>
      <c r="L46" s="88">
        <f t="shared" si="26"/>
        <v>0</v>
      </c>
      <c r="M46" s="88">
        <f t="shared" si="27"/>
        <v>0</v>
      </c>
      <c r="N46" s="83">
        <f t="shared" ref="N46:O46" si="32">K24+N24+K35+N35+K46</f>
        <v>0</v>
      </c>
      <c r="O46" s="83">
        <f t="shared" si="32"/>
        <v>0</v>
      </c>
      <c r="P46" s="88">
        <f t="shared" si="29"/>
        <v>0</v>
      </c>
      <c r="Q46" s="21"/>
      <c r="R46" s="46"/>
      <c r="S46" s="97"/>
      <c r="T46" s="48"/>
      <c r="U46" s="49"/>
      <c r="V46" s="50"/>
      <c r="W46" s="39"/>
      <c r="X46" s="51"/>
      <c r="Y46" s="52"/>
      <c r="Z46" s="21"/>
      <c r="AA46" s="21"/>
      <c r="AB46" s="21"/>
    </row>
    <row r="47" ht="20.25" customHeight="1">
      <c r="A47" s="20"/>
      <c r="B47" s="129"/>
      <c r="H47" s="130"/>
      <c r="I47" s="27"/>
      <c r="J47" s="54"/>
      <c r="K47" s="56"/>
      <c r="L47" s="88">
        <f t="shared" si="26"/>
        <v>0</v>
      </c>
      <c r="M47" s="88">
        <f t="shared" si="27"/>
        <v>0</v>
      </c>
      <c r="N47" s="83">
        <f t="shared" ref="N47:O47" si="33">K25+N25+K36+N36+K47</f>
        <v>0</v>
      </c>
      <c r="O47" s="83">
        <f t="shared" si="33"/>
        <v>0</v>
      </c>
      <c r="P47" s="88">
        <f t="shared" si="29"/>
        <v>0</v>
      </c>
      <c r="Q47" s="21"/>
      <c r="R47" s="46"/>
      <c r="S47" s="97"/>
      <c r="T47" s="48"/>
      <c r="U47" s="49"/>
      <c r="V47" s="50"/>
      <c r="W47" s="39"/>
      <c r="X47" s="51"/>
      <c r="Y47" s="52"/>
      <c r="Z47" s="21"/>
      <c r="AA47" s="21"/>
      <c r="AB47" s="21"/>
    </row>
    <row r="48" ht="20.25" customHeight="1">
      <c r="A48" s="20"/>
      <c r="B48" s="129"/>
      <c r="H48" s="130"/>
      <c r="I48" s="27"/>
      <c r="J48" s="54"/>
      <c r="K48" s="56"/>
      <c r="L48" s="88">
        <f t="shared" si="26"/>
        <v>0</v>
      </c>
      <c r="M48" s="88">
        <f t="shared" si="27"/>
        <v>0</v>
      </c>
      <c r="N48" s="83">
        <f t="shared" ref="N48:O48" si="34">K26+N26+K37+N37+K48</f>
        <v>0</v>
      </c>
      <c r="O48" s="83">
        <f t="shared" si="34"/>
        <v>0</v>
      </c>
      <c r="P48" s="88">
        <f t="shared" si="29"/>
        <v>0</v>
      </c>
      <c r="Q48" s="21"/>
      <c r="R48" s="46"/>
      <c r="S48" s="97"/>
      <c r="T48" s="48"/>
      <c r="U48" s="49"/>
      <c r="V48" s="50"/>
      <c r="W48" s="39"/>
      <c r="X48" s="51"/>
      <c r="Y48" s="52"/>
      <c r="Z48" s="21"/>
      <c r="AA48" s="21"/>
      <c r="AB48" s="21"/>
    </row>
    <row r="49" ht="20.25" customHeight="1">
      <c r="A49" s="20"/>
      <c r="B49" s="121"/>
      <c r="C49" s="131"/>
      <c r="D49" s="131"/>
      <c r="E49" s="131"/>
      <c r="F49" s="131"/>
      <c r="G49" s="131"/>
      <c r="H49" s="122"/>
      <c r="I49" s="27"/>
      <c r="J49" s="89" t="s">
        <v>83</v>
      </c>
      <c r="K49" s="88">
        <f t="shared" ref="K49:L49" si="35">SUM(K42:K48)</f>
        <v>0</v>
      </c>
      <c r="L49" s="88">
        <f t="shared" si="35"/>
        <v>0</v>
      </c>
      <c r="M49" s="88">
        <f t="shared" si="27"/>
        <v>0</v>
      </c>
      <c r="N49" s="88">
        <f t="shared" ref="N49:O49" si="36">SUM(N42:N48)</f>
        <v>0</v>
      </c>
      <c r="O49" s="88">
        <f t="shared" si="36"/>
        <v>0</v>
      </c>
      <c r="P49" s="88">
        <f t="shared" si="29"/>
        <v>0</v>
      </c>
      <c r="Q49" s="21"/>
      <c r="R49" s="46"/>
      <c r="S49" s="97"/>
      <c r="T49" s="48"/>
      <c r="U49" s="49"/>
      <c r="V49" s="50"/>
      <c r="W49" s="39"/>
      <c r="X49" s="51"/>
      <c r="Y49" s="52"/>
      <c r="Z49" s="21"/>
      <c r="AA49" s="21"/>
      <c r="AB49" s="21"/>
    </row>
    <row r="50" ht="6.75" customHeight="1">
      <c r="A50" s="20"/>
      <c r="E50" s="25"/>
      <c r="F50" s="132"/>
      <c r="G50" s="125"/>
      <c r="H50" s="125"/>
      <c r="I50" s="27"/>
      <c r="J50" s="133"/>
      <c r="K50" s="19"/>
      <c r="L50" s="78"/>
      <c r="M50" s="78"/>
      <c r="N50" s="78"/>
      <c r="O50" s="134"/>
      <c r="P50" s="94"/>
      <c r="Q50" s="21"/>
      <c r="R50" s="137"/>
      <c r="S50" s="137"/>
      <c r="T50" s="137"/>
      <c r="U50" s="137"/>
      <c r="V50" s="137"/>
      <c r="W50" s="137"/>
      <c r="X50" s="137"/>
      <c r="Y50" s="137"/>
      <c r="Z50" s="21"/>
      <c r="AA50" s="21"/>
      <c r="AB50" s="21"/>
    </row>
    <row r="51" hidden="1">
      <c r="F51" s="19"/>
      <c r="G51" s="106"/>
      <c r="H51" s="10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</row>
  </sheetData>
  <mergeCells count="67">
    <mergeCell ref="V32:W32"/>
    <mergeCell ref="V37:W37"/>
    <mergeCell ref="G40:H40"/>
    <mergeCell ref="J40:J41"/>
    <mergeCell ref="F41:F42"/>
    <mergeCell ref="G41:H42"/>
    <mergeCell ref="B44:H44"/>
    <mergeCell ref="B45:H49"/>
    <mergeCell ref="B33:D33"/>
    <mergeCell ref="F33:G33"/>
    <mergeCell ref="F34:G34"/>
    <mergeCell ref="F35:G35"/>
    <mergeCell ref="F36:G36"/>
    <mergeCell ref="F37:G37"/>
    <mergeCell ref="F38:G38"/>
    <mergeCell ref="V44:W44"/>
    <mergeCell ref="V45:W45"/>
    <mergeCell ref="V46:W46"/>
    <mergeCell ref="V47:W47"/>
    <mergeCell ref="V48:W48"/>
    <mergeCell ref="V49:W49"/>
    <mergeCell ref="V31:W31"/>
    <mergeCell ref="V38:W38"/>
    <mergeCell ref="V39:W39"/>
    <mergeCell ref="V40:W40"/>
    <mergeCell ref="V41:W41"/>
    <mergeCell ref="V42:W42"/>
    <mergeCell ref="V43:W43"/>
    <mergeCell ref="R2:Y2"/>
    <mergeCell ref="B4:D4"/>
    <mergeCell ref="F4:H4"/>
    <mergeCell ref="V4:W4"/>
    <mergeCell ref="V5:W5"/>
    <mergeCell ref="V6:W6"/>
    <mergeCell ref="V7:W7"/>
    <mergeCell ref="V15:W15"/>
    <mergeCell ref="B16:D16"/>
    <mergeCell ref="F16:H16"/>
    <mergeCell ref="J16:P16"/>
    <mergeCell ref="V16:W16"/>
    <mergeCell ref="J18:J19"/>
    <mergeCell ref="V18:W18"/>
    <mergeCell ref="V19:W19"/>
    <mergeCell ref="V8:W8"/>
    <mergeCell ref="V9:W9"/>
    <mergeCell ref="V10:W10"/>
    <mergeCell ref="V11:W11"/>
    <mergeCell ref="V12:W12"/>
    <mergeCell ref="V13:W13"/>
    <mergeCell ref="V14:W14"/>
    <mergeCell ref="V26:W26"/>
    <mergeCell ref="V27:W27"/>
    <mergeCell ref="V28:W28"/>
    <mergeCell ref="J29:J30"/>
    <mergeCell ref="V29:W29"/>
    <mergeCell ref="V30:W30"/>
    <mergeCell ref="V17:W17"/>
    <mergeCell ref="V20:W20"/>
    <mergeCell ref="V21:W21"/>
    <mergeCell ref="V22:W22"/>
    <mergeCell ref="V23:W23"/>
    <mergeCell ref="V24:W24"/>
    <mergeCell ref="V25:W25"/>
    <mergeCell ref="V34:W34"/>
    <mergeCell ref="V35:W35"/>
    <mergeCell ref="V33:W33"/>
    <mergeCell ref="V36:W36"/>
  </mergeCells>
  <conditionalFormatting sqref="J5:P5 J7:P7 J9:P9 J11:P11 J13:P13">
    <cfRule type="expression" dxfId="4" priority="1">
      <formula>MONTH(J5)&lt;&gt;$B$1</formula>
    </cfRule>
  </conditionalFormatting>
  <dataValidations>
    <dataValidation type="list" allowBlank="1" sqref="B6:B13">
      <formula1>list!$A$2:$A51</formula1>
    </dataValidation>
    <dataValidation type="list" allowBlank="1" sqref="F6:F13">
      <formula1>list!$B$2:$B51</formula1>
    </dataValidation>
    <dataValidation type="list" allowBlank="1" sqref="J20:J26 B19:B30 F19:F30 J31:J37 J42:J48">
      <formula1>list!$C$2:$C51</formula1>
    </dataValidation>
    <dataValidation type="list" allowBlank="1" sqref="C6:C13 G6:G13 C19:C30 C35:C41 T5:T49">
      <formula1>list!$F$2:$F51</formula1>
    </dataValidation>
    <dataValidation type="list" allowBlank="1" sqref="U5:U49">
      <formula1>list!$C$2:$C51</formula1>
    </dataValidation>
    <dataValidation type="list" allowBlank="1" sqref="B35:B41">
      <formula1>list!$D$2:$D51</formula1>
    </dataValidation>
    <dataValidation type="list" allowBlank="1" showErrorMessage="1" sqref="S5:S49">
      <formula1>"1week,2week,3week,4week,5week"</formula1>
    </dataValidation>
    <dataValidation type="custom" allowBlank="1" showDropDown="1" showErrorMessage="1" sqref="J28 J39 R5:R49 J50 R50:Y50">
      <formula1>OR(NOT(ISERROR(DATEVALUE(J5))), AND(ISNUMBER(J5), LEFT(CELL("format", J5))="D"))</formula1>
    </dataValidation>
    <dataValidation type="list" allowBlank="1" showErrorMessage="1" sqref="Y5:Y49">
      <formula1>"〇,△,✕"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8CC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.0"/>
    <col customWidth="1" min="2" max="2" width="18.0"/>
    <col customWidth="1" min="3" max="4" width="11.63"/>
    <col customWidth="1" min="5" max="5" width="2.0"/>
    <col customWidth="1" min="6" max="6" width="18.0"/>
    <col customWidth="1" min="7" max="8" width="11.63"/>
    <col customWidth="1" min="9" max="9" width="2.63"/>
    <col customWidth="1" min="10" max="16" width="13.88"/>
    <col customWidth="1" min="17" max="17" width="2.63"/>
    <col customWidth="1" min="18" max="25" width="12.75"/>
    <col customWidth="1" min="26" max="26" width="2.0"/>
    <col customWidth="1" hidden="1" min="27" max="28" width="11.0"/>
  </cols>
  <sheetData>
    <row r="1" ht="42.0" customHeight="1">
      <c r="A1" s="10"/>
      <c r="B1" s="11">
        <v>3.0</v>
      </c>
      <c r="C1" s="12"/>
      <c r="D1" s="12" t="s">
        <v>29</v>
      </c>
      <c r="E1" s="13"/>
      <c r="F1" s="12"/>
      <c r="G1" s="14"/>
      <c r="H1" s="14"/>
      <c r="I1" s="15"/>
      <c r="J1" s="12" t="s">
        <v>30</v>
      </c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6"/>
      <c r="AB1" s="16"/>
    </row>
    <row r="2" ht="21.75" customHeight="1">
      <c r="A2" s="17"/>
      <c r="B2" s="18">
        <v>2025.0</v>
      </c>
      <c r="C2" s="19"/>
      <c r="D2" s="19"/>
      <c r="G2" s="20"/>
      <c r="H2" s="20"/>
      <c r="I2" s="21"/>
      <c r="J2" s="22">
        <f>DATE(B2,B1,1)</f>
        <v>45717</v>
      </c>
      <c r="K2" s="21"/>
      <c r="L2" s="21"/>
      <c r="M2" s="21"/>
      <c r="N2" s="21"/>
      <c r="O2" s="21"/>
      <c r="P2" s="21"/>
      <c r="Q2" s="21"/>
      <c r="R2" s="23" t="s">
        <v>31</v>
      </c>
      <c r="Z2" s="21"/>
      <c r="AA2" s="21"/>
      <c r="AB2" s="21"/>
    </row>
    <row r="3" ht="7.5" customHeight="1">
      <c r="A3" s="20"/>
      <c r="B3" s="24"/>
      <c r="C3" s="25"/>
      <c r="D3" s="25"/>
      <c r="E3" s="25"/>
      <c r="F3" s="26"/>
      <c r="G3" s="26"/>
      <c r="H3" s="26"/>
      <c r="I3" s="27"/>
      <c r="J3" s="25"/>
      <c r="K3" s="25"/>
      <c r="L3" s="25"/>
      <c r="M3" s="27"/>
      <c r="N3" s="27"/>
      <c r="O3" s="27"/>
      <c r="P3" s="27"/>
      <c r="Q3" s="21"/>
      <c r="Z3" s="21"/>
      <c r="AA3" s="21"/>
      <c r="AB3" s="21"/>
    </row>
    <row r="4" ht="20.25" customHeight="1">
      <c r="A4" s="28"/>
      <c r="B4" s="29" t="s">
        <v>32</v>
      </c>
      <c r="C4" s="30"/>
      <c r="D4" s="31"/>
      <c r="E4" s="32"/>
      <c r="F4" s="29" t="s">
        <v>33</v>
      </c>
      <c r="G4" s="30"/>
      <c r="H4" s="31"/>
      <c r="I4" s="27"/>
      <c r="J4" s="33" t="s">
        <v>34</v>
      </c>
      <c r="K4" s="33" t="s">
        <v>35</v>
      </c>
      <c r="L4" s="33" t="s">
        <v>36</v>
      </c>
      <c r="M4" s="33" t="s">
        <v>37</v>
      </c>
      <c r="N4" s="33" t="s">
        <v>38</v>
      </c>
      <c r="O4" s="34" t="s">
        <v>39</v>
      </c>
      <c r="P4" s="35" t="s">
        <v>40</v>
      </c>
      <c r="Q4" s="21"/>
      <c r="R4" s="36" t="s">
        <v>41</v>
      </c>
      <c r="S4" s="37" t="s">
        <v>42</v>
      </c>
      <c r="T4" s="37" t="s">
        <v>43</v>
      </c>
      <c r="U4" s="37" t="s">
        <v>44</v>
      </c>
      <c r="V4" s="38" t="s">
        <v>45</v>
      </c>
      <c r="W4" s="39"/>
      <c r="X4" s="37" t="s">
        <v>46</v>
      </c>
      <c r="Y4" s="37" t="s">
        <v>47</v>
      </c>
      <c r="Z4" s="21"/>
      <c r="AA4" s="21"/>
      <c r="AB4" s="21"/>
    </row>
    <row r="5" ht="20.25" customHeight="1">
      <c r="A5" s="40"/>
      <c r="B5" s="41" t="s">
        <v>44</v>
      </c>
      <c r="C5" s="42" t="s">
        <v>48</v>
      </c>
      <c r="D5" s="41" t="s">
        <v>46</v>
      </c>
      <c r="E5" s="32"/>
      <c r="F5" s="41" t="s">
        <v>44</v>
      </c>
      <c r="G5" s="41" t="s">
        <v>43</v>
      </c>
      <c r="H5" s="41" t="s">
        <v>46</v>
      </c>
      <c r="I5" s="27"/>
      <c r="J5" s="43">
        <f>$J$2-weekday($J$2)+2</f>
        <v>45712</v>
      </c>
      <c r="K5" s="43">
        <f t="shared" ref="K5:P5" si="1">J5+1</f>
        <v>45713</v>
      </c>
      <c r="L5" s="43">
        <f t="shared" si="1"/>
        <v>45714</v>
      </c>
      <c r="M5" s="43">
        <f t="shared" si="1"/>
        <v>45715</v>
      </c>
      <c r="N5" s="43">
        <f t="shared" si="1"/>
        <v>45716</v>
      </c>
      <c r="O5" s="44">
        <f t="shared" si="1"/>
        <v>45717</v>
      </c>
      <c r="P5" s="45">
        <f t="shared" si="1"/>
        <v>45718</v>
      </c>
      <c r="Q5" s="21"/>
      <c r="R5" s="46">
        <v>45717.0</v>
      </c>
      <c r="S5" s="47"/>
      <c r="T5" s="48"/>
      <c r="U5" s="49"/>
      <c r="V5" s="50"/>
      <c r="W5" s="39"/>
      <c r="X5" s="51"/>
      <c r="Y5" s="52"/>
      <c r="Z5" s="21"/>
      <c r="AA5" s="21"/>
      <c r="AB5" s="21"/>
    </row>
    <row r="6" ht="20.25" customHeight="1">
      <c r="A6" s="53"/>
      <c r="B6" s="54"/>
      <c r="C6" s="55"/>
      <c r="D6" s="56"/>
      <c r="E6" s="57"/>
      <c r="F6" s="58"/>
      <c r="G6" s="55"/>
      <c r="H6" s="56"/>
      <c r="I6" s="27"/>
      <c r="J6" s="60">
        <f t="shared" ref="J6:P6" si="2">sumifs($X:$X,$R:$R,J5)</f>
        <v>0</v>
      </c>
      <c r="K6" s="60">
        <f t="shared" si="2"/>
        <v>0</v>
      </c>
      <c r="L6" s="60">
        <f t="shared" si="2"/>
        <v>0</v>
      </c>
      <c r="M6" s="60">
        <f t="shared" si="2"/>
        <v>0</v>
      </c>
      <c r="N6" s="60">
        <f t="shared" si="2"/>
        <v>0</v>
      </c>
      <c r="O6" s="60">
        <f t="shared" si="2"/>
        <v>0</v>
      </c>
      <c r="P6" s="60">
        <f t="shared" si="2"/>
        <v>0</v>
      </c>
      <c r="Q6" s="21"/>
      <c r="R6" s="46"/>
      <c r="S6" s="47"/>
      <c r="T6" s="48"/>
      <c r="U6" s="49"/>
      <c r="V6" s="50"/>
      <c r="W6" s="39"/>
      <c r="X6" s="51"/>
      <c r="Y6" s="52"/>
      <c r="Z6" s="21"/>
      <c r="AA6" s="21"/>
      <c r="AB6" s="21"/>
    </row>
    <row r="7" ht="20.25" customHeight="1">
      <c r="A7" s="53"/>
      <c r="B7" s="54"/>
      <c r="C7" s="55"/>
      <c r="D7" s="56"/>
      <c r="E7" s="57"/>
      <c r="F7" s="58"/>
      <c r="G7" s="55"/>
      <c r="H7" s="56"/>
      <c r="I7" s="27"/>
      <c r="J7" s="61">
        <f t="shared" ref="J7:P7" si="3">J5+7</f>
        <v>45719</v>
      </c>
      <c r="K7" s="61">
        <f t="shared" si="3"/>
        <v>45720</v>
      </c>
      <c r="L7" s="61">
        <f t="shared" si="3"/>
        <v>45721</v>
      </c>
      <c r="M7" s="61">
        <f t="shared" si="3"/>
        <v>45722</v>
      </c>
      <c r="N7" s="61">
        <f t="shared" si="3"/>
        <v>45723</v>
      </c>
      <c r="O7" s="62">
        <f t="shared" si="3"/>
        <v>45724</v>
      </c>
      <c r="P7" s="63">
        <f t="shared" si="3"/>
        <v>45725</v>
      </c>
      <c r="Q7" s="21"/>
      <c r="R7" s="46"/>
      <c r="S7" s="47"/>
      <c r="T7" s="48"/>
      <c r="U7" s="49"/>
      <c r="V7" s="50"/>
      <c r="W7" s="39"/>
      <c r="X7" s="51"/>
      <c r="Y7" s="52"/>
      <c r="Z7" s="21"/>
      <c r="AA7" s="21"/>
      <c r="AB7" s="21"/>
    </row>
    <row r="8" ht="20.25" customHeight="1">
      <c r="A8" s="53"/>
      <c r="B8" s="54"/>
      <c r="C8" s="55"/>
      <c r="D8" s="56"/>
      <c r="E8" s="57"/>
      <c r="F8" s="58"/>
      <c r="G8" s="55"/>
      <c r="H8" s="59"/>
      <c r="I8" s="27"/>
      <c r="J8" s="60">
        <f t="shared" ref="J8:P8" si="4">sumifs($X:$X,$R:$R,J7)</f>
        <v>0</v>
      </c>
      <c r="K8" s="60">
        <f t="shared" si="4"/>
        <v>0</v>
      </c>
      <c r="L8" s="60">
        <f t="shared" si="4"/>
        <v>0</v>
      </c>
      <c r="M8" s="60">
        <f t="shared" si="4"/>
        <v>0</v>
      </c>
      <c r="N8" s="60">
        <f t="shared" si="4"/>
        <v>0</v>
      </c>
      <c r="O8" s="60">
        <f t="shared" si="4"/>
        <v>0</v>
      </c>
      <c r="P8" s="60">
        <f t="shared" si="4"/>
        <v>0</v>
      </c>
      <c r="Q8" s="21"/>
      <c r="R8" s="46"/>
      <c r="S8" s="47"/>
      <c r="T8" s="48"/>
      <c r="U8" s="49"/>
      <c r="V8" s="50"/>
      <c r="W8" s="39"/>
      <c r="X8" s="51"/>
      <c r="Y8" s="52"/>
      <c r="Z8" s="21"/>
      <c r="AA8" s="21"/>
      <c r="AB8" s="21"/>
    </row>
    <row r="9" ht="20.25" customHeight="1">
      <c r="A9" s="64"/>
      <c r="B9" s="54"/>
      <c r="C9" s="55"/>
      <c r="D9" s="59"/>
      <c r="E9" s="57"/>
      <c r="F9" s="58"/>
      <c r="G9" s="55"/>
      <c r="H9" s="59"/>
      <c r="I9" s="27"/>
      <c r="J9" s="43">
        <f t="shared" ref="J9:P9" si="5">J7+7</f>
        <v>45726</v>
      </c>
      <c r="K9" s="43">
        <f t="shared" si="5"/>
        <v>45727</v>
      </c>
      <c r="L9" s="43">
        <f t="shared" si="5"/>
        <v>45728</v>
      </c>
      <c r="M9" s="43">
        <f t="shared" si="5"/>
        <v>45729</v>
      </c>
      <c r="N9" s="43">
        <f t="shared" si="5"/>
        <v>45730</v>
      </c>
      <c r="O9" s="44">
        <f t="shared" si="5"/>
        <v>45731</v>
      </c>
      <c r="P9" s="45">
        <f t="shared" si="5"/>
        <v>45732</v>
      </c>
      <c r="Q9" s="21"/>
      <c r="R9" s="46"/>
      <c r="S9" s="47"/>
      <c r="T9" s="48"/>
      <c r="U9" s="49"/>
      <c r="V9" s="50"/>
      <c r="W9" s="39"/>
      <c r="X9" s="51"/>
      <c r="Y9" s="52"/>
      <c r="Z9" s="21"/>
      <c r="AA9" s="21"/>
      <c r="AB9" s="21"/>
    </row>
    <row r="10" ht="20.25" customHeight="1">
      <c r="A10" s="64"/>
      <c r="B10" s="54"/>
      <c r="C10" s="55"/>
      <c r="D10" s="56"/>
      <c r="E10" s="57"/>
      <c r="F10" s="65"/>
      <c r="G10" s="55"/>
      <c r="H10" s="66"/>
      <c r="I10" s="27"/>
      <c r="J10" s="60">
        <f t="shared" ref="J10:P10" si="6">sumifs($X:$X,$R:$R,J9)</f>
        <v>0</v>
      </c>
      <c r="K10" s="60">
        <f t="shared" si="6"/>
        <v>0</v>
      </c>
      <c r="L10" s="60">
        <f t="shared" si="6"/>
        <v>0</v>
      </c>
      <c r="M10" s="60">
        <f t="shared" si="6"/>
        <v>0</v>
      </c>
      <c r="N10" s="60">
        <f t="shared" si="6"/>
        <v>0</v>
      </c>
      <c r="O10" s="60">
        <f t="shared" si="6"/>
        <v>0</v>
      </c>
      <c r="P10" s="60">
        <f t="shared" si="6"/>
        <v>0</v>
      </c>
      <c r="Q10" s="21"/>
      <c r="R10" s="46"/>
      <c r="S10" s="47"/>
      <c r="T10" s="48"/>
      <c r="U10" s="49"/>
      <c r="V10" s="50"/>
      <c r="W10" s="39"/>
      <c r="X10" s="51"/>
      <c r="Y10" s="52"/>
      <c r="Z10" s="21"/>
      <c r="AA10" s="21"/>
      <c r="AB10" s="21"/>
    </row>
    <row r="11" ht="20.25" customHeight="1">
      <c r="A11" s="64"/>
      <c r="B11" s="54"/>
      <c r="C11" s="55"/>
      <c r="D11" s="67"/>
      <c r="E11" s="57"/>
      <c r="F11" s="65"/>
      <c r="G11" s="55"/>
      <c r="H11" s="66"/>
      <c r="I11" s="27"/>
      <c r="J11" s="61">
        <f t="shared" ref="J11:P11" si="7">J9+7</f>
        <v>45733</v>
      </c>
      <c r="K11" s="61">
        <f t="shared" si="7"/>
        <v>45734</v>
      </c>
      <c r="L11" s="61">
        <f t="shared" si="7"/>
        <v>45735</v>
      </c>
      <c r="M11" s="61">
        <f t="shared" si="7"/>
        <v>45736</v>
      </c>
      <c r="N11" s="61">
        <f t="shared" si="7"/>
        <v>45737</v>
      </c>
      <c r="O11" s="62">
        <f t="shared" si="7"/>
        <v>45738</v>
      </c>
      <c r="P11" s="63">
        <f t="shared" si="7"/>
        <v>45739</v>
      </c>
      <c r="Q11" s="21"/>
      <c r="R11" s="46"/>
      <c r="S11" s="47"/>
      <c r="T11" s="48"/>
      <c r="U11" s="49"/>
      <c r="V11" s="50"/>
      <c r="W11" s="39"/>
      <c r="X11" s="51"/>
      <c r="Y11" s="52"/>
      <c r="Z11" s="21"/>
      <c r="AA11" s="21"/>
      <c r="AB11" s="21"/>
    </row>
    <row r="12" ht="20.25" customHeight="1">
      <c r="A12" s="64"/>
      <c r="B12" s="68"/>
      <c r="C12" s="55"/>
      <c r="D12" s="67"/>
      <c r="E12" s="57"/>
      <c r="F12" s="65"/>
      <c r="G12" s="55"/>
      <c r="H12" s="66"/>
      <c r="I12" s="27"/>
      <c r="J12" s="60">
        <f t="shared" ref="J12:P12" si="8">sumifs($X:$X,$R:$R,J11)</f>
        <v>0</v>
      </c>
      <c r="K12" s="60">
        <f t="shared" si="8"/>
        <v>0</v>
      </c>
      <c r="L12" s="60">
        <f t="shared" si="8"/>
        <v>0</v>
      </c>
      <c r="M12" s="60">
        <f t="shared" si="8"/>
        <v>0</v>
      </c>
      <c r="N12" s="60">
        <f t="shared" si="8"/>
        <v>0</v>
      </c>
      <c r="O12" s="60">
        <f t="shared" si="8"/>
        <v>0</v>
      </c>
      <c r="P12" s="60">
        <f t="shared" si="8"/>
        <v>0</v>
      </c>
      <c r="Q12" s="21"/>
      <c r="R12" s="46"/>
      <c r="S12" s="47"/>
      <c r="T12" s="48"/>
      <c r="U12" s="49"/>
      <c r="V12" s="50"/>
      <c r="W12" s="39"/>
      <c r="X12" s="51"/>
      <c r="Y12" s="52"/>
      <c r="Z12" s="21"/>
      <c r="AA12" s="21"/>
      <c r="AB12" s="21"/>
    </row>
    <row r="13" ht="20.25" customHeight="1">
      <c r="A13" s="64"/>
      <c r="B13" s="68"/>
      <c r="C13" s="55"/>
      <c r="D13" s="67"/>
      <c r="E13" s="57"/>
      <c r="F13" s="65"/>
      <c r="G13" s="55"/>
      <c r="H13" s="66"/>
      <c r="I13" s="27"/>
      <c r="J13" s="43">
        <f t="shared" ref="J13:P13" si="9">J11+7</f>
        <v>45740</v>
      </c>
      <c r="K13" s="43">
        <f t="shared" si="9"/>
        <v>45741</v>
      </c>
      <c r="L13" s="43">
        <f t="shared" si="9"/>
        <v>45742</v>
      </c>
      <c r="M13" s="43">
        <f t="shared" si="9"/>
        <v>45743</v>
      </c>
      <c r="N13" s="43">
        <f t="shared" si="9"/>
        <v>45744</v>
      </c>
      <c r="O13" s="44">
        <f t="shared" si="9"/>
        <v>45745</v>
      </c>
      <c r="P13" s="45">
        <f t="shared" si="9"/>
        <v>45746</v>
      </c>
      <c r="Q13" s="21"/>
      <c r="R13" s="46"/>
      <c r="S13" s="47"/>
      <c r="T13" s="48"/>
      <c r="U13" s="49"/>
      <c r="V13" s="50"/>
      <c r="W13" s="39"/>
      <c r="X13" s="51"/>
      <c r="Y13" s="52"/>
      <c r="Z13" s="21"/>
      <c r="AA13" s="21"/>
      <c r="AB13" s="21"/>
    </row>
    <row r="14" ht="20.25" customHeight="1">
      <c r="A14" s="69"/>
      <c r="B14" s="70" t="s">
        <v>60</v>
      </c>
      <c r="C14" s="72"/>
      <c r="D14" s="72">
        <f>SUM(D6:D13)</f>
        <v>0</v>
      </c>
      <c r="E14" s="57"/>
      <c r="F14" s="70" t="s">
        <v>60</v>
      </c>
      <c r="G14" s="72"/>
      <c r="H14" s="72">
        <f>SUM(H6:H13)</f>
        <v>0</v>
      </c>
      <c r="I14" s="27"/>
      <c r="J14" s="60">
        <f t="shared" ref="J14:P14" si="10">sumifs($X:$X,$R:$R,J13)</f>
        <v>0</v>
      </c>
      <c r="K14" s="60">
        <f t="shared" si="10"/>
        <v>0</v>
      </c>
      <c r="L14" s="60">
        <f t="shared" si="10"/>
        <v>0</v>
      </c>
      <c r="M14" s="60">
        <f t="shared" si="10"/>
        <v>0</v>
      </c>
      <c r="N14" s="60">
        <f t="shared" si="10"/>
        <v>0</v>
      </c>
      <c r="O14" s="60">
        <f t="shared" si="10"/>
        <v>0</v>
      </c>
      <c r="P14" s="60">
        <f t="shared" si="10"/>
        <v>0</v>
      </c>
      <c r="Q14" s="21"/>
      <c r="R14" s="46"/>
      <c r="S14" s="47"/>
      <c r="T14" s="48"/>
      <c r="U14" s="49"/>
      <c r="V14" s="50"/>
      <c r="W14" s="39"/>
      <c r="X14" s="51"/>
      <c r="Y14" s="52"/>
      <c r="Z14" s="21"/>
      <c r="AA14" s="21"/>
      <c r="AB14" s="21"/>
    </row>
    <row r="15" ht="20.25" customHeight="1">
      <c r="A15" s="20"/>
      <c r="B15" s="24"/>
      <c r="C15" s="32"/>
      <c r="D15" s="32"/>
      <c r="E15" s="32"/>
      <c r="F15" s="32"/>
      <c r="G15" s="24"/>
      <c r="H15" s="24"/>
      <c r="I15" s="27"/>
      <c r="J15" s="25"/>
      <c r="K15" s="25"/>
      <c r="L15" s="25"/>
      <c r="M15" s="25"/>
      <c r="N15" s="25"/>
      <c r="O15" s="25"/>
      <c r="P15" s="25"/>
      <c r="Q15" s="21"/>
      <c r="R15" s="46"/>
      <c r="S15" s="47"/>
      <c r="T15" s="48"/>
      <c r="U15" s="49"/>
      <c r="V15" s="50"/>
      <c r="W15" s="39"/>
      <c r="X15" s="51"/>
      <c r="Y15" s="52"/>
      <c r="Z15" s="21"/>
      <c r="AA15" s="21"/>
      <c r="AB15" s="21"/>
    </row>
    <row r="16" ht="20.25" customHeight="1">
      <c r="A16" s="28"/>
      <c r="B16" s="73" t="s">
        <v>61</v>
      </c>
      <c r="E16" s="27"/>
      <c r="F16" s="73" t="s">
        <v>61</v>
      </c>
      <c r="I16" s="27"/>
      <c r="J16" s="74" t="s">
        <v>62</v>
      </c>
      <c r="Q16" s="21"/>
      <c r="R16" s="46"/>
      <c r="S16" s="47"/>
      <c r="T16" s="48"/>
      <c r="U16" s="49"/>
      <c r="V16" s="50"/>
      <c r="W16" s="39"/>
      <c r="X16" s="51"/>
      <c r="Y16" s="52"/>
      <c r="Z16" s="21"/>
      <c r="AA16" s="21"/>
      <c r="AB16" s="21"/>
    </row>
    <row r="17" ht="20.25" customHeight="1">
      <c r="A17" s="40"/>
      <c r="B17" s="69" t="s">
        <v>63</v>
      </c>
      <c r="C17" s="75"/>
      <c r="D17" s="75"/>
      <c r="E17" s="53"/>
      <c r="F17" s="69" t="s">
        <v>64</v>
      </c>
      <c r="G17" s="76"/>
      <c r="H17" s="76"/>
      <c r="I17" s="27"/>
      <c r="J17" s="77"/>
      <c r="K17" s="78"/>
      <c r="L17" s="78"/>
      <c r="M17" s="78"/>
      <c r="N17" s="78"/>
      <c r="O17" s="78"/>
      <c r="P17" s="78"/>
      <c r="Q17" s="21"/>
      <c r="R17" s="46"/>
      <c r="S17" s="47"/>
      <c r="T17" s="48"/>
      <c r="U17" s="49"/>
      <c r="V17" s="50"/>
      <c r="W17" s="39"/>
      <c r="X17" s="51"/>
      <c r="Y17" s="52"/>
      <c r="Z17" s="21"/>
      <c r="AA17" s="21"/>
      <c r="AB17" s="21"/>
    </row>
    <row r="18" ht="20.25" customHeight="1">
      <c r="A18" s="40"/>
      <c r="B18" s="41" t="s">
        <v>44</v>
      </c>
      <c r="C18" s="41" t="s">
        <v>43</v>
      </c>
      <c r="D18" s="41" t="s">
        <v>46</v>
      </c>
      <c r="E18" s="57"/>
      <c r="F18" s="41" t="s">
        <v>44</v>
      </c>
      <c r="G18" s="41" t="s">
        <v>65</v>
      </c>
      <c r="H18" s="41" t="s">
        <v>46</v>
      </c>
      <c r="I18" s="27"/>
      <c r="J18" s="79" t="s">
        <v>66</v>
      </c>
      <c r="K18" s="80"/>
      <c r="L18" s="81" t="s">
        <v>49</v>
      </c>
      <c r="M18" s="82"/>
      <c r="N18" s="80"/>
      <c r="O18" s="81" t="s">
        <v>67</v>
      </c>
      <c r="P18" s="82"/>
      <c r="Q18" s="21"/>
      <c r="R18" s="46"/>
      <c r="S18" s="47"/>
      <c r="T18" s="48"/>
      <c r="U18" s="49"/>
      <c r="V18" s="50"/>
      <c r="W18" s="39"/>
      <c r="X18" s="51"/>
      <c r="Y18" s="52"/>
      <c r="Z18" s="21"/>
      <c r="AA18" s="21"/>
      <c r="AB18" s="21"/>
    </row>
    <row r="19" ht="20.25" customHeight="1">
      <c r="A19" s="53"/>
      <c r="B19" s="54"/>
      <c r="C19" s="55"/>
      <c r="D19" s="56"/>
      <c r="E19" s="57"/>
      <c r="F19" s="54"/>
      <c r="G19" s="56"/>
      <c r="H19" s="83">
        <f t="shared" ref="H19:H30" si="11">sumifs($X:$X,$U:$U,F19)</f>
        <v>0</v>
      </c>
      <c r="I19" s="27"/>
      <c r="J19" s="84"/>
      <c r="K19" s="85" t="s">
        <v>65</v>
      </c>
      <c r="L19" s="85" t="s">
        <v>46</v>
      </c>
      <c r="M19" s="85" t="s">
        <v>69</v>
      </c>
      <c r="N19" s="86" t="s">
        <v>65</v>
      </c>
      <c r="O19" s="86" t="s">
        <v>46</v>
      </c>
      <c r="P19" s="86" t="s">
        <v>69</v>
      </c>
      <c r="Q19" s="21"/>
      <c r="R19" s="46"/>
      <c r="S19" s="47"/>
      <c r="T19" s="48"/>
      <c r="U19" s="49"/>
      <c r="V19" s="50"/>
      <c r="W19" s="39"/>
      <c r="X19" s="51"/>
      <c r="Y19" s="52"/>
      <c r="Z19" s="21"/>
      <c r="AA19" s="21"/>
      <c r="AB19" s="21"/>
    </row>
    <row r="20" ht="20.25" customHeight="1">
      <c r="A20" s="53"/>
      <c r="B20" s="54"/>
      <c r="C20" s="55"/>
      <c r="D20" s="56"/>
      <c r="E20" s="57"/>
      <c r="F20" s="54"/>
      <c r="G20" s="56"/>
      <c r="H20" s="83">
        <f t="shared" si="11"/>
        <v>0</v>
      </c>
      <c r="I20" s="27"/>
      <c r="J20" s="54"/>
      <c r="K20" s="87"/>
      <c r="L20" s="88">
        <f t="shared" ref="L20:L26" si="12">sumifs($X:$X,$S:$S,$L$18,$U:$U,J20)</f>
        <v>0</v>
      </c>
      <c r="M20" s="88">
        <f t="shared" ref="M20:M27" si="13">K20-L20</f>
        <v>0</v>
      </c>
      <c r="N20" s="87"/>
      <c r="O20" s="88">
        <f t="shared" ref="O20:O26" si="14">sumifs($X:$X,$S:$S,$O$18,$U:$U,J20)</f>
        <v>0</v>
      </c>
      <c r="P20" s="88">
        <f t="shared" ref="P20:P27" si="15">N20-O20</f>
        <v>0</v>
      </c>
      <c r="Q20" s="21"/>
      <c r="R20" s="46"/>
      <c r="S20" s="47"/>
      <c r="T20" s="48"/>
      <c r="U20" s="49"/>
      <c r="V20" s="50"/>
      <c r="W20" s="39"/>
      <c r="X20" s="51"/>
      <c r="Y20" s="52"/>
      <c r="Z20" s="21"/>
      <c r="AA20" s="21"/>
      <c r="AB20" s="21"/>
    </row>
    <row r="21" ht="20.25" customHeight="1">
      <c r="A21" s="53"/>
      <c r="B21" s="54"/>
      <c r="C21" s="55"/>
      <c r="D21" s="56"/>
      <c r="E21" s="57"/>
      <c r="F21" s="54"/>
      <c r="G21" s="56"/>
      <c r="H21" s="83">
        <f t="shared" si="11"/>
        <v>0</v>
      </c>
      <c r="I21" s="27"/>
      <c r="J21" s="54"/>
      <c r="K21" s="87"/>
      <c r="L21" s="88">
        <f t="shared" si="12"/>
        <v>0</v>
      </c>
      <c r="M21" s="88">
        <f t="shared" si="13"/>
        <v>0</v>
      </c>
      <c r="N21" s="87"/>
      <c r="O21" s="88">
        <f t="shared" si="14"/>
        <v>0</v>
      </c>
      <c r="P21" s="88">
        <f t="shared" si="15"/>
        <v>0</v>
      </c>
      <c r="Q21" s="21"/>
      <c r="R21" s="46"/>
      <c r="S21" s="47"/>
      <c r="T21" s="48"/>
      <c r="U21" s="49"/>
      <c r="V21" s="50"/>
      <c r="W21" s="39"/>
      <c r="X21" s="51"/>
      <c r="Y21" s="52"/>
      <c r="Z21" s="21"/>
      <c r="AA21" s="21"/>
      <c r="AB21" s="21"/>
    </row>
    <row r="22" ht="20.25" customHeight="1">
      <c r="A22" s="53"/>
      <c r="B22" s="54"/>
      <c r="C22" s="55"/>
      <c r="D22" s="56"/>
      <c r="E22" s="57"/>
      <c r="F22" s="54"/>
      <c r="G22" s="56"/>
      <c r="H22" s="83">
        <f t="shared" si="11"/>
        <v>0</v>
      </c>
      <c r="I22" s="27"/>
      <c r="J22" s="54"/>
      <c r="K22" s="87"/>
      <c r="L22" s="88">
        <f t="shared" si="12"/>
        <v>0</v>
      </c>
      <c r="M22" s="88">
        <f t="shared" si="13"/>
        <v>0</v>
      </c>
      <c r="N22" s="87"/>
      <c r="O22" s="88">
        <f t="shared" si="14"/>
        <v>0</v>
      </c>
      <c r="P22" s="88">
        <f t="shared" si="15"/>
        <v>0</v>
      </c>
      <c r="Q22" s="21"/>
      <c r="R22" s="46"/>
      <c r="S22" s="47"/>
      <c r="T22" s="48"/>
      <c r="U22" s="49"/>
      <c r="V22" s="50"/>
      <c r="W22" s="39"/>
      <c r="X22" s="51"/>
      <c r="Y22" s="52"/>
      <c r="Z22" s="21"/>
      <c r="AA22" s="21"/>
      <c r="AB22" s="21"/>
    </row>
    <row r="23" ht="20.25" customHeight="1">
      <c r="A23" s="53"/>
      <c r="B23" s="54"/>
      <c r="C23" s="55"/>
      <c r="D23" s="56"/>
      <c r="E23" s="57"/>
      <c r="F23" s="54"/>
      <c r="G23" s="56"/>
      <c r="H23" s="83">
        <f t="shared" si="11"/>
        <v>0</v>
      </c>
      <c r="I23" s="27"/>
      <c r="J23" s="54"/>
      <c r="K23" s="87"/>
      <c r="L23" s="88">
        <f t="shared" si="12"/>
        <v>0</v>
      </c>
      <c r="M23" s="88">
        <f t="shared" si="13"/>
        <v>0</v>
      </c>
      <c r="N23" s="87"/>
      <c r="O23" s="88">
        <f t="shared" si="14"/>
        <v>0</v>
      </c>
      <c r="P23" s="88">
        <f t="shared" si="15"/>
        <v>0</v>
      </c>
      <c r="Q23" s="21"/>
      <c r="R23" s="46"/>
      <c r="S23" s="47"/>
      <c r="T23" s="48"/>
      <c r="U23" s="49"/>
      <c r="V23" s="50"/>
      <c r="W23" s="39"/>
      <c r="X23" s="51"/>
      <c r="Y23" s="52"/>
      <c r="Z23" s="21"/>
      <c r="AA23" s="21"/>
      <c r="AB23" s="21"/>
    </row>
    <row r="24" ht="20.25" customHeight="1">
      <c r="A24" s="53"/>
      <c r="B24" s="54"/>
      <c r="C24" s="55"/>
      <c r="D24" s="56"/>
      <c r="E24" s="57"/>
      <c r="F24" s="54"/>
      <c r="G24" s="56"/>
      <c r="H24" s="83">
        <f t="shared" si="11"/>
        <v>0</v>
      </c>
      <c r="I24" s="27"/>
      <c r="J24" s="54"/>
      <c r="K24" s="87"/>
      <c r="L24" s="88">
        <f t="shared" si="12"/>
        <v>0</v>
      </c>
      <c r="M24" s="88">
        <f t="shared" si="13"/>
        <v>0</v>
      </c>
      <c r="N24" s="87"/>
      <c r="O24" s="88">
        <f t="shared" si="14"/>
        <v>0</v>
      </c>
      <c r="P24" s="88">
        <f t="shared" si="15"/>
        <v>0</v>
      </c>
      <c r="Q24" s="21"/>
      <c r="R24" s="46"/>
      <c r="S24" s="47"/>
      <c r="T24" s="48"/>
      <c r="U24" s="49"/>
      <c r="V24" s="50"/>
      <c r="W24" s="39"/>
      <c r="X24" s="51"/>
      <c r="Y24" s="52"/>
      <c r="Z24" s="21"/>
      <c r="AA24" s="21"/>
      <c r="AB24" s="21"/>
    </row>
    <row r="25" ht="20.25" customHeight="1">
      <c r="A25" s="53"/>
      <c r="B25" s="54"/>
      <c r="C25" s="55"/>
      <c r="D25" s="56"/>
      <c r="E25" s="57"/>
      <c r="F25" s="54"/>
      <c r="G25" s="56"/>
      <c r="H25" s="83">
        <f t="shared" si="11"/>
        <v>0</v>
      </c>
      <c r="I25" s="27"/>
      <c r="J25" s="54"/>
      <c r="K25" s="87"/>
      <c r="L25" s="88">
        <f t="shared" si="12"/>
        <v>0</v>
      </c>
      <c r="M25" s="88">
        <f t="shared" si="13"/>
        <v>0</v>
      </c>
      <c r="N25" s="87"/>
      <c r="O25" s="88">
        <f t="shared" si="14"/>
        <v>0</v>
      </c>
      <c r="P25" s="88">
        <f t="shared" si="15"/>
        <v>0</v>
      </c>
      <c r="Q25" s="21"/>
      <c r="R25" s="46"/>
      <c r="S25" s="47"/>
      <c r="T25" s="48"/>
      <c r="U25" s="49"/>
      <c r="V25" s="50"/>
      <c r="W25" s="39"/>
      <c r="X25" s="51"/>
      <c r="Y25" s="52"/>
      <c r="Z25" s="21"/>
      <c r="AA25" s="21"/>
      <c r="AB25" s="21"/>
    </row>
    <row r="26" ht="20.25" customHeight="1">
      <c r="A26" s="53"/>
      <c r="B26" s="54"/>
      <c r="C26" s="55"/>
      <c r="D26" s="56"/>
      <c r="E26" s="57"/>
      <c r="F26" s="54"/>
      <c r="G26" s="56"/>
      <c r="H26" s="83">
        <f t="shared" si="11"/>
        <v>0</v>
      </c>
      <c r="I26" s="27"/>
      <c r="J26" s="54"/>
      <c r="K26" s="87"/>
      <c r="L26" s="88">
        <f t="shared" si="12"/>
        <v>0</v>
      </c>
      <c r="M26" s="88">
        <f t="shared" si="13"/>
        <v>0</v>
      </c>
      <c r="N26" s="87"/>
      <c r="O26" s="88">
        <f t="shared" si="14"/>
        <v>0</v>
      </c>
      <c r="P26" s="88">
        <f t="shared" si="15"/>
        <v>0</v>
      </c>
      <c r="Q26" s="21"/>
      <c r="R26" s="46"/>
      <c r="S26" s="47"/>
      <c r="T26" s="48"/>
      <c r="U26" s="49"/>
      <c r="V26" s="50"/>
      <c r="W26" s="39"/>
      <c r="X26" s="51"/>
      <c r="Y26" s="52"/>
      <c r="Z26" s="21"/>
      <c r="AA26" s="21"/>
      <c r="AB26" s="21"/>
    </row>
    <row r="27" ht="20.25" customHeight="1">
      <c r="A27" s="53"/>
      <c r="B27" s="54"/>
      <c r="C27" s="55"/>
      <c r="D27" s="56"/>
      <c r="E27" s="57"/>
      <c r="F27" s="54"/>
      <c r="G27" s="56"/>
      <c r="H27" s="83">
        <f t="shared" si="11"/>
        <v>0</v>
      </c>
      <c r="I27" s="27"/>
      <c r="J27" s="89" t="s">
        <v>83</v>
      </c>
      <c r="K27" s="88">
        <f t="shared" ref="K27:L27" si="16">SUM(K20:K26)</f>
        <v>0</v>
      </c>
      <c r="L27" s="88">
        <f t="shared" si="16"/>
        <v>0</v>
      </c>
      <c r="M27" s="88">
        <f t="shared" si="13"/>
        <v>0</v>
      </c>
      <c r="N27" s="88">
        <f t="shared" ref="N27:O27" si="17">SUM(N20:N26)</f>
        <v>0</v>
      </c>
      <c r="O27" s="88">
        <f t="shared" si="17"/>
        <v>0</v>
      </c>
      <c r="P27" s="88">
        <f t="shared" si="15"/>
        <v>0</v>
      </c>
      <c r="Q27" s="21"/>
      <c r="R27" s="46"/>
      <c r="S27" s="47"/>
      <c r="T27" s="48"/>
      <c r="U27" s="49"/>
      <c r="V27" s="50"/>
      <c r="W27" s="39"/>
      <c r="X27" s="51"/>
      <c r="Y27" s="52"/>
      <c r="Z27" s="21"/>
      <c r="AA27" s="21"/>
      <c r="AB27" s="21"/>
    </row>
    <row r="28" ht="20.25" customHeight="1">
      <c r="A28" s="53"/>
      <c r="B28" s="54"/>
      <c r="C28" s="55"/>
      <c r="D28" s="67"/>
      <c r="E28" s="57"/>
      <c r="F28" s="54"/>
      <c r="G28" s="56"/>
      <c r="H28" s="83">
        <f t="shared" si="11"/>
        <v>0</v>
      </c>
      <c r="I28" s="27"/>
      <c r="J28" s="90"/>
      <c r="K28" s="91"/>
      <c r="L28" s="92"/>
      <c r="M28" s="92"/>
      <c r="N28" s="92"/>
      <c r="O28" s="93"/>
      <c r="P28" s="94"/>
      <c r="Q28" s="21"/>
      <c r="R28" s="46"/>
      <c r="S28" s="47"/>
      <c r="T28" s="48"/>
      <c r="U28" s="49"/>
      <c r="V28" s="50"/>
      <c r="W28" s="39"/>
      <c r="X28" s="51"/>
      <c r="Y28" s="52"/>
      <c r="Z28" s="21"/>
      <c r="AA28" s="21"/>
      <c r="AB28" s="21"/>
    </row>
    <row r="29" ht="20.25" customHeight="1">
      <c r="A29" s="53"/>
      <c r="B29" s="54"/>
      <c r="C29" s="55"/>
      <c r="D29" s="67"/>
      <c r="E29" s="57"/>
      <c r="F29" s="54"/>
      <c r="G29" s="56"/>
      <c r="H29" s="83">
        <f t="shared" si="11"/>
        <v>0</v>
      </c>
      <c r="I29" s="27"/>
      <c r="J29" s="95" t="s">
        <v>66</v>
      </c>
      <c r="K29" s="80"/>
      <c r="L29" s="81" t="s">
        <v>84</v>
      </c>
      <c r="M29" s="82"/>
      <c r="N29" s="80"/>
      <c r="O29" s="81" t="s">
        <v>85</v>
      </c>
      <c r="P29" s="82"/>
      <c r="Q29" s="21"/>
      <c r="R29" s="46"/>
      <c r="S29" s="47"/>
      <c r="T29" s="48"/>
      <c r="U29" s="49"/>
      <c r="V29" s="50"/>
      <c r="W29" s="39"/>
      <c r="X29" s="51"/>
      <c r="Y29" s="52"/>
      <c r="Z29" s="21"/>
      <c r="AA29" s="21"/>
      <c r="AB29" s="21"/>
    </row>
    <row r="30" ht="20.25" customHeight="1">
      <c r="A30" s="53"/>
      <c r="B30" s="54"/>
      <c r="C30" s="55"/>
      <c r="D30" s="67"/>
      <c r="E30" s="57"/>
      <c r="F30" s="54"/>
      <c r="G30" s="56"/>
      <c r="H30" s="83">
        <f t="shared" si="11"/>
        <v>0</v>
      </c>
      <c r="I30" s="27"/>
      <c r="J30" s="96"/>
      <c r="K30" s="86" t="s">
        <v>65</v>
      </c>
      <c r="L30" s="86" t="s">
        <v>46</v>
      </c>
      <c r="M30" s="86" t="s">
        <v>69</v>
      </c>
      <c r="N30" s="86" t="s">
        <v>65</v>
      </c>
      <c r="O30" s="86" t="s">
        <v>46</v>
      </c>
      <c r="P30" s="86" t="s">
        <v>69</v>
      </c>
      <c r="Q30" s="21"/>
      <c r="R30" s="46"/>
      <c r="S30" s="97"/>
      <c r="T30" s="48"/>
      <c r="U30" s="49"/>
      <c r="V30" s="50"/>
      <c r="W30" s="39"/>
      <c r="X30" s="51"/>
      <c r="Y30" s="52"/>
      <c r="Z30" s="21"/>
      <c r="AA30" s="21"/>
      <c r="AB30" s="21"/>
    </row>
    <row r="31" ht="20.25" customHeight="1">
      <c r="A31" s="69"/>
      <c r="B31" s="70" t="s">
        <v>60</v>
      </c>
      <c r="C31" s="98"/>
      <c r="D31" s="72">
        <f>SUM(D19:D30)</f>
        <v>0</v>
      </c>
      <c r="E31" s="57"/>
      <c r="F31" s="70" t="s">
        <v>60</v>
      </c>
      <c r="G31" s="72">
        <f t="shared" ref="G31:H31" si="18">SUM(G19:G30)</f>
        <v>0</v>
      </c>
      <c r="H31" s="72">
        <f t="shared" si="18"/>
        <v>0</v>
      </c>
      <c r="I31" s="27"/>
      <c r="J31" s="54"/>
      <c r="K31" s="56"/>
      <c r="L31" s="88">
        <f t="shared" ref="L31:L37" si="19">sumifs($X:$X,$S:$S,$L$29,$U:$U,J31)</f>
        <v>0</v>
      </c>
      <c r="M31" s="88">
        <f t="shared" ref="M31:M38" si="20">K31-L31</f>
        <v>0</v>
      </c>
      <c r="N31" s="56"/>
      <c r="O31" s="88">
        <f t="shared" ref="O31:O37" si="21">sumifs($X:$X,$S:$S,$O$29,$U:$U,J31)</f>
        <v>0</v>
      </c>
      <c r="P31" s="88">
        <f t="shared" ref="P31:P38" si="22">N31-O31</f>
        <v>0</v>
      </c>
      <c r="Q31" s="21"/>
      <c r="R31" s="46"/>
      <c r="S31" s="97"/>
      <c r="T31" s="48"/>
      <c r="U31" s="49"/>
      <c r="V31" s="50"/>
      <c r="W31" s="39"/>
      <c r="X31" s="51"/>
      <c r="Y31" s="52"/>
      <c r="Z31" s="21"/>
      <c r="AA31" s="21"/>
      <c r="AB31" s="21"/>
    </row>
    <row r="32" ht="20.25" customHeight="1">
      <c r="A32" s="20"/>
      <c r="B32" s="24"/>
      <c r="C32" s="32"/>
      <c r="D32" s="32"/>
      <c r="E32" s="32"/>
      <c r="F32" s="32"/>
      <c r="G32" s="24"/>
      <c r="H32" s="24"/>
      <c r="I32" s="27"/>
      <c r="J32" s="54"/>
      <c r="K32" s="56"/>
      <c r="L32" s="88">
        <f t="shared" si="19"/>
        <v>0</v>
      </c>
      <c r="M32" s="88">
        <f t="shared" si="20"/>
        <v>0</v>
      </c>
      <c r="N32" s="56"/>
      <c r="O32" s="88">
        <f t="shared" si="21"/>
        <v>0</v>
      </c>
      <c r="P32" s="88">
        <f t="shared" si="22"/>
        <v>0</v>
      </c>
      <c r="Q32" s="21"/>
      <c r="R32" s="46"/>
      <c r="S32" s="97"/>
      <c r="T32" s="48"/>
      <c r="U32" s="49"/>
      <c r="V32" s="50"/>
      <c r="W32" s="39"/>
      <c r="X32" s="51"/>
      <c r="Y32" s="52"/>
      <c r="Z32" s="21"/>
      <c r="AA32" s="21"/>
      <c r="AB32" s="21"/>
    </row>
    <row r="33" ht="20.25" customHeight="1">
      <c r="A33" s="28"/>
      <c r="B33" s="99" t="s">
        <v>86</v>
      </c>
      <c r="C33" s="30"/>
      <c r="D33" s="31"/>
      <c r="E33" s="32"/>
      <c r="F33" s="29" t="s">
        <v>87</v>
      </c>
      <c r="G33" s="31"/>
      <c r="H33" s="100" t="s">
        <v>46</v>
      </c>
      <c r="I33" s="101"/>
      <c r="J33" s="54"/>
      <c r="K33" s="56"/>
      <c r="L33" s="88">
        <f t="shared" si="19"/>
        <v>0</v>
      </c>
      <c r="M33" s="88">
        <f t="shared" si="20"/>
        <v>0</v>
      </c>
      <c r="N33" s="56"/>
      <c r="O33" s="88">
        <f t="shared" si="21"/>
        <v>0</v>
      </c>
      <c r="P33" s="88">
        <f t="shared" si="22"/>
        <v>0</v>
      </c>
      <c r="Q33" s="21"/>
      <c r="R33" s="46"/>
      <c r="S33" s="97"/>
      <c r="T33" s="48"/>
      <c r="U33" s="49"/>
      <c r="V33" s="50"/>
      <c r="W33" s="39"/>
      <c r="X33" s="51"/>
      <c r="Y33" s="52"/>
      <c r="Z33" s="21"/>
      <c r="AA33" s="21"/>
      <c r="AB33" s="21"/>
    </row>
    <row r="34" ht="20.25" customHeight="1">
      <c r="A34" s="40"/>
      <c r="B34" s="41" t="s">
        <v>44</v>
      </c>
      <c r="C34" s="41" t="s">
        <v>43</v>
      </c>
      <c r="D34" s="41" t="s">
        <v>46</v>
      </c>
      <c r="E34" s="57"/>
      <c r="F34" s="102" t="s">
        <v>88</v>
      </c>
      <c r="G34" s="31"/>
      <c r="H34" s="103">
        <f>D14</f>
        <v>0</v>
      </c>
      <c r="I34" s="104"/>
      <c r="J34" s="54"/>
      <c r="K34" s="56"/>
      <c r="L34" s="88">
        <f t="shared" si="19"/>
        <v>0</v>
      </c>
      <c r="M34" s="88">
        <f t="shared" si="20"/>
        <v>0</v>
      </c>
      <c r="N34" s="56"/>
      <c r="O34" s="88">
        <f t="shared" si="21"/>
        <v>0</v>
      </c>
      <c r="P34" s="88">
        <f t="shared" si="22"/>
        <v>0</v>
      </c>
      <c r="Q34" s="21"/>
      <c r="R34" s="46"/>
      <c r="S34" s="97"/>
      <c r="T34" s="48"/>
      <c r="U34" s="49"/>
      <c r="V34" s="50"/>
      <c r="W34" s="39"/>
      <c r="X34" s="51"/>
      <c r="Y34" s="52"/>
      <c r="Z34" s="21"/>
      <c r="AA34" s="21"/>
      <c r="AB34" s="21"/>
    </row>
    <row r="35" ht="20.25" customHeight="1">
      <c r="A35" s="19"/>
      <c r="B35" s="54"/>
      <c r="C35" s="55"/>
      <c r="D35" s="56"/>
      <c r="E35" s="57"/>
      <c r="F35" s="102" t="s">
        <v>90</v>
      </c>
      <c r="G35" s="31"/>
      <c r="H35" s="103">
        <f>H14</f>
        <v>0</v>
      </c>
      <c r="I35" s="104"/>
      <c r="J35" s="54"/>
      <c r="K35" s="56"/>
      <c r="L35" s="88">
        <f t="shared" si="19"/>
        <v>0</v>
      </c>
      <c r="M35" s="88">
        <f t="shared" si="20"/>
        <v>0</v>
      </c>
      <c r="N35" s="56"/>
      <c r="O35" s="88">
        <f t="shared" si="21"/>
        <v>0</v>
      </c>
      <c r="P35" s="88">
        <f t="shared" si="22"/>
        <v>0</v>
      </c>
      <c r="Q35" s="21"/>
      <c r="R35" s="46"/>
      <c r="S35" s="97"/>
      <c r="T35" s="48"/>
      <c r="U35" s="49"/>
      <c r="V35" s="50"/>
      <c r="W35" s="39"/>
      <c r="X35" s="51"/>
      <c r="Y35" s="52"/>
      <c r="Z35" s="21"/>
      <c r="AA35" s="21"/>
      <c r="AB35" s="21"/>
    </row>
    <row r="36" ht="20.25" customHeight="1">
      <c r="A36" s="19"/>
      <c r="B36" s="54"/>
      <c r="C36" s="55"/>
      <c r="D36" s="59"/>
      <c r="E36" s="57"/>
      <c r="F36" s="102" t="s">
        <v>91</v>
      </c>
      <c r="G36" s="31"/>
      <c r="H36" s="103">
        <f>D31+H31</f>
        <v>0</v>
      </c>
      <c r="I36" s="105"/>
      <c r="J36" s="54"/>
      <c r="K36" s="56"/>
      <c r="L36" s="88">
        <f t="shared" si="19"/>
        <v>0</v>
      </c>
      <c r="M36" s="88">
        <f t="shared" si="20"/>
        <v>0</v>
      </c>
      <c r="N36" s="56"/>
      <c r="O36" s="88">
        <f t="shared" si="21"/>
        <v>0</v>
      </c>
      <c r="P36" s="88">
        <f t="shared" si="22"/>
        <v>0</v>
      </c>
      <c r="Q36" s="21"/>
      <c r="R36" s="46"/>
      <c r="S36" s="97"/>
      <c r="T36" s="48"/>
      <c r="U36" s="49"/>
      <c r="V36" s="50"/>
      <c r="W36" s="39"/>
      <c r="X36" s="51"/>
      <c r="Y36" s="52"/>
      <c r="Z36" s="21"/>
      <c r="AA36" s="21"/>
      <c r="AB36" s="21"/>
    </row>
    <row r="37" ht="20.25" customHeight="1">
      <c r="A37" s="19"/>
      <c r="B37" s="54"/>
      <c r="C37" s="55"/>
      <c r="D37" s="59"/>
      <c r="E37" s="57"/>
      <c r="F37" s="102" t="s">
        <v>92</v>
      </c>
      <c r="G37" s="31"/>
      <c r="H37" s="103">
        <f>H34-H35-H36</f>
        <v>0</v>
      </c>
      <c r="I37" s="104"/>
      <c r="J37" s="54"/>
      <c r="K37" s="56"/>
      <c r="L37" s="88">
        <f t="shared" si="19"/>
        <v>0</v>
      </c>
      <c r="M37" s="88">
        <f t="shared" si="20"/>
        <v>0</v>
      </c>
      <c r="N37" s="56"/>
      <c r="O37" s="88">
        <f t="shared" si="21"/>
        <v>0</v>
      </c>
      <c r="P37" s="88">
        <f t="shared" si="22"/>
        <v>0</v>
      </c>
      <c r="Q37" s="21"/>
      <c r="R37" s="46"/>
      <c r="S37" s="97"/>
      <c r="T37" s="48"/>
      <c r="U37" s="49"/>
      <c r="V37" s="50"/>
      <c r="W37" s="39"/>
      <c r="X37" s="51"/>
      <c r="Y37" s="52"/>
      <c r="Z37" s="21"/>
      <c r="AA37" s="21"/>
      <c r="AB37" s="21"/>
    </row>
    <row r="38" ht="20.25" customHeight="1">
      <c r="A38" s="106"/>
      <c r="B38" s="54"/>
      <c r="C38" s="55"/>
      <c r="D38" s="59"/>
      <c r="E38" s="57"/>
      <c r="F38" s="102" t="s">
        <v>93</v>
      </c>
      <c r="G38" s="31"/>
      <c r="H38" s="103">
        <f>H35+H37</f>
        <v>0</v>
      </c>
      <c r="I38" s="107"/>
      <c r="J38" s="89" t="s">
        <v>83</v>
      </c>
      <c r="K38" s="88">
        <f t="shared" ref="K38:L38" si="23">SUM(K31:K37)</f>
        <v>0</v>
      </c>
      <c r="L38" s="88">
        <f t="shared" si="23"/>
        <v>0</v>
      </c>
      <c r="M38" s="88">
        <f t="shared" si="20"/>
        <v>0</v>
      </c>
      <c r="N38" s="88">
        <f t="shared" ref="N38:O38" si="24">SUM(N31:N37)</f>
        <v>0</v>
      </c>
      <c r="O38" s="88">
        <f t="shared" si="24"/>
        <v>0</v>
      </c>
      <c r="P38" s="88">
        <f t="shared" si="22"/>
        <v>0</v>
      </c>
      <c r="Q38" s="21"/>
      <c r="R38" s="46"/>
      <c r="S38" s="97"/>
      <c r="T38" s="48"/>
      <c r="U38" s="49"/>
      <c r="V38" s="50"/>
      <c r="W38" s="39"/>
      <c r="X38" s="51"/>
      <c r="Y38" s="52"/>
      <c r="Z38" s="21"/>
      <c r="AA38" s="21"/>
      <c r="AB38" s="21"/>
    </row>
    <row r="39" ht="20.25" customHeight="1">
      <c r="A39" s="106"/>
      <c r="B39" s="54"/>
      <c r="C39" s="55"/>
      <c r="D39" s="66"/>
      <c r="E39" s="32"/>
      <c r="F39" s="32"/>
      <c r="G39" s="108"/>
      <c r="H39" s="108"/>
      <c r="I39" s="27"/>
      <c r="J39" s="90"/>
      <c r="K39" s="57"/>
      <c r="L39" s="92"/>
      <c r="M39" s="92"/>
      <c r="N39" s="92"/>
      <c r="O39" s="93"/>
      <c r="P39" s="94"/>
      <c r="Q39" s="21"/>
      <c r="R39" s="46"/>
      <c r="S39" s="97"/>
      <c r="T39" s="48"/>
      <c r="U39" s="49"/>
      <c r="V39" s="50"/>
      <c r="W39" s="39"/>
      <c r="X39" s="51"/>
      <c r="Y39" s="52"/>
      <c r="Z39" s="21"/>
      <c r="AA39" s="21"/>
      <c r="AB39" s="21"/>
    </row>
    <row r="40" ht="20.25" customHeight="1">
      <c r="A40" s="69"/>
      <c r="B40" s="109"/>
      <c r="C40" s="55"/>
      <c r="D40" s="110"/>
      <c r="E40" s="32"/>
      <c r="F40" s="111" t="s">
        <v>103</v>
      </c>
      <c r="G40" s="112" t="s">
        <v>104</v>
      </c>
      <c r="H40" s="113"/>
      <c r="I40" s="27"/>
      <c r="J40" s="95" t="s">
        <v>66</v>
      </c>
      <c r="K40" s="80"/>
      <c r="L40" s="81" t="s">
        <v>96</v>
      </c>
      <c r="M40" s="82"/>
      <c r="N40" s="80"/>
      <c r="O40" s="81" t="s">
        <v>83</v>
      </c>
      <c r="P40" s="82"/>
      <c r="Q40" s="21"/>
      <c r="R40" s="46"/>
      <c r="S40" s="97"/>
      <c r="T40" s="48"/>
      <c r="U40" s="49"/>
      <c r="V40" s="50"/>
      <c r="W40" s="39"/>
      <c r="X40" s="51"/>
      <c r="Y40" s="52"/>
      <c r="Z40" s="21"/>
      <c r="AA40" s="21"/>
      <c r="AB40" s="21"/>
    </row>
    <row r="41" ht="20.25" customHeight="1">
      <c r="B41" s="114"/>
      <c r="C41" s="55"/>
      <c r="D41" s="110"/>
      <c r="E41" s="32"/>
      <c r="F41" s="115" t="str">
        <f>H36/H34</f>
        <v>#DIV/0!</v>
      </c>
      <c r="G41" s="116" t="str">
        <f>H38/H34</f>
        <v>#DIV/0!</v>
      </c>
      <c r="H41" s="117"/>
      <c r="I41" s="27"/>
      <c r="J41" s="96"/>
      <c r="K41" s="86" t="s">
        <v>65</v>
      </c>
      <c r="L41" s="86" t="s">
        <v>46</v>
      </c>
      <c r="M41" s="86" t="s">
        <v>69</v>
      </c>
      <c r="N41" s="86" t="s">
        <v>65</v>
      </c>
      <c r="O41" s="86" t="s">
        <v>46</v>
      </c>
      <c r="P41" s="86" t="s">
        <v>69</v>
      </c>
      <c r="Q41" s="21"/>
      <c r="R41" s="46"/>
      <c r="S41" s="97"/>
      <c r="T41" s="48"/>
      <c r="U41" s="49"/>
      <c r="V41" s="50"/>
      <c r="W41" s="39"/>
      <c r="X41" s="51"/>
      <c r="Y41" s="52"/>
      <c r="Z41" s="21"/>
      <c r="AA41" s="21"/>
      <c r="AB41" s="21"/>
    </row>
    <row r="42" ht="20.25" customHeight="1">
      <c r="B42" s="118" t="s">
        <v>60</v>
      </c>
      <c r="C42" s="119"/>
      <c r="D42" s="119">
        <f>SUM(D35:D41)</f>
        <v>0</v>
      </c>
      <c r="E42" s="32"/>
      <c r="F42" s="120"/>
      <c r="G42" s="121"/>
      <c r="H42" s="122"/>
      <c r="I42" s="27"/>
      <c r="J42" s="54"/>
      <c r="K42" s="56"/>
      <c r="L42" s="88">
        <f t="shared" ref="L42:L48" si="26">sumifs($X:$X,$S:$S,$L$40,$U:$U,J42)</f>
        <v>0</v>
      </c>
      <c r="M42" s="88">
        <f t="shared" ref="M42:M49" si="27">K42-L42</f>
        <v>0</v>
      </c>
      <c r="N42" s="83">
        <f t="shared" ref="N42:O42" si="25">K20+N20+K31+N31+K42</f>
        <v>0</v>
      </c>
      <c r="O42" s="83">
        <f t="shared" si="25"/>
        <v>0</v>
      </c>
      <c r="P42" s="88">
        <f t="shared" ref="P42:P49" si="29">N42-O42</f>
        <v>0</v>
      </c>
      <c r="Q42" s="21"/>
      <c r="R42" s="46"/>
      <c r="S42" s="97"/>
      <c r="T42" s="48"/>
      <c r="U42" s="49"/>
      <c r="V42" s="50"/>
      <c r="W42" s="39"/>
      <c r="X42" s="51"/>
      <c r="Y42" s="52"/>
      <c r="Z42" s="21"/>
      <c r="AA42" s="21"/>
      <c r="AB42" s="21"/>
    </row>
    <row r="43" ht="20.25" customHeight="1">
      <c r="A43" s="69"/>
      <c r="B43" s="123"/>
      <c r="C43" s="124"/>
      <c r="D43" s="124" t="s">
        <v>97</v>
      </c>
      <c r="E43" s="25"/>
      <c r="F43" s="125" t="s">
        <v>98</v>
      </c>
      <c r="G43" s="125"/>
      <c r="H43" s="125" t="s">
        <v>99</v>
      </c>
      <c r="I43" s="27"/>
      <c r="J43" s="54"/>
      <c r="K43" s="56"/>
      <c r="L43" s="88">
        <f t="shared" si="26"/>
        <v>0</v>
      </c>
      <c r="M43" s="88">
        <f t="shared" si="27"/>
        <v>0</v>
      </c>
      <c r="N43" s="83">
        <f t="shared" ref="N43:O43" si="28">K21+N21+K32+N32+K43</f>
        <v>0</v>
      </c>
      <c r="O43" s="83">
        <f t="shared" si="28"/>
        <v>0</v>
      </c>
      <c r="P43" s="88">
        <f t="shared" si="29"/>
        <v>0</v>
      </c>
      <c r="Q43" s="21"/>
      <c r="R43" s="46"/>
      <c r="S43" s="97"/>
      <c r="T43" s="48"/>
      <c r="U43" s="49"/>
      <c r="V43" s="50"/>
      <c r="W43" s="39"/>
      <c r="X43" s="51"/>
      <c r="Y43" s="52"/>
      <c r="Z43" s="21"/>
      <c r="AA43" s="21"/>
      <c r="AB43" s="21"/>
    </row>
    <row r="44" ht="20.25" customHeight="1">
      <c r="A44" s="69"/>
      <c r="B44" s="112" t="s">
        <v>100</v>
      </c>
      <c r="C44" s="126"/>
      <c r="D44" s="126"/>
      <c r="E44" s="126"/>
      <c r="F44" s="126"/>
      <c r="G44" s="126"/>
      <c r="H44" s="113"/>
      <c r="I44" s="27"/>
      <c r="J44" s="54"/>
      <c r="K44" s="56"/>
      <c r="L44" s="88">
        <f t="shared" si="26"/>
        <v>0</v>
      </c>
      <c r="M44" s="88">
        <f t="shared" si="27"/>
        <v>0</v>
      </c>
      <c r="N44" s="83">
        <f t="shared" ref="N44:O44" si="30">K22+N22+K33+N33+K44</f>
        <v>0</v>
      </c>
      <c r="O44" s="83">
        <f t="shared" si="30"/>
        <v>0</v>
      </c>
      <c r="P44" s="88">
        <f t="shared" si="29"/>
        <v>0</v>
      </c>
      <c r="Q44" s="21"/>
      <c r="R44" s="46"/>
      <c r="S44" s="97"/>
      <c r="T44" s="48"/>
      <c r="U44" s="49"/>
      <c r="V44" s="50"/>
      <c r="W44" s="39"/>
      <c r="X44" s="51"/>
      <c r="Y44" s="52"/>
      <c r="Z44" s="21"/>
      <c r="AA44" s="21"/>
      <c r="AB44" s="21"/>
    </row>
    <row r="45" ht="20.25" customHeight="1">
      <c r="A45" s="20"/>
      <c r="B45" s="127"/>
      <c r="C45" s="128"/>
      <c r="D45" s="128"/>
      <c r="E45" s="128"/>
      <c r="F45" s="128"/>
      <c r="G45" s="128"/>
      <c r="H45" s="117"/>
      <c r="I45" s="27"/>
      <c r="J45" s="54"/>
      <c r="K45" s="56"/>
      <c r="L45" s="88">
        <f t="shared" si="26"/>
        <v>0</v>
      </c>
      <c r="M45" s="88">
        <f t="shared" si="27"/>
        <v>0</v>
      </c>
      <c r="N45" s="83">
        <f t="shared" ref="N45:O45" si="31">K23+N23+K34+N34+K45</f>
        <v>0</v>
      </c>
      <c r="O45" s="83">
        <f t="shared" si="31"/>
        <v>0</v>
      </c>
      <c r="P45" s="88">
        <f t="shared" si="29"/>
        <v>0</v>
      </c>
      <c r="Q45" s="21"/>
      <c r="R45" s="46"/>
      <c r="S45" s="97"/>
      <c r="T45" s="48"/>
      <c r="U45" s="49"/>
      <c r="V45" s="50"/>
      <c r="W45" s="39"/>
      <c r="X45" s="51"/>
      <c r="Y45" s="52"/>
      <c r="Z45" s="21"/>
      <c r="AA45" s="21"/>
      <c r="AB45" s="21"/>
    </row>
    <row r="46" ht="20.25" customHeight="1">
      <c r="A46" s="20"/>
      <c r="B46" s="129"/>
      <c r="H46" s="130"/>
      <c r="I46" s="27"/>
      <c r="J46" s="54"/>
      <c r="K46" s="56"/>
      <c r="L46" s="88">
        <f t="shared" si="26"/>
        <v>0</v>
      </c>
      <c r="M46" s="88">
        <f t="shared" si="27"/>
        <v>0</v>
      </c>
      <c r="N46" s="83">
        <f t="shared" ref="N46:O46" si="32">K24+N24+K35+N35+K46</f>
        <v>0</v>
      </c>
      <c r="O46" s="83">
        <f t="shared" si="32"/>
        <v>0</v>
      </c>
      <c r="P46" s="88">
        <f t="shared" si="29"/>
        <v>0</v>
      </c>
      <c r="Q46" s="21"/>
      <c r="R46" s="46"/>
      <c r="S46" s="97"/>
      <c r="T46" s="48"/>
      <c r="U46" s="49"/>
      <c r="V46" s="50"/>
      <c r="W46" s="39"/>
      <c r="X46" s="51"/>
      <c r="Y46" s="52"/>
      <c r="Z46" s="21"/>
      <c r="AA46" s="21"/>
      <c r="AB46" s="21"/>
    </row>
    <row r="47" ht="20.25" customHeight="1">
      <c r="A47" s="20"/>
      <c r="B47" s="129"/>
      <c r="H47" s="130"/>
      <c r="I47" s="27"/>
      <c r="J47" s="54"/>
      <c r="K47" s="56"/>
      <c r="L47" s="88">
        <f t="shared" si="26"/>
        <v>0</v>
      </c>
      <c r="M47" s="88">
        <f t="shared" si="27"/>
        <v>0</v>
      </c>
      <c r="N47" s="83">
        <f t="shared" ref="N47:O47" si="33">K25+N25+K36+N36+K47</f>
        <v>0</v>
      </c>
      <c r="O47" s="83">
        <f t="shared" si="33"/>
        <v>0</v>
      </c>
      <c r="P47" s="88">
        <f t="shared" si="29"/>
        <v>0</v>
      </c>
      <c r="Q47" s="21"/>
      <c r="R47" s="46"/>
      <c r="S47" s="97"/>
      <c r="T47" s="48"/>
      <c r="U47" s="49"/>
      <c r="V47" s="50"/>
      <c r="W47" s="39"/>
      <c r="X47" s="51"/>
      <c r="Y47" s="52"/>
      <c r="Z47" s="21"/>
      <c r="AA47" s="21"/>
      <c r="AB47" s="21"/>
    </row>
    <row r="48" ht="20.25" customHeight="1">
      <c r="A48" s="20"/>
      <c r="B48" s="129"/>
      <c r="H48" s="130"/>
      <c r="I48" s="27"/>
      <c r="J48" s="54"/>
      <c r="K48" s="56"/>
      <c r="L48" s="88">
        <f t="shared" si="26"/>
        <v>0</v>
      </c>
      <c r="M48" s="88">
        <f t="shared" si="27"/>
        <v>0</v>
      </c>
      <c r="N48" s="83">
        <f t="shared" ref="N48:O48" si="34">K26+N26+K37+N37+K48</f>
        <v>0</v>
      </c>
      <c r="O48" s="83">
        <f t="shared" si="34"/>
        <v>0</v>
      </c>
      <c r="P48" s="88">
        <f t="shared" si="29"/>
        <v>0</v>
      </c>
      <c r="Q48" s="21"/>
      <c r="R48" s="46"/>
      <c r="S48" s="97"/>
      <c r="T48" s="48"/>
      <c r="U48" s="49"/>
      <c r="V48" s="50"/>
      <c r="W48" s="39"/>
      <c r="X48" s="51"/>
      <c r="Y48" s="52"/>
      <c r="Z48" s="21"/>
      <c r="AA48" s="21"/>
      <c r="AB48" s="21"/>
    </row>
    <row r="49" ht="20.25" customHeight="1">
      <c r="A49" s="20"/>
      <c r="B49" s="121"/>
      <c r="C49" s="131"/>
      <c r="D49" s="131"/>
      <c r="E49" s="131"/>
      <c r="F49" s="131"/>
      <c r="G49" s="131"/>
      <c r="H49" s="122"/>
      <c r="I49" s="27"/>
      <c r="J49" s="89" t="s">
        <v>83</v>
      </c>
      <c r="K49" s="88">
        <f t="shared" ref="K49:L49" si="35">SUM(K42:K48)</f>
        <v>0</v>
      </c>
      <c r="L49" s="88">
        <f t="shared" si="35"/>
        <v>0</v>
      </c>
      <c r="M49" s="88">
        <f t="shared" si="27"/>
        <v>0</v>
      </c>
      <c r="N49" s="88">
        <f t="shared" ref="N49:O49" si="36">SUM(N42:N48)</f>
        <v>0</v>
      </c>
      <c r="O49" s="88">
        <f t="shared" si="36"/>
        <v>0</v>
      </c>
      <c r="P49" s="88">
        <f t="shared" si="29"/>
        <v>0</v>
      </c>
      <c r="Q49" s="21"/>
      <c r="R49" s="46"/>
      <c r="S49" s="97"/>
      <c r="T49" s="48"/>
      <c r="U49" s="49"/>
      <c r="V49" s="50"/>
      <c r="W49" s="39"/>
      <c r="X49" s="51"/>
      <c r="Y49" s="52"/>
      <c r="Z49" s="21"/>
      <c r="AA49" s="21"/>
      <c r="AB49" s="21"/>
    </row>
    <row r="50" ht="6.75" customHeight="1">
      <c r="A50" s="20"/>
      <c r="E50" s="25"/>
      <c r="F50" s="132"/>
      <c r="G50" s="125"/>
      <c r="H50" s="125"/>
      <c r="I50" s="27"/>
      <c r="J50" s="133"/>
      <c r="K50" s="19"/>
      <c r="L50" s="78"/>
      <c r="M50" s="78"/>
      <c r="N50" s="78"/>
      <c r="O50" s="134"/>
      <c r="P50" s="94"/>
      <c r="Q50" s="21"/>
      <c r="R50" s="137"/>
      <c r="S50" s="137"/>
      <c r="T50" s="137"/>
      <c r="U50" s="137"/>
      <c r="V50" s="137"/>
      <c r="W50" s="137"/>
      <c r="X50" s="137"/>
      <c r="Y50" s="137"/>
      <c r="Z50" s="21"/>
      <c r="AA50" s="21"/>
      <c r="AB50" s="21"/>
    </row>
    <row r="51" hidden="1">
      <c r="F51" s="19"/>
      <c r="G51" s="106"/>
      <c r="H51" s="10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</row>
  </sheetData>
  <mergeCells count="67">
    <mergeCell ref="V32:W32"/>
    <mergeCell ref="V37:W37"/>
    <mergeCell ref="G40:H40"/>
    <mergeCell ref="J40:J41"/>
    <mergeCell ref="F41:F42"/>
    <mergeCell ref="G41:H42"/>
    <mergeCell ref="B44:H44"/>
    <mergeCell ref="B45:H49"/>
    <mergeCell ref="B33:D33"/>
    <mergeCell ref="F33:G33"/>
    <mergeCell ref="F34:G34"/>
    <mergeCell ref="F35:G35"/>
    <mergeCell ref="F36:G36"/>
    <mergeCell ref="F37:G37"/>
    <mergeCell ref="F38:G38"/>
    <mergeCell ref="V44:W44"/>
    <mergeCell ref="V45:W45"/>
    <mergeCell ref="V46:W46"/>
    <mergeCell ref="V47:W47"/>
    <mergeCell ref="V48:W48"/>
    <mergeCell ref="V49:W49"/>
    <mergeCell ref="V31:W31"/>
    <mergeCell ref="V38:W38"/>
    <mergeCell ref="V39:W39"/>
    <mergeCell ref="V40:W40"/>
    <mergeCell ref="V41:W41"/>
    <mergeCell ref="V42:W42"/>
    <mergeCell ref="V43:W43"/>
    <mergeCell ref="R2:Y2"/>
    <mergeCell ref="B4:D4"/>
    <mergeCell ref="F4:H4"/>
    <mergeCell ref="V4:W4"/>
    <mergeCell ref="V5:W5"/>
    <mergeCell ref="V6:W6"/>
    <mergeCell ref="V7:W7"/>
    <mergeCell ref="V15:W15"/>
    <mergeCell ref="B16:D16"/>
    <mergeCell ref="F16:H16"/>
    <mergeCell ref="J16:P16"/>
    <mergeCell ref="V16:W16"/>
    <mergeCell ref="J18:J19"/>
    <mergeCell ref="V18:W18"/>
    <mergeCell ref="V19:W19"/>
    <mergeCell ref="V8:W8"/>
    <mergeCell ref="V9:W9"/>
    <mergeCell ref="V10:W10"/>
    <mergeCell ref="V11:W11"/>
    <mergeCell ref="V12:W12"/>
    <mergeCell ref="V13:W13"/>
    <mergeCell ref="V14:W14"/>
    <mergeCell ref="V26:W26"/>
    <mergeCell ref="V27:W27"/>
    <mergeCell ref="V28:W28"/>
    <mergeCell ref="J29:J30"/>
    <mergeCell ref="V29:W29"/>
    <mergeCell ref="V30:W30"/>
    <mergeCell ref="V17:W17"/>
    <mergeCell ref="V20:W20"/>
    <mergeCell ref="V21:W21"/>
    <mergeCell ref="V22:W22"/>
    <mergeCell ref="V23:W23"/>
    <mergeCell ref="V24:W24"/>
    <mergeCell ref="V25:W25"/>
    <mergeCell ref="V34:W34"/>
    <mergeCell ref="V35:W35"/>
    <mergeCell ref="V33:W33"/>
    <mergeCell ref="V36:W36"/>
  </mergeCells>
  <conditionalFormatting sqref="J5:P5 J7:P7 J9:P9 J11:P11 J13:P13">
    <cfRule type="expression" dxfId="4" priority="1">
      <formula>MONTH(J5)&lt;&gt;$B$1</formula>
    </cfRule>
  </conditionalFormatting>
  <dataValidations>
    <dataValidation type="list" allowBlank="1" sqref="B6:B13">
      <formula1>list!$A$2:$A51</formula1>
    </dataValidation>
    <dataValidation type="list" allowBlank="1" sqref="F6:F13">
      <formula1>list!$B$2:$B51</formula1>
    </dataValidation>
    <dataValidation type="list" allowBlank="1" sqref="J20:J26 B19:B30 F19:F30 J31:J37 J42:J48">
      <formula1>list!$C$2:$C51</formula1>
    </dataValidation>
    <dataValidation type="list" allowBlank="1" sqref="C6:C13 G6:G13 C19:C30 C35:C41 T5:T49">
      <formula1>list!$F$2:$F51</formula1>
    </dataValidation>
    <dataValidation type="list" allowBlank="1" sqref="U5:U49">
      <formula1>list!$C$2:$C51</formula1>
    </dataValidation>
    <dataValidation type="list" allowBlank="1" sqref="B35:B41">
      <formula1>list!$D$2:$D51</formula1>
    </dataValidation>
    <dataValidation type="list" allowBlank="1" showErrorMessage="1" sqref="S5:S49">
      <formula1>"1week,2week,3week,4week,5week"</formula1>
    </dataValidation>
    <dataValidation type="custom" allowBlank="1" showDropDown="1" showErrorMessage="1" sqref="J28 J39 R5:R49 J50 R50:Y50">
      <formula1>OR(NOT(ISERROR(DATEVALUE(J5))), AND(ISNUMBER(J5), LEFT(CELL("format", J5))="D"))</formula1>
    </dataValidation>
    <dataValidation type="list" allowBlank="1" showErrorMessage="1" sqref="Y5:Y49">
      <formula1>"〇,△,✕"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8CC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.0"/>
    <col customWidth="1" min="2" max="2" width="18.0"/>
    <col customWidth="1" min="3" max="4" width="11.63"/>
    <col customWidth="1" min="5" max="5" width="2.0"/>
    <col customWidth="1" min="6" max="6" width="18.0"/>
    <col customWidth="1" min="7" max="8" width="11.63"/>
    <col customWidth="1" min="9" max="9" width="2.63"/>
    <col customWidth="1" min="10" max="16" width="13.88"/>
    <col customWidth="1" min="17" max="17" width="2.63"/>
    <col customWidth="1" min="18" max="25" width="12.75"/>
    <col customWidth="1" min="26" max="26" width="2.0"/>
    <col customWidth="1" hidden="1" min="27" max="28" width="11.0"/>
  </cols>
  <sheetData>
    <row r="1" ht="42.0" customHeight="1">
      <c r="A1" s="10"/>
      <c r="B1" s="11">
        <v>4.0</v>
      </c>
      <c r="C1" s="12"/>
      <c r="D1" s="12" t="s">
        <v>29</v>
      </c>
      <c r="E1" s="13"/>
      <c r="F1" s="12"/>
      <c r="G1" s="14"/>
      <c r="H1" s="14"/>
      <c r="I1" s="15"/>
      <c r="J1" s="12" t="s">
        <v>30</v>
      </c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6"/>
      <c r="AB1" s="16"/>
    </row>
    <row r="2" ht="21.75" customHeight="1">
      <c r="A2" s="17"/>
      <c r="B2" s="18">
        <v>2025.0</v>
      </c>
      <c r="C2" s="19"/>
      <c r="D2" s="19"/>
      <c r="G2" s="20"/>
      <c r="H2" s="20"/>
      <c r="I2" s="21"/>
      <c r="J2" s="22">
        <f>DATE(B2,B1,1)</f>
        <v>45748</v>
      </c>
      <c r="K2" s="21"/>
      <c r="L2" s="21"/>
      <c r="M2" s="21"/>
      <c r="N2" s="21"/>
      <c r="O2" s="21"/>
      <c r="P2" s="21"/>
      <c r="Q2" s="21"/>
      <c r="R2" s="23" t="s">
        <v>31</v>
      </c>
      <c r="Z2" s="21"/>
      <c r="AA2" s="21"/>
      <c r="AB2" s="21"/>
    </row>
    <row r="3" ht="7.5" customHeight="1">
      <c r="A3" s="20"/>
      <c r="B3" s="24"/>
      <c r="C3" s="25"/>
      <c r="D3" s="25"/>
      <c r="E3" s="25"/>
      <c r="F3" s="26"/>
      <c r="G3" s="26"/>
      <c r="H3" s="26"/>
      <c r="I3" s="27"/>
      <c r="J3" s="25"/>
      <c r="K3" s="25"/>
      <c r="L3" s="25"/>
      <c r="M3" s="27"/>
      <c r="N3" s="27"/>
      <c r="O3" s="27"/>
      <c r="P3" s="27"/>
      <c r="Q3" s="21"/>
      <c r="Z3" s="21"/>
      <c r="AA3" s="21"/>
      <c r="AB3" s="21"/>
    </row>
    <row r="4" ht="20.25" customHeight="1">
      <c r="A4" s="28"/>
      <c r="B4" s="29" t="s">
        <v>32</v>
      </c>
      <c r="C4" s="30"/>
      <c r="D4" s="31"/>
      <c r="E4" s="32"/>
      <c r="F4" s="29" t="s">
        <v>33</v>
      </c>
      <c r="G4" s="30"/>
      <c r="H4" s="31"/>
      <c r="I4" s="27"/>
      <c r="J4" s="33" t="s">
        <v>34</v>
      </c>
      <c r="K4" s="33" t="s">
        <v>35</v>
      </c>
      <c r="L4" s="33" t="s">
        <v>36</v>
      </c>
      <c r="M4" s="33" t="s">
        <v>37</v>
      </c>
      <c r="N4" s="33" t="s">
        <v>38</v>
      </c>
      <c r="O4" s="34" t="s">
        <v>39</v>
      </c>
      <c r="P4" s="35" t="s">
        <v>40</v>
      </c>
      <c r="Q4" s="21"/>
      <c r="R4" s="36" t="s">
        <v>41</v>
      </c>
      <c r="S4" s="37" t="s">
        <v>42</v>
      </c>
      <c r="T4" s="37" t="s">
        <v>43</v>
      </c>
      <c r="U4" s="37" t="s">
        <v>44</v>
      </c>
      <c r="V4" s="38" t="s">
        <v>45</v>
      </c>
      <c r="W4" s="39"/>
      <c r="X4" s="37" t="s">
        <v>46</v>
      </c>
      <c r="Y4" s="37" t="s">
        <v>47</v>
      </c>
      <c r="Z4" s="21"/>
      <c r="AA4" s="21"/>
      <c r="AB4" s="21"/>
    </row>
    <row r="5" ht="20.25" customHeight="1">
      <c r="A5" s="40"/>
      <c r="B5" s="41" t="s">
        <v>44</v>
      </c>
      <c r="C5" s="42" t="s">
        <v>48</v>
      </c>
      <c r="D5" s="41" t="s">
        <v>46</v>
      </c>
      <c r="E5" s="32"/>
      <c r="F5" s="41" t="s">
        <v>44</v>
      </c>
      <c r="G5" s="41" t="s">
        <v>43</v>
      </c>
      <c r="H5" s="41" t="s">
        <v>46</v>
      </c>
      <c r="I5" s="27"/>
      <c r="J5" s="43">
        <f>$J$2-weekday($J$2)+2</f>
        <v>45747</v>
      </c>
      <c r="K5" s="43">
        <f t="shared" ref="K5:P5" si="1">J5+1</f>
        <v>45748</v>
      </c>
      <c r="L5" s="43">
        <f t="shared" si="1"/>
        <v>45749</v>
      </c>
      <c r="M5" s="43">
        <f t="shared" si="1"/>
        <v>45750</v>
      </c>
      <c r="N5" s="43">
        <f t="shared" si="1"/>
        <v>45751</v>
      </c>
      <c r="O5" s="44">
        <f t="shared" si="1"/>
        <v>45752</v>
      </c>
      <c r="P5" s="45">
        <f t="shared" si="1"/>
        <v>45753</v>
      </c>
      <c r="Q5" s="21"/>
      <c r="R5" s="138">
        <v>45748.0</v>
      </c>
      <c r="S5" s="139"/>
      <c r="T5" s="55"/>
      <c r="U5" s="49"/>
      <c r="V5" s="140"/>
      <c r="W5" s="39"/>
      <c r="X5" s="141"/>
      <c r="Y5" s="142"/>
      <c r="Z5" s="21"/>
      <c r="AA5" s="21"/>
      <c r="AB5" s="21"/>
    </row>
    <row r="6" ht="20.25" customHeight="1">
      <c r="A6" s="53"/>
      <c r="B6" s="54"/>
      <c r="C6" s="55"/>
      <c r="D6" s="56"/>
      <c r="E6" s="57"/>
      <c r="F6" s="58"/>
      <c r="G6" s="55"/>
      <c r="H6" s="56"/>
      <c r="I6" s="27"/>
      <c r="J6" s="60">
        <f t="shared" ref="J6:P6" si="2">sumifs($X:$X,$R:$R,J5)</f>
        <v>0</v>
      </c>
      <c r="K6" s="60">
        <f t="shared" si="2"/>
        <v>0</v>
      </c>
      <c r="L6" s="60">
        <f t="shared" si="2"/>
        <v>0</v>
      </c>
      <c r="M6" s="60">
        <f t="shared" si="2"/>
        <v>0</v>
      </c>
      <c r="N6" s="60">
        <f t="shared" si="2"/>
        <v>0</v>
      </c>
      <c r="O6" s="60">
        <f t="shared" si="2"/>
        <v>0</v>
      </c>
      <c r="P6" s="60">
        <f t="shared" si="2"/>
        <v>0</v>
      </c>
      <c r="Q6" s="21"/>
      <c r="R6" s="138"/>
      <c r="S6" s="139"/>
      <c r="T6" s="55"/>
      <c r="U6" s="49"/>
      <c r="V6" s="140"/>
      <c r="W6" s="39"/>
      <c r="X6" s="141"/>
      <c r="Y6" s="142"/>
      <c r="Z6" s="21"/>
      <c r="AA6" s="21"/>
      <c r="AB6" s="21"/>
    </row>
    <row r="7" ht="20.25" customHeight="1">
      <c r="A7" s="53"/>
      <c r="B7" s="54"/>
      <c r="C7" s="55"/>
      <c r="D7" s="56"/>
      <c r="E7" s="57"/>
      <c r="F7" s="58"/>
      <c r="G7" s="55"/>
      <c r="H7" s="56"/>
      <c r="I7" s="27"/>
      <c r="J7" s="61">
        <f t="shared" ref="J7:P7" si="3">J5+7</f>
        <v>45754</v>
      </c>
      <c r="K7" s="61">
        <f t="shared" si="3"/>
        <v>45755</v>
      </c>
      <c r="L7" s="61">
        <f t="shared" si="3"/>
        <v>45756</v>
      </c>
      <c r="M7" s="61">
        <f t="shared" si="3"/>
        <v>45757</v>
      </c>
      <c r="N7" s="61">
        <f t="shared" si="3"/>
        <v>45758</v>
      </c>
      <c r="O7" s="62">
        <f t="shared" si="3"/>
        <v>45759</v>
      </c>
      <c r="P7" s="63">
        <f t="shared" si="3"/>
        <v>45760</v>
      </c>
      <c r="Q7" s="21"/>
      <c r="R7" s="138"/>
      <c r="S7" s="139"/>
      <c r="T7" s="55"/>
      <c r="U7" s="49"/>
      <c r="V7" s="140"/>
      <c r="W7" s="39"/>
      <c r="X7" s="141"/>
      <c r="Y7" s="142"/>
      <c r="Z7" s="21"/>
      <c r="AA7" s="21"/>
      <c r="AB7" s="21"/>
    </row>
    <row r="8" ht="20.25" customHeight="1">
      <c r="A8" s="53"/>
      <c r="B8" s="54"/>
      <c r="C8" s="55"/>
      <c r="D8" s="56"/>
      <c r="E8" s="57"/>
      <c r="F8" s="58"/>
      <c r="G8" s="55"/>
      <c r="H8" s="59"/>
      <c r="I8" s="27"/>
      <c r="J8" s="60">
        <f t="shared" ref="J8:P8" si="4">sumifs($X:$X,$R:$R,J7)</f>
        <v>0</v>
      </c>
      <c r="K8" s="60">
        <f t="shared" si="4"/>
        <v>0</v>
      </c>
      <c r="L8" s="60">
        <f t="shared" si="4"/>
        <v>0</v>
      </c>
      <c r="M8" s="60">
        <f t="shared" si="4"/>
        <v>0</v>
      </c>
      <c r="N8" s="60">
        <f t="shared" si="4"/>
        <v>0</v>
      </c>
      <c r="O8" s="60">
        <f t="shared" si="4"/>
        <v>0</v>
      </c>
      <c r="P8" s="60">
        <f t="shared" si="4"/>
        <v>0</v>
      </c>
      <c r="Q8" s="21"/>
      <c r="R8" s="138"/>
      <c r="S8" s="139"/>
      <c r="T8" s="55"/>
      <c r="U8" s="49"/>
      <c r="V8" s="140"/>
      <c r="W8" s="39"/>
      <c r="X8" s="141"/>
      <c r="Y8" s="142"/>
      <c r="Z8" s="21"/>
      <c r="AA8" s="21"/>
      <c r="AB8" s="21"/>
    </row>
    <row r="9" ht="20.25" customHeight="1">
      <c r="A9" s="64"/>
      <c r="B9" s="54"/>
      <c r="C9" s="55"/>
      <c r="D9" s="59"/>
      <c r="E9" s="57"/>
      <c r="F9" s="58"/>
      <c r="G9" s="55"/>
      <c r="H9" s="59"/>
      <c r="I9" s="27"/>
      <c r="J9" s="43">
        <f t="shared" ref="J9:P9" si="5">J7+7</f>
        <v>45761</v>
      </c>
      <c r="K9" s="43">
        <f t="shared" si="5"/>
        <v>45762</v>
      </c>
      <c r="L9" s="43">
        <f t="shared" si="5"/>
        <v>45763</v>
      </c>
      <c r="M9" s="43">
        <f t="shared" si="5"/>
        <v>45764</v>
      </c>
      <c r="N9" s="43">
        <f t="shared" si="5"/>
        <v>45765</v>
      </c>
      <c r="O9" s="44">
        <f t="shared" si="5"/>
        <v>45766</v>
      </c>
      <c r="P9" s="45">
        <f t="shared" si="5"/>
        <v>45767</v>
      </c>
      <c r="Q9" s="21"/>
      <c r="R9" s="138"/>
      <c r="S9" s="139"/>
      <c r="T9" s="55"/>
      <c r="U9" s="49"/>
      <c r="V9" s="140"/>
      <c r="W9" s="39"/>
      <c r="X9" s="141"/>
      <c r="Y9" s="142"/>
      <c r="Z9" s="21"/>
      <c r="AA9" s="21"/>
      <c r="AB9" s="21"/>
    </row>
    <row r="10" ht="20.25" customHeight="1">
      <c r="A10" s="64"/>
      <c r="B10" s="54"/>
      <c r="C10" s="55"/>
      <c r="D10" s="56"/>
      <c r="E10" s="57"/>
      <c r="F10" s="65"/>
      <c r="G10" s="55"/>
      <c r="H10" s="66"/>
      <c r="I10" s="27"/>
      <c r="J10" s="60">
        <f t="shared" ref="J10:P10" si="6">sumifs($X:$X,$R:$R,J9)</f>
        <v>0</v>
      </c>
      <c r="K10" s="60">
        <f t="shared" si="6"/>
        <v>0</v>
      </c>
      <c r="L10" s="60">
        <f t="shared" si="6"/>
        <v>0</v>
      </c>
      <c r="M10" s="60">
        <f t="shared" si="6"/>
        <v>0</v>
      </c>
      <c r="N10" s="60">
        <f t="shared" si="6"/>
        <v>0</v>
      </c>
      <c r="O10" s="60">
        <f t="shared" si="6"/>
        <v>0</v>
      </c>
      <c r="P10" s="60">
        <f t="shared" si="6"/>
        <v>0</v>
      </c>
      <c r="Q10" s="21"/>
      <c r="R10" s="138"/>
      <c r="S10" s="139"/>
      <c r="T10" s="55"/>
      <c r="U10" s="49"/>
      <c r="V10" s="140"/>
      <c r="W10" s="39"/>
      <c r="X10" s="141"/>
      <c r="Y10" s="142"/>
      <c r="Z10" s="21"/>
      <c r="AA10" s="21"/>
      <c r="AB10" s="21"/>
    </row>
    <row r="11" ht="20.25" customHeight="1">
      <c r="A11" s="64"/>
      <c r="B11" s="54"/>
      <c r="C11" s="55"/>
      <c r="D11" s="67"/>
      <c r="E11" s="57"/>
      <c r="F11" s="65"/>
      <c r="G11" s="55"/>
      <c r="H11" s="66"/>
      <c r="I11" s="27"/>
      <c r="J11" s="61">
        <f t="shared" ref="J11:P11" si="7">J9+7</f>
        <v>45768</v>
      </c>
      <c r="K11" s="61">
        <f t="shared" si="7"/>
        <v>45769</v>
      </c>
      <c r="L11" s="61">
        <f t="shared" si="7"/>
        <v>45770</v>
      </c>
      <c r="M11" s="61">
        <f t="shared" si="7"/>
        <v>45771</v>
      </c>
      <c r="N11" s="61">
        <f t="shared" si="7"/>
        <v>45772</v>
      </c>
      <c r="O11" s="62">
        <f t="shared" si="7"/>
        <v>45773</v>
      </c>
      <c r="P11" s="63">
        <f t="shared" si="7"/>
        <v>45774</v>
      </c>
      <c r="Q11" s="21"/>
      <c r="R11" s="138"/>
      <c r="S11" s="139"/>
      <c r="T11" s="55"/>
      <c r="U11" s="49"/>
      <c r="V11" s="140"/>
      <c r="W11" s="39"/>
      <c r="X11" s="141"/>
      <c r="Y11" s="142"/>
      <c r="Z11" s="21"/>
      <c r="AA11" s="21"/>
      <c r="AB11" s="21"/>
    </row>
    <row r="12" ht="20.25" customHeight="1">
      <c r="A12" s="64"/>
      <c r="B12" s="68"/>
      <c r="C12" s="55"/>
      <c r="D12" s="67"/>
      <c r="E12" s="57"/>
      <c r="F12" s="65"/>
      <c r="G12" s="55"/>
      <c r="H12" s="66"/>
      <c r="I12" s="27"/>
      <c r="J12" s="60">
        <f t="shared" ref="J12:P12" si="8">sumifs($X:$X,$R:$R,J11)</f>
        <v>0</v>
      </c>
      <c r="K12" s="60">
        <f t="shared" si="8"/>
        <v>0</v>
      </c>
      <c r="L12" s="60">
        <f t="shared" si="8"/>
        <v>0</v>
      </c>
      <c r="M12" s="60">
        <f t="shared" si="8"/>
        <v>0</v>
      </c>
      <c r="N12" s="60">
        <f t="shared" si="8"/>
        <v>0</v>
      </c>
      <c r="O12" s="60">
        <f t="shared" si="8"/>
        <v>0</v>
      </c>
      <c r="P12" s="60">
        <f t="shared" si="8"/>
        <v>0</v>
      </c>
      <c r="Q12" s="21"/>
      <c r="R12" s="138"/>
      <c r="S12" s="139"/>
      <c r="T12" s="55"/>
      <c r="U12" s="49"/>
      <c r="V12" s="140"/>
      <c r="W12" s="39"/>
      <c r="X12" s="141"/>
      <c r="Y12" s="142"/>
      <c r="Z12" s="21"/>
      <c r="AA12" s="21"/>
      <c r="AB12" s="21"/>
    </row>
    <row r="13" ht="20.25" customHeight="1">
      <c r="A13" s="64"/>
      <c r="B13" s="68"/>
      <c r="C13" s="55"/>
      <c r="D13" s="67"/>
      <c r="E13" s="57"/>
      <c r="F13" s="65"/>
      <c r="G13" s="55"/>
      <c r="H13" s="66"/>
      <c r="I13" s="27"/>
      <c r="J13" s="43">
        <f t="shared" ref="J13:P13" si="9">J11+7</f>
        <v>45775</v>
      </c>
      <c r="K13" s="43">
        <f t="shared" si="9"/>
        <v>45776</v>
      </c>
      <c r="L13" s="43">
        <f t="shared" si="9"/>
        <v>45777</v>
      </c>
      <c r="M13" s="43">
        <f t="shared" si="9"/>
        <v>45778</v>
      </c>
      <c r="N13" s="43">
        <f t="shared" si="9"/>
        <v>45779</v>
      </c>
      <c r="O13" s="44">
        <f t="shared" si="9"/>
        <v>45780</v>
      </c>
      <c r="P13" s="45">
        <f t="shared" si="9"/>
        <v>45781</v>
      </c>
      <c r="Q13" s="21"/>
      <c r="R13" s="138"/>
      <c r="S13" s="139"/>
      <c r="T13" s="55"/>
      <c r="U13" s="49"/>
      <c r="V13" s="140"/>
      <c r="W13" s="39"/>
      <c r="X13" s="141"/>
      <c r="Y13" s="142"/>
      <c r="Z13" s="21"/>
      <c r="AA13" s="21"/>
      <c r="AB13" s="21"/>
    </row>
    <row r="14" ht="20.25" customHeight="1">
      <c r="A14" s="69"/>
      <c r="B14" s="70" t="s">
        <v>60</v>
      </c>
      <c r="C14" s="72"/>
      <c r="D14" s="72">
        <f>SUM(D6:D13)</f>
        <v>0</v>
      </c>
      <c r="E14" s="57"/>
      <c r="F14" s="70" t="s">
        <v>60</v>
      </c>
      <c r="G14" s="72"/>
      <c r="H14" s="72">
        <f>SUM(H6:H13)</f>
        <v>0</v>
      </c>
      <c r="I14" s="27"/>
      <c r="J14" s="60">
        <f t="shared" ref="J14:P14" si="10">sumifs($X:$X,$R:$R,J13)</f>
        <v>0</v>
      </c>
      <c r="K14" s="60">
        <f t="shared" si="10"/>
        <v>0</v>
      </c>
      <c r="L14" s="60">
        <f t="shared" si="10"/>
        <v>0</v>
      </c>
      <c r="M14" s="60">
        <f t="shared" si="10"/>
        <v>0</v>
      </c>
      <c r="N14" s="60">
        <f t="shared" si="10"/>
        <v>0</v>
      </c>
      <c r="O14" s="60">
        <f t="shared" si="10"/>
        <v>0</v>
      </c>
      <c r="P14" s="60">
        <f t="shared" si="10"/>
        <v>0</v>
      </c>
      <c r="Q14" s="21"/>
      <c r="R14" s="138"/>
      <c r="S14" s="139"/>
      <c r="T14" s="55"/>
      <c r="U14" s="49"/>
      <c r="V14" s="140"/>
      <c r="W14" s="39"/>
      <c r="X14" s="141"/>
      <c r="Y14" s="142"/>
      <c r="Z14" s="21"/>
      <c r="AA14" s="21"/>
      <c r="AB14" s="21"/>
    </row>
    <row r="15" ht="20.25" customHeight="1">
      <c r="A15" s="20"/>
      <c r="B15" s="24"/>
      <c r="C15" s="32"/>
      <c r="D15" s="32"/>
      <c r="E15" s="32"/>
      <c r="F15" s="32"/>
      <c r="G15" s="24"/>
      <c r="H15" s="24"/>
      <c r="I15" s="27"/>
      <c r="J15" s="25"/>
      <c r="K15" s="25"/>
      <c r="L15" s="25"/>
      <c r="M15" s="25"/>
      <c r="N15" s="25"/>
      <c r="O15" s="25"/>
      <c r="P15" s="25"/>
      <c r="Q15" s="21"/>
      <c r="R15" s="138"/>
      <c r="S15" s="139"/>
      <c r="T15" s="55"/>
      <c r="U15" s="49"/>
      <c r="V15" s="140"/>
      <c r="W15" s="39"/>
      <c r="X15" s="141"/>
      <c r="Y15" s="142"/>
      <c r="Z15" s="21"/>
      <c r="AA15" s="21"/>
      <c r="AB15" s="21"/>
    </row>
    <row r="16" ht="20.25" customHeight="1">
      <c r="A16" s="28"/>
      <c r="B16" s="73" t="s">
        <v>61</v>
      </c>
      <c r="E16" s="27"/>
      <c r="F16" s="73" t="s">
        <v>61</v>
      </c>
      <c r="I16" s="27"/>
      <c r="J16" s="74" t="s">
        <v>62</v>
      </c>
      <c r="Q16" s="21"/>
      <c r="R16" s="138"/>
      <c r="S16" s="139"/>
      <c r="T16" s="55"/>
      <c r="U16" s="49"/>
      <c r="V16" s="140"/>
      <c r="W16" s="39"/>
      <c r="X16" s="141"/>
      <c r="Y16" s="142"/>
      <c r="Z16" s="21"/>
      <c r="AA16" s="21"/>
      <c r="AB16" s="21"/>
    </row>
    <row r="17" ht="20.25" customHeight="1">
      <c r="A17" s="40"/>
      <c r="B17" s="69" t="s">
        <v>63</v>
      </c>
      <c r="C17" s="75"/>
      <c r="D17" s="75"/>
      <c r="E17" s="53"/>
      <c r="F17" s="69" t="s">
        <v>64</v>
      </c>
      <c r="G17" s="76"/>
      <c r="H17" s="76"/>
      <c r="I17" s="27"/>
      <c r="J17" s="77"/>
      <c r="K17" s="78"/>
      <c r="L17" s="78"/>
      <c r="M17" s="78"/>
      <c r="N17" s="78"/>
      <c r="O17" s="78"/>
      <c r="P17" s="78"/>
      <c r="Q17" s="21"/>
      <c r="R17" s="138"/>
      <c r="S17" s="139"/>
      <c r="T17" s="55"/>
      <c r="U17" s="49"/>
      <c r="V17" s="140"/>
      <c r="W17" s="39"/>
      <c r="X17" s="141"/>
      <c r="Y17" s="142"/>
      <c r="Z17" s="21"/>
      <c r="AA17" s="21"/>
      <c r="AB17" s="21"/>
    </row>
    <row r="18" ht="20.25" customHeight="1">
      <c r="A18" s="40"/>
      <c r="B18" s="41" t="s">
        <v>44</v>
      </c>
      <c r="C18" s="41" t="s">
        <v>43</v>
      </c>
      <c r="D18" s="41" t="s">
        <v>46</v>
      </c>
      <c r="E18" s="57"/>
      <c r="F18" s="41" t="s">
        <v>44</v>
      </c>
      <c r="G18" s="41" t="s">
        <v>65</v>
      </c>
      <c r="H18" s="41" t="s">
        <v>46</v>
      </c>
      <c r="I18" s="27"/>
      <c r="J18" s="79" t="s">
        <v>66</v>
      </c>
      <c r="K18" s="80"/>
      <c r="L18" s="81" t="s">
        <v>49</v>
      </c>
      <c r="M18" s="82"/>
      <c r="N18" s="80"/>
      <c r="O18" s="81" t="s">
        <v>67</v>
      </c>
      <c r="P18" s="82"/>
      <c r="Q18" s="21"/>
      <c r="R18" s="138"/>
      <c r="S18" s="139"/>
      <c r="T18" s="55"/>
      <c r="U18" s="49"/>
      <c r="V18" s="140"/>
      <c r="W18" s="39"/>
      <c r="X18" s="141"/>
      <c r="Y18" s="142"/>
      <c r="Z18" s="21"/>
      <c r="AA18" s="21"/>
      <c r="AB18" s="21"/>
    </row>
    <row r="19" ht="20.25" customHeight="1">
      <c r="A19" s="53"/>
      <c r="B19" s="54"/>
      <c r="C19" s="55"/>
      <c r="D19" s="56"/>
      <c r="E19" s="57"/>
      <c r="F19" s="54"/>
      <c r="G19" s="56"/>
      <c r="H19" s="83">
        <f t="shared" ref="H19:H30" si="11">sumifs($X:$X,$U:$U,F19)</f>
        <v>0</v>
      </c>
      <c r="I19" s="27"/>
      <c r="J19" s="84"/>
      <c r="K19" s="85" t="s">
        <v>65</v>
      </c>
      <c r="L19" s="85" t="s">
        <v>46</v>
      </c>
      <c r="M19" s="85" t="s">
        <v>69</v>
      </c>
      <c r="N19" s="86" t="s">
        <v>65</v>
      </c>
      <c r="O19" s="86" t="s">
        <v>46</v>
      </c>
      <c r="P19" s="86" t="s">
        <v>69</v>
      </c>
      <c r="Q19" s="21"/>
      <c r="R19" s="138"/>
      <c r="S19" s="139"/>
      <c r="T19" s="55"/>
      <c r="U19" s="49"/>
      <c r="V19" s="140"/>
      <c r="W19" s="39"/>
      <c r="X19" s="141"/>
      <c r="Y19" s="142"/>
      <c r="Z19" s="21"/>
      <c r="AA19" s="21"/>
      <c r="AB19" s="21"/>
    </row>
    <row r="20" ht="20.25" customHeight="1">
      <c r="A20" s="53"/>
      <c r="B20" s="54"/>
      <c r="C20" s="55"/>
      <c r="D20" s="56"/>
      <c r="E20" s="57"/>
      <c r="F20" s="54"/>
      <c r="G20" s="56"/>
      <c r="H20" s="83">
        <f t="shared" si="11"/>
        <v>0</v>
      </c>
      <c r="I20" s="27"/>
      <c r="J20" s="54"/>
      <c r="K20" s="87"/>
      <c r="L20" s="88">
        <f t="shared" ref="L20:L26" si="12">sumifs($X:$X,$S:$S,$L$18,$U:$U,J20)</f>
        <v>0</v>
      </c>
      <c r="M20" s="88">
        <f t="shared" ref="M20:M27" si="13">K20-L20</f>
        <v>0</v>
      </c>
      <c r="N20" s="87"/>
      <c r="O20" s="88">
        <f t="shared" ref="O20:O26" si="14">sumifs($X:$X,$S:$S,$O$18,$U:$U,J20)</f>
        <v>0</v>
      </c>
      <c r="P20" s="88">
        <f t="shared" ref="P20:P27" si="15">N20-O20</f>
        <v>0</v>
      </c>
      <c r="Q20" s="21"/>
      <c r="R20" s="138"/>
      <c r="S20" s="139"/>
      <c r="T20" s="55"/>
      <c r="U20" s="49"/>
      <c r="V20" s="140"/>
      <c r="W20" s="39"/>
      <c r="X20" s="141"/>
      <c r="Y20" s="142"/>
      <c r="Z20" s="21"/>
      <c r="AA20" s="21"/>
      <c r="AB20" s="21"/>
    </row>
    <row r="21" ht="20.25" customHeight="1">
      <c r="A21" s="53"/>
      <c r="B21" s="54"/>
      <c r="C21" s="55"/>
      <c r="D21" s="56"/>
      <c r="E21" s="57"/>
      <c r="F21" s="54"/>
      <c r="G21" s="56"/>
      <c r="H21" s="83">
        <f t="shared" si="11"/>
        <v>0</v>
      </c>
      <c r="I21" s="27"/>
      <c r="J21" s="54"/>
      <c r="K21" s="87"/>
      <c r="L21" s="88">
        <f t="shared" si="12"/>
        <v>0</v>
      </c>
      <c r="M21" s="88">
        <f t="shared" si="13"/>
        <v>0</v>
      </c>
      <c r="N21" s="87"/>
      <c r="O21" s="88">
        <f t="shared" si="14"/>
        <v>0</v>
      </c>
      <c r="P21" s="88">
        <f t="shared" si="15"/>
        <v>0</v>
      </c>
      <c r="Q21" s="21"/>
      <c r="R21" s="138"/>
      <c r="S21" s="139"/>
      <c r="T21" s="55"/>
      <c r="U21" s="49"/>
      <c r="V21" s="140"/>
      <c r="W21" s="39"/>
      <c r="X21" s="141"/>
      <c r="Y21" s="142"/>
      <c r="Z21" s="21"/>
      <c r="AA21" s="21"/>
      <c r="AB21" s="21"/>
    </row>
    <row r="22" ht="20.25" customHeight="1">
      <c r="A22" s="53"/>
      <c r="B22" s="54"/>
      <c r="C22" s="55"/>
      <c r="D22" s="56"/>
      <c r="E22" s="57"/>
      <c r="F22" s="54"/>
      <c r="G22" s="56"/>
      <c r="H22" s="83">
        <f t="shared" si="11"/>
        <v>0</v>
      </c>
      <c r="I22" s="27"/>
      <c r="J22" s="54"/>
      <c r="K22" s="87"/>
      <c r="L22" s="88">
        <f t="shared" si="12"/>
        <v>0</v>
      </c>
      <c r="M22" s="88">
        <f t="shared" si="13"/>
        <v>0</v>
      </c>
      <c r="N22" s="87"/>
      <c r="O22" s="88">
        <f t="shared" si="14"/>
        <v>0</v>
      </c>
      <c r="P22" s="88">
        <f t="shared" si="15"/>
        <v>0</v>
      </c>
      <c r="Q22" s="21"/>
      <c r="R22" s="138"/>
      <c r="S22" s="139"/>
      <c r="T22" s="55"/>
      <c r="U22" s="49"/>
      <c r="V22" s="140"/>
      <c r="W22" s="39"/>
      <c r="X22" s="141"/>
      <c r="Y22" s="142"/>
      <c r="Z22" s="21"/>
      <c r="AA22" s="21"/>
      <c r="AB22" s="21"/>
    </row>
    <row r="23" ht="20.25" customHeight="1">
      <c r="A23" s="53"/>
      <c r="B23" s="54"/>
      <c r="C23" s="55"/>
      <c r="D23" s="56"/>
      <c r="E23" s="57"/>
      <c r="F23" s="54"/>
      <c r="G23" s="56"/>
      <c r="H23" s="83">
        <f t="shared" si="11"/>
        <v>0</v>
      </c>
      <c r="I23" s="27"/>
      <c r="J23" s="54"/>
      <c r="K23" s="87"/>
      <c r="L23" s="88">
        <f t="shared" si="12"/>
        <v>0</v>
      </c>
      <c r="M23" s="88">
        <f t="shared" si="13"/>
        <v>0</v>
      </c>
      <c r="N23" s="87"/>
      <c r="O23" s="88">
        <f t="shared" si="14"/>
        <v>0</v>
      </c>
      <c r="P23" s="88">
        <f t="shared" si="15"/>
        <v>0</v>
      </c>
      <c r="Q23" s="21"/>
      <c r="R23" s="138"/>
      <c r="S23" s="139"/>
      <c r="T23" s="55"/>
      <c r="U23" s="49"/>
      <c r="V23" s="140"/>
      <c r="W23" s="39"/>
      <c r="X23" s="141"/>
      <c r="Y23" s="142"/>
      <c r="Z23" s="21"/>
      <c r="AA23" s="21"/>
      <c r="AB23" s="21"/>
    </row>
    <row r="24" ht="20.25" customHeight="1">
      <c r="A24" s="53"/>
      <c r="B24" s="54"/>
      <c r="C24" s="55"/>
      <c r="D24" s="56"/>
      <c r="E24" s="57"/>
      <c r="F24" s="54"/>
      <c r="G24" s="56"/>
      <c r="H24" s="83">
        <f t="shared" si="11"/>
        <v>0</v>
      </c>
      <c r="I24" s="27"/>
      <c r="J24" s="54"/>
      <c r="K24" s="87"/>
      <c r="L24" s="88">
        <f t="shared" si="12"/>
        <v>0</v>
      </c>
      <c r="M24" s="88">
        <f t="shared" si="13"/>
        <v>0</v>
      </c>
      <c r="N24" s="87"/>
      <c r="O24" s="88">
        <f t="shared" si="14"/>
        <v>0</v>
      </c>
      <c r="P24" s="88">
        <f t="shared" si="15"/>
        <v>0</v>
      </c>
      <c r="Q24" s="21"/>
      <c r="R24" s="138"/>
      <c r="S24" s="139"/>
      <c r="T24" s="55"/>
      <c r="U24" s="49"/>
      <c r="V24" s="140"/>
      <c r="W24" s="39"/>
      <c r="X24" s="141"/>
      <c r="Y24" s="142"/>
      <c r="Z24" s="21"/>
      <c r="AA24" s="21"/>
      <c r="AB24" s="21"/>
    </row>
    <row r="25" ht="20.25" customHeight="1">
      <c r="A25" s="53"/>
      <c r="B25" s="54"/>
      <c r="C25" s="55"/>
      <c r="D25" s="56"/>
      <c r="E25" s="57"/>
      <c r="F25" s="54"/>
      <c r="G25" s="56"/>
      <c r="H25" s="83">
        <f t="shared" si="11"/>
        <v>0</v>
      </c>
      <c r="I25" s="27"/>
      <c r="J25" s="54"/>
      <c r="K25" s="87"/>
      <c r="L25" s="88">
        <f t="shared" si="12"/>
        <v>0</v>
      </c>
      <c r="M25" s="88">
        <f t="shared" si="13"/>
        <v>0</v>
      </c>
      <c r="N25" s="87"/>
      <c r="O25" s="88">
        <f t="shared" si="14"/>
        <v>0</v>
      </c>
      <c r="P25" s="88">
        <f t="shared" si="15"/>
        <v>0</v>
      </c>
      <c r="Q25" s="21"/>
      <c r="R25" s="138"/>
      <c r="S25" s="139"/>
      <c r="T25" s="55"/>
      <c r="U25" s="49"/>
      <c r="V25" s="140"/>
      <c r="W25" s="39"/>
      <c r="X25" s="141"/>
      <c r="Y25" s="142"/>
      <c r="Z25" s="21"/>
      <c r="AA25" s="21"/>
      <c r="AB25" s="21"/>
    </row>
    <row r="26" ht="20.25" customHeight="1">
      <c r="A26" s="53"/>
      <c r="B26" s="54"/>
      <c r="C26" s="55"/>
      <c r="D26" s="56"/>
      <c r="E26" s="57"/>
      <c r="F26" s="54"/>
      <c r="G26" s="56"/>
      <c r="H26" s="83">
        <f t="shared" si="11"/>
        <v>0</v>
      </c>
      <c r="I26" s="27"/>
      <c r="J26" s="54"/>
      <c r="K26" s="87"/>
      <c r="L26" s="88">
        <f t="shared" si="12"/>
        <v>0</v>
      </c>
      <c r="M26" s="88">
        <f t="shared" si="13"/>
        <v>0</v>
      </c>
      <c r="N26" s="87"/>
      <c r="O26" s="88">
        <f t="shared" si="14"/>
        <v>0</v>
      </c>
      <c r="P26" s="88">
        <f t="shared" si="15"/>
        <v>0</v>
      </c>
      <c r="Q26" s="21"/>
      <c r="R26" s="138"/>
      <c r="S26" s="139"/>
      <c r="T26" s="55"/>
      <c r="U26" s="49"/>
      <c r="V26" s="140"/>
      <c r="W26" s="39"/>
      <c r="X26" s="141"/>
      <c r="Y26" s="142"/>
      <c r="Z26" s="21"/>
      <c r="AA26" s="21"/>
      <c r="AB26" s="21"/>
    </row>
    <row r="27" ht="20.25" customHeight="1">
      <c r="A27" s="53"/>
      <c r="B27" s="54"/>
      <c r="C27" s="55"/>
      <c r="D27" s="56"/>
      <c r="E27" s="57"/>
      <c r="F27" s="54"/>
      <c r="G27" s="56"/>
      <c r="H27" s="83">
        <f t="shared" si="11"/>
        <v>0</v>
      </c>
      <c r="I27" s="27"/>
      <c r="J27" s="89" t="s">
        <v>83</v>
      </c>
      <c r="K27" s="88">
        <f t="shared" ref="K27:L27" si="16">SUM(K20:K26)</f>
        <v>0</v>
      </c>
      <c r="L27" s="88">
        <f t="shared" si="16"/>
        <v>0</v>
      </c>
      <c r="M27" s="88">
        <f t="shared" si="13"/>
        <v>0</v>
      </c>
      <c r="N27" s="88">
        <f t="shared" ref="N27:O27" si="17">SUM(N20:N26)</f>
        <v>0</v>
      </c>
      <c r="O27" s="88">
        <f t="shared" si="17"/>
        <v>0</v>
      </c>
      <c r="P27" s="88">
        <f t="shared" si="15"/>
        <v>0</v>
      </c>
      <c r="Q27" s="21"/>
      <c r="R27" s="138"/>
      <c r="S27" s="139"/>
      <c r="T27" s="55"/>
      <c r="U27" s="49"/>
      <c r="V27" s="140"/>
      <c r="W27" s="39"/>
      <c r="X27" s="141"/>
      <c r="Y27" s="142"/>
      <c r="Z27" s="21"/>
      <c r="AA27" s="21"/>
      <c r="AB27" s="21"/>
    </row>
    <row r="28" ht="20.25" customHeight="1">
      <c r="A28" s="53"/>
      <c r="B28" s="54"/>
      <c r="C28" s="55"/>
      <c r="D28" s="67"/>
      <c r="E28" s="57"/>
      <c r="F28" s="54"/>
      <c r="G28" s="56"/>
      <c r="H28" s="83">
        <f t="shared" si="11"/>
        <v>0</v>
      </c>
      <c r="I28" s="27"/>
      <c r="J28" s="90"/>
      <c r="K28" s="91"/>
      <c r="L28" s="92"/>
      <c r="M28" s="92"/>
      <c r="N28" s="92"/>
      <c r="O28" s="93"/>
      <c r="P28" s="94"/>
      <c r="Q28" s="21"/>
      <c r="R28" s="138"/>
      <c r="S28" s="139"/>
      <c r="T28" s="55"/>
      <c r="U28" s="49"/>
      <c r="V28" s="140"/>
      <c r="W28" s="39"/>
      <c r="X28" s="141"/>
      <c r="Y28" s="142"/>
      <c r="Z28" s="21"/>
      <c r="AA28" s="21"/>
      <c r="AB28" s="21"/>
    </row>
    <row r="29" ht="20.25" customHeight="1">
      <c r="A29" s="53"/>
      <c r="B29" s="54"/>
      <c r="C29" s="55"/>
      <c r="D29" s="67"/>
      <c r="E29" s="57"/>
      <c r="F29" s="54"/>
      <c r="G29" s="56"/>
      <c r="H29" s="83">
        <f t="shared" si="11"/>
        <v>0</v>
      </c>
      <c r="I29" s="27"/>
      <c r="J29" s="95" t="s">
        <v>66</v>
      </c>
      <c r="K29" s="80"/>
      <c r="L29" s="81" t="s">
        <v>84</v>
      </c>
      <c r="M29" s="82"/>
      <c r="N29" s="80"/>
      <c r="O29" s="81" t="s">
        <v>85</v>
      </c>
      <c r="P29" s="82"/>
      <c r="Q29" s="21"/>
      <c r="R29" s="138"/>
      <c r="S29" s="139"/>
      <c r="T29" s="55"/>
      <c r="U29" s="49"/>
      <c r="V29" s="140"/>
      <c r="W29" s="39"/>
      <c r="X29" s="141"/>
      <c r="Y29" s="142"/>
      <c r="Z29" s="21"/>
      <c r="AA29" s="21"/>
      <c r="AB29" s="21"/>
    </row>
    <row r="30" ht="20.25" customHeight="1">
      <c r="A30" s="53"/>
      <c r="B30" s="54"/>
      <c r="C30" s="55"/>
      <c r="D30" s="67"/>
      <c r="E30" s="57"/>
      <c r="F30" s="54"/>
      <c r="G30" s="56"/>
      <c r="H30" s="83">
        <f t="shared" si="11"/>
        <v>0</v>
      </c>
      <c r="I30" s="27"/>
      <c r="J30" s="96"/>
      <c r="K30" s="86" t="s">
        <v>65</v>
      </c>
      <c r="L30" s="86" t="s">
        <v>46</v>
      </c>
      <c r="M30" s="86" t="s">
        <v>69</v>
      </c>
      <c r="N30" s="86" t="s">
        <v>65</v>
      </c>
      <c r="O30" s="86" t="s">
        <v>46</v>
      </c>
      <c r="P30" s="86" t="s">
        <v>69</v>
      </c>
      <c r="Q30" s="21"/>
      <c r="R30" s="138"/>
      <c r="S30" s="139"/>
      <c r="T30" s="55"/>
      <c r="U30" s="49"/>
      <c r="V30" s="140"/>
      <c r="W30" s="39"/>
      <c r="X30" s="141"/>
      <c r="Y30" s="142"/>
      <c r="Z30" s="21"/>
      <c r="AA30" s="21"/>
      <c r="AB30" s="21"/>
    </row>
    <row r="31" ht="20.25" customHeight="1">
      <c r="A31" s="69"/>
      <c r="B31" s="70" t="s">
        <v>60</v>
      </c>
      <c r="C31" s="98"/>
      <c r="D31" s="72">
        <f>SUM(D19:D30)</f>
        <v>0</v>
      </c>
      <c r="E31" s="57"/>
      <c r="F31" s="70" t="s">
        <v>60</v>
      </c>
      <c r="G31" s="72">
        <f t="shared" ref="G31:H31" si="18">SUM(G19:G30)</f>
        <v>0</v>
      </c>
      <c r="H31" s="72">
        <f t="shared" si="18"/>
        <v>0</v>
      </c>
      <c r="I31" s="27"/>
      <c r="J31" s="54"/>
      <c r="K31" s="56"/>
      <c r="L31" s="88">
        <f t="shared" ref="L31:L37" si="19">sumifs($X:$X,$S:$S,$L$29,$U:$U,J31)</f>
        <v>0</v>
      </c>
      <c r="M31" s="88">
        <f t="shared" ref="M31:M38" si="20">K31-L31</f>
        <v>0</v>
      </c>
      <c r="N31" s="56"/>
      <c r="O31" s="88">
        <f t="shared" ref="O31:O37" si="21">sumifs($X:$X,$S:$S,$O$29,$U:$U,J31)</f>
        <v>0</v>
      </c>
      <c r="P31" s="88">
        <f t="shared" ref="P31:P38" si="22">N31-O31</f>
        <v>0</v>
      </c>
      <c r="Q31" s="21"/>
      <c r="R31" s="138"/>
      <c r="S31" s="143"/>
      <c r="T31" s="55"/>
      <c r="U31" s="49"/>
      <c r="V31" s="140"/>
      <c r="W31" s="39"/>
      <c r="X31" s="141"/>
      <c r="Y31" s="142"/>
      <c r="Z31" s="21"/>
      <c r="AA31" s="21"/>
      <c r="AB31" s="21"/>
    </row>
    <row r="32" ht="20.25" customHeight="1">
      <c r="A32" s="20"/>
      <c r="B32" s="24"/>
      <c r="C32" s="32"/>
      <c r="D32" s="32"/>
      <c r="E32" s="32"/>
      <c r="F32" s="32"/>
      <c r="G32" s="24"/>
      <c r="H32" s="24"/>
      <c r="I32" s="27"/>
      <c r="J32" s="54"/>
      <c r="K32" s="56"/>
      <c r="L32" s="88">
        <f t="shared" si="19"/>
        <v>0</v>
      </c>
      <c r="M32" s="88">
        <f t="shared" si="20"/>
        <v>0</v>
      </c>
      <c r="N32" s="56"/>
      <c r="O32" s="88">
        <f t="shared" si="21"/>
        <v>0</v>
      </c>
      <c r="P32" s="88">
        <f t="shared" si="22"/>
        <v>0</v>
      </c>
      <c r="Q32" s="21"/>
      <c r="R32" s="138"/>
      <c r="S32" s="143"/>
      <c r="T32" s="55"/>
      <c r="U32" s="49"/>
      <c r="V32" s="140"/>
      <c r="W32" s="39"/>
      <c r="X32" s="141"/>
      <c r="Y32" s="142"/>
      <c r="Z32" s="21"/>
      <c r="AA32" s="21"/>
      <c r="AB32" s="21"/>
    </row>
    <row r="33" ht="20.25" customHeight="1">
      <c r="A33" s="28"/>
      <c r="B33" s="99" t="s">
        <v>86</v>
      </c>
      <c r="C33" s="30"/>
      <c r="D33" s="31"/>
      <c r="E33" s="32"/>
      <c r="F33" s="29" t="s">
        <v>87</v>
      </c>
      <c r="G33" s="31"/>
      <c r="H33" s="100" t="s">
        <v>46</v>
      </c>
      <c r="I33" s="101"/>
      <c r="J33" s="54"/>
      <c r="K33" s="56"/>
      <c r="L33" s="88">
        <f t="shared" si="19"/>
        <v>0</v>
      </c>
      <c r="M33" s="88">
        <f t="shared" si="20"/>
        <v>0</v>
      </c>
      <c r="N33" s="56"/>
      <c r="O33" s="88">
        <f t="shared" si="21"/>
        <v>0</v>
      </c>
      <c r="P33" s="88">
        <f t="shared" si="22"/>
        <v>0</v>
      </c>
      <c r="Q33" s="21"/>
      <c r="R33" s="138"/>
      <c r="S33" s="143"/>
      <c r="T33" s="55"/>
      <c r="U33" s="49"/>
      <c r="V33" s="140"/>
      <c r="W33" s="39"/>
      <c r="X33" s="141"/>
      <c r="Y33" s="142"/>
      <c r="Z33" s="21"/>
      <c r="AA33" s="21"/>
      <c r="AB33" s="21"/>
    </row>
    <row r="34" ht="20.25" customHeight="1">
      <c r="A34" s="40"/>
      <c r="B34" s="41" t="s">
        <v>44</v>
      </c>
      <c r="C34" s="41" t="s">
        <v>43</v>
      </c>
      <c r="D34" s="41" t="s">
        <v>46</v>
      </c>
      <c r="E34" s="57"/>
      <c r="F34" s="102" t="s">
        <v>88</v>
      </c>
      <c r="G34" s="31"/>
      <c r="H34" s="103">
        <f>D14</f>
        <v>0</v>
      </c>
      <c r="I34" s="104"/>
      <c r="J34" s="54"/>
      <c r="K34" s="56"/>
      <c r="L34" s="88">
        <f t="shared" si="19"/>
        <v>0</v>
      </c>
      <c r="M34" s="88">
        <f t="shared" si="20"/>
        <v>0</v>
      </c>
      <c r="N34" s="56"/>
      <c r="O34" s="88">
        <f t="shared" si="21"/>
        <v>0</v>
      </c>
      <c r="P34" s="88">
        <f t="shared" si="22"/>
        <v>0</v>
      </c>
      <c r="Q34" s="21"/>
      <c r="R34" s="138"/>
      <c r="S34" s="143"/>
      <c r="T34" s="55"/>
      <c r="U34" s="49"/>
      <c r="V34" s="140"/>
      <c r="W34" s="39"/>
      <c r="X34" s="141"/>
      <c r="Y34" s="142"/>
      <c r="Z34" s="21"/>
      <c r="AA34" s="21"/>
      <c r="AB34" s="21"/>
    </row>
    <row r="35" ht="20.25" customHeight="1">
      <c r="A35" s="19"/>
      <c r="B35" s="54"/>
      <c r="C35" s="55"/>
      <c r="D35" s="56"/>
      <c r="E35" s="57"/>
      <c r="F35" s="102" t="s">
        <v>90</v>
      </c>
      <c r="G35" s="31"/>
      <c r="H35" s="103">
        <f>H14</f>
        <v>0</v>
      </c>
      <c r="I35" s="104"/>
      <c r="J35" s="54"/>
      <c r="K35" s="56"/>
      <c r="L35" s="88">
        <f t="shared" si="19"/>
        <v>0</v>
      </c>
      <c r="M35" s="88">
        <f t="shared" si="20"/>
        <v>0</v>
      </c>
      <c r="N35" s="56"/>
      <c r="O35" s="88">
        <f t="shared" si="21"/>
        <v>0</v>
      </c>
      <c r="P35" s="88">
        <f t="shared" si="22"/>
        <v>0</v>
      </c>
      <c r="Q35" s="21"/>
      <c r="R35" s="138"/>
      <c r="S35" s="143"/>
      <c r="T35" s="55"/>
      <c r="U35" s="49"/>
      <c r="V35" s="140"/>
      <c r="W35" s="39"/>
      <c r="X35" s="141"/>
      <c r="Y35" s="142"/>
      <c r="Z35" s="21"/>
      <c r="AA35" s="21"/>
      <c r="AB35" s="21"/>
    </row>
    <row r="36" ht="20.25" customHeight="1">
      <c r="A36" s="19"/>
      <c r="B36" s="54"/>
      <c r="C36" s="55"/>
      <c r="D36" s="59"/>
      <c r="E36" s="57"/>
      <c r="F36" s="102" t="s">
        <v>91</v>
      </c>
      <c r="G36" s="31"/>
      <c r="H36" s="103">
        <f>D31+H31</f>
        <v>0</v>
      </c>
      <c r="I36" s="105"/>
      <c r="J36" s="54"/>
      <c r="K36" s="56"/>
      <c r="L36" s="88">
        <f t="shared" si="19"/>
        <v>0</v>
      </c>
      <c r="M36" s="88">
        <f t="shared" si="20"/>
        <v>0</v>
      </c>
      <c r="N36" s="56"/>
      <c r="O36" s="88">
        <f t="shared" si="21"/>
        <v>0</v>
      </c>
      <c r="P36" s="88">
        <f t="shared" si="22"/>
        <v>0</v>
      </c>
      <c r="Q36" s="21"/>
      <c r="R36" s="138"/>
      <c r="S36" s="143"/>
      <c r="T36" s="55"/>
      <c r="U36" s="49"/>
      <c r="V36" s="140"/>
      <c r="W36" s="39"/>
      <c r="X36" s="141"/>
      <c r="Y36" s="142"/>
      <c r="Z36" s="21"/>
      <c r="AA36" s="21"/>
      <c r="AB36" s="21"/>
    </row>
    <row r="37" ht="20.25" customHeight="1">
      <c r="A37" s="19"/>
      <c r="B37" s="54"/>
      <c r="C37" s="55"/>
      <c r="D37" s="59"/>
      <c r="E37" s="57"/>
      <c r="F37" s="102" t="s">
        <v>92</v>
      </c>
      <c r="G37" s="31"/>
      <c r="H37" s="103">
        <f>H34-H35-H36</f>
        <v>0</v>
      </c>
      <c r="I37" s="104"/>
      <c r="J37" s="54"/>
      <c r="K37" s="56"/>
      <c r="L37" s="88">
        <f t="shared" si="19"/>
        <v>0</v>
      </c>
      <c r="M37" s="88">
        <f t="shared" si="20"/>
        <v>0</v>
      </c>
      <c r="N37" s="56"/>
      <c r="O37" s="88">
        <f t="shared" si="21"/>
        <v>0</v>
      </c>
      <c r="P37" s="88">
        <f t="shared" si="22"/>
        <v>0</v>
      </c>
      <c r="Q37" s="21"/>
      <c r="R37" s="138"/>
      <c r="S37" s="143"/>
      <c r="T37" s="55"/>
      <c r="U37" s="49"/>
      <c r="V37" s="140"/>
      <c r="W37" s="39"/>
      <c r="X37" s="141"/>
      <c r="Y37" s="142"/>
      <c r="Z37" s="21"/>
      <c r="AA37" s="21"/>
      <c r="AB37" s="21"/>
    </row>
    <row r="38" ht="20.25" customHeight="1">
      <c r="A38" s="106"/>
      <c r="B38" s="54"/>
      <c r="C38" s="55"/>
      <c r="D38" s="59"/>
      <c r="E38" s="57"/>
      <c r="F38" s="102" t="s">
        <v>93</v>
      </c>
      <c r="G38" s="31"/>
      <c r="H38" s="103">
        <f>H35+H37</f>
        <v>0</v>
      </c>
      <c r="I38" s="107"/>
      <c r="J38" s="89" t="s">
        <v>83</v>
      </c>
      <c r="K38" s="88">
        <f t="shared" ref="K38:L38" si="23">SUM(K31:K37)</f>
        <v>0</v>
      </c>
      <c r="L38" s="88">
        <f t="shared" si="23"/>
        <v>0</v>
      </c>
      <c r="M38" s="88">
        <f t="shared" si="20"/>
        <v>0</v>
      </c>
      <c r="N38" s="88">
        <f t="shared" ref="N38:O38" si="24">SUM(N31:N37)</f>
        <v>0</v>
      </c>
      <c r="O38" s="88">
        <f t="shared" si="24"/>
        <v>0</v>
      </c>
      <c r="P38" s="88">
        <f t="shared" si="22"/>
        <v>0</v>
      </c>
      <c r="Q38" s="21"/>
      <c r="R38" s="138"/>
      <c r="S38" s="143"/>
      <c r="T38" s="55"/>
      <c r="U38" s="49"/>
      <c r="V38" s="140"/>
      <c r="W38" s="39"/>
      <c r="X38" s="141"/>
      <c r="Y38" s="142"/>
      <c r="Z38" s="21"/>
      <c r="AA38" s="21"/>
      <c r="AB38" s="21"/>
    </row>
    <row r="39" ht="20.25" customHeight="1">
      <c r="A39" s="106"/>
      <c r="B39" s="54"/>
      <c r="C39" s="55"/>
      <c r="D39" s="66"/>
      <c r="E39" s="32"/>
      <c r="F39" s="32"/>
      <c r="G39" s="108"/>
      <c r="H39" s="108"/>
      <c r="I39" s="27"/>
      <c r="J39" s="90"/>
      <c r="K39" s="57"/>
      <c r="L39" s="92"/>
      <c r="M39" s="92"/>
      <c r="N39" s="92"/>
      <c r="O39" s="93"/>
      <c r="P39" s="94"/>
      <c r="Q39" s="21"/>
      <c r="R39" s="138"/>
      <c r="S39" s="143"/>
      <c r="T39" s="55"/>
      <c r="U39" s="49"/>
      <c r="V39" s="140"/>
      <c r="W39" s="39"/>
      <c r="X39" s="141"/>
      <c r="Y39" s="142"/>
      <c r="Z39" s="21"/>
      <c r="AA39" s="21"/>
      <c r="AB39" s="21"/>
    </row>
    <row r="40" ht="20.25" customHeight="1">
      <c r="A40" s="69"/>
      <c r="B40" s="109"/>
      <c r="C40" s="55"/>
      <c r="D40" s="110"/>
      <c r="E40" s="32"/>
      <c r="F40" s="111" t="s">
        <v>105</v>
      </c>
      <c r="G40" s="112" t="s">
        <v>106</v>
      </c>
      <c r="H40" s="113"/>
      <c r="I40" s="27"/>
      <c r="J40" s="95" t="s">
        <v>66</v>
      </c>
      <c r="K40" s="80"/>
      <c r="L40" s="81" t="s">
        <v>96</v>
      </c>
      <c r="M40" s="82"/>
      <c r="N40" s="80"/>
      <c r="O40" s="81" t="s">
        <v>83</v>
      </c>
      <c r="P40" s="82"/>
      <c r="Q40" s="21"/>
      <c r="R40" s="138"/>
      <c r="S40" s="143"/>
      <c r="T40" s="55"/>
      <c r="U40" s="49"/>
      <c r="V40" s="140"/>
      <c r="W40" s="39"/>
      <c r="X40" s="141"/>
      <c r="Y40" s="142"/>
      <c r="Z40" s="21"/>
      <c r="AA40" s="21"/>
      <c r="AB40" s="21"/>
    </row>
    <row r="41" ht="20.25" customHeight="1">
      <c r="B41" s="114"/>
      <c r="C41" s="55"/>
      <c r="D41" s="110"/>
      <c r="E41" s="32"/>
      <c r="F41" s="115" t="str">
        <f>H36/H34</f>
        <v>#DIV/0!</v>
      </c>
      <c r="G41" s="116" t="str">
        <f>H38/H34</f>
        <v>#DIV/0!</v>
      </c>
      <c r="H41" s="117"/>
      <c r="I41" s="27"/>
      <c r="J41" s="96"/>
      <c r="K41" s="86" t="s">
        <v>65</v>
      </c>
      <c r="L41" s="86" t="s">
        <v>46</v>
      </c>
      <c r="M41" s="86" t="s">
        <v>69</v>
      </c>
      <c r="N41" s="86" t="s">
        <v>65</v>
      </c>
      <c r="O41" s="86" t="s">
        <v>46</v>
      </c>
      <c r="P41" s="86" t="s">
        <v>69</v>
      </c>
      <c r="Q41" s="21"/>
      <c r="R41" s="138"/>
      <c r="S41" s="143"/>
      <c r="T41" s="55"/>
      <c r="U41" s="49"/>
      <c r="V41" s="140"/>
      <c r="W41" s="39"/>
      <c r="X41" s="141"/>
      <c r="Y41" s="142"/>
      <c r="Z41" s="21"/>
      <c r="AA41" s="21"/>
      <c r="AB41" s="21"/>
    </row>
    <row r="42" ht="20.25" customHeight="1">
      <c r="B42" s="118" t="s">
        <v>60</v>
      </c>
      <c r="C42" s="119"/>
      <c r="D42" s="119">
        <f>SUM(D35:D41)</f>
        <v>0</v>
      </c>
      <c r="E42" s="32"/>
      <c r="F42" s="120"/>
      <c r="G42" s="121"/>
      <c r="H42" s="122"/>
      <c r="I42" s="27"/>
      <c r="J42" s="54"/>
      <c r="K42" s="56"/>
      <c r="L42" s="88">
        <f t="shared" ref="L42:L48" si="26">sumifs($X:$X,$S:$S,$L$40,$U:$U,J42)</f>
        <v>0</v>
      </c>
      <c r="M42" s="88">
        <f t="shared" ref="M42:M49" si="27">K42-L42</f>
        <v>0</v>
      </c>
      <c r="N42" s="83">
        <f t="shared" ref="N42:O42" si="25">K20+N20+K31+N31+K42</f>
        <v>0</v>
      </c>
      <c r="O42" s="83">
        <f t="shared" si="25"/>
        <v>0</v>
      </c>
      <c r="P42" s="88">
        <f t="shared" ref="P42:P49" si="29">N42-O42</f>
        <v>0</v>
      </c>
      <c r="Q42" s="21"/>
      <c r="R42" s="138"/>
      <c r="S42" s="143"/>
      <c r="T42" s="55"/>
      <c r="U42" s="49"/>
      <c r="V42" s="140"/>
      <c r="W42" s="39"/>
      <c r="X42" s="141"/>
      <c r="Y42" s="142"/>
      <c r="Z42" s="21"/>
      <c r="AA42" s="21"/>
      <c r="AB42" s="21"/>
    </row>
    <row r="43" ht="20.25" customHeight="1">
      <c r="A43" s="69"/>
      <c r="B43" s="123"/>
      <c r="C43" s="124"/>
      <c r="D43" s="124" t="s">
        <v>97</v>
      </c>
      <c r="E43" s="25"/>
      <c r="F43" s="125" t="s">
        <v>98</v>
      </c>
      <c r="G43" s="125"/>
      <c r="H43" s="125" t="s">
        <v>99</v>
      </c>
      <c r="I43" s="27"/>
      <c r="J43" s="54"/>
      <c r="K43" s="56"/>
      <c r="L43" s="88">
        <f t="shared" si="26"/>
        <v>0</v>
      </c>
      <c r="M43" s="88">
        <f t="shared" si="27"/>
        <v>0</v>
      </c>
      <c r="N43" s="83">
        <f t="shared" ref="N43:O43" si="28">K21+N21+K32+N32+K43</f>
        <v>0</v>
      </c>
      <c r="O43" s="83">
        <f t="shared" si="28"/>
        <v>0</v>
      </c>
      <c r="P43" s="88">
        <f t="shared" si="29"/>
        <v>0</v>
      </c>
      <c r="Q43" s="21"/>
      <c r="R43" s="138"/>
      <c r="S43" s="143"/>
      <c r="T43" s="55"/>
      <c r="U43" s="49"/>
      <c r="V43" s="140"/>
      <c r="W43" s="39"/>
      <c r="X43" s="141"/>
      <c r="Y43" s="142"/>
      <c r="Z43" s="21"/>
      <c r="AA43" s="21"/>
      <c r="AB43" s="21"/>
    </row>
    <row r="44" ht="20.25" customHeight="1">
      <c r="A44" s="69"/>
      <c r="B44" s="112" t="s">
        <v>100</v>
      </c>
      <c r="C44" s="126"/>
      <c r="D44" s="126"/>
      <c r="E44" s="126"/>
      <c r="F44" s="126"/>
      <c r="G44" s="126"/>
      <c r="H44" s="113"/>
      <c r="I44" s="27"/>
      <c r="J44" s="54"/>
      <c r="K44" s="56"/>
      <c r="L44" s="88">
        <f t="shared" si="26"/>
        <v>0</v>
      </c>
      <c r="M44" s="88">
        <f t="shared" si="27"/>
        <v>0</v>
      </c>
      <c r="N44" s="83">
        <f t="shared" ref="N44:O44" si="30">K22+N22+K33+N33+K44</f>
        <v>0</v>
      </c>
      <c r="O44" s="83">
        <f t="shared" si="30"/>
        <v>0</v>
      </c>
      <c r="P44" s="88">
        <f t="shared" si="29"/>
        <v>0</v>
      </c>
      <c r="Q44" s="21"/>
      <c r="R44" s="138"/>
      <c r="S44" s="143"/>
      <c r="T44" s="55"/>
      <c r="U44" s="49"/>
      <c r="V44" s="140"/>
      <c r="W44" s="39"/>
      <c r="X44" s="141"/>
      <c r="Y44" s="142"/>
      <c r="Z44" s="21"/>
      <c r="AA44" s="21"/>
      <c r="AB44" s="21"/>
    </row>
    <row r="45" ht="20.25" customHeight="1">
      <c r="A45" s="20"/>
      <c r="B45" s="127"/>
      <c r="C45" s="128"/>
      <c r="D45" s="128"/>
      <c r="E45" s="128"/>
      <c r="F45" s="128"/>
      <c r="G45" s="128"/>
      <c r="H45" s="117"/>
      <c r="I45" s="27"/>
      <c r="J45" s="54"/>
      <c r="K45" s="56"/>
      <c r="L45" s="88">
        <f t="shared" si="26"/>
        <v>0</v>
      </c>
      <c r="M45" s="88">
        <f t="shared" si="27"/>
        <v>0</v>
      </c>
      <c r="N45" s="83">
        <f t="shared" ref="N45:O45" si="31">K23+N23+K34+N34+K45</f>
        <v>0</v>
      </c>
      <c r="O45" s="83">
        <f t="shared" si="31"/>
        <v>0</v>
      </c>
      <c r="P45" s="88">
        <f t="shared" si="29"/>
        <v>0</v>
      </c>
      <c r="Q45" s="21"/>
      <c r="R45" s="138"/>
      <c r="S45" s="143"/>
      <c r="T45" s="55"/>
      <c r="U45" s="49"/>
      <c r="V45" s="140"/>
      <c r="W45" s="39"/>
      <c r="X45" s="141"/>
      <c r="Y45" s="142"/>
      <c r="Z45" s="21"/>
      <c r="AA45" s="21"/>
      <c r="AB45" s="21"/>
    </row>
    <row r="46" ht="20.25" customHeight="1">
      <c r="A46" s="20"/>
      <c r="B46" s="129"/>
      <c r="H46" s="130"/>
      <c r="I46" s="27"/>
      <c r="J46" s="54"/>
      <c r="K46" s="56"/>
      <c r="L46" s="88">
        <f t="shared" si="26"/>
        <v>0</v>
      </c>
      <c r="M46" s="88">
        <f t="shared" si="27"/>
        <v>0</v>
      </c>
      <c r="N46" s="83">
        <f t="shared" ref="N46:O46" si="32">K24+N24+K35+N35+K46</f>
        <v>0</v>
      </c>
      <c r="O46" s="83">
        <f t="shared" si="32"/>
        <v>0</v>
      </c>
      <c r="P46" s="88">
        <f t="shared" si="29"/>
        <v>0</v>
      </c>
      <c r="Q46" s="21"/>
      <c r="R46" s="138"/>
      <c r="S46" s="143"/>
      <c r="T46" s="55"/>
      <c r="U46" s="49"/>
      <c r="V46" s="140"/>
      <c r="W46" s="39"/>
      <c r="X46" s="141"/>
      <c r="Y46" s="142"/>
      <c r="Z46" s="21"/>
      <c r="AA46" s="21"/>
      <c r="AB46" s="21"/>
    </row>
    <row r="47" ht="20.25" customHeight="1">
      <c r="A47" s="20"/>
      <c r="B47" s="129"/>
      <c r="H47" s="130"/>
      <c r="I47" s="27"/>
      <c r="J47" s="54"/>
      <c r="K47" s="56"/>
      <c r="L47" s="88">
        <f t="shared" si="26"/>
        <v>0</v>
      </c>
      <c r="M47" s="88">
        <f t="shared" si="27"/>
        <v>0</v>
      </c>
      <c r="N47" s="83">
        <f t="shared" ref="N47:O47" si="33">K25+N25+K36+N36+K47</f>
        <v>0</v>
      </c>
      <c r="O47" s="83">
        <f t="shared" si="33"/>
        <v>0</v>
      </c>
      <c r="P47" s="88">
        <f t="shared" si="29"/>
        <v>0</v>
      </c>
      <c r="Q47" s="21"/>
      <c r="R47" s="138"/>
      <c r="S47" s="143"/>
      <c r="T47" s="55"/>
      <c r="U47" s="49"/>
      <c r="V47" s="140"/>
      <c r="W47" s="39"/>
      <c r="X47" s="141"/>
      <c r="Y47" s="142"/>
      <c r="Z47" s="21"/>
      <c r="AA47" s="21"/>
      <c r="AB47" s="21"/>
    </row>
    <row r="48" ht="20.25" customHeight="1">
      <c r="A48" s="20"/>
      <c r="B48" s="129"/>
      <c r="H48" s="130"/>
      <c r="I48" s="27"/>
      <c r="J48" s="54"/>
      <c r="K48" s="56"/>
      <c r="L48" s="88">
        <f t="shared" si="26"/>
        <v>0</v>
      </c>
      <c r="M48" s="88">
        <f t="shared" si="27"/>
        <v>0</v>
      </c>
      <c r="N48" s="83">
        <f t="shared" ref="N48:O48" si="34">K26+N26+K37+N37+K48</f>
        <v>0</v>
      </c>
      <c r="O48" s="83">
        <f t="shared" si="34"/>
        <v>0</v>
      </c>
      <c r="P48" s="88">
        <f t="shared" si="29"/>
        <v>0</v>
      </c>
      <c r="Q48" s="21"/>
      <c r="R48" s="138"/>
      <c r="S48" s="143"/>
      <c r="T48" s="55"/>
      <c r="U48" s="49"/>
      <c r="V48" s="140"/>
      <c r="W48" s="39"/>
      <c r="X48" s="141"/>
      <c r="Y48" s="142"/>
      <c r="Z48" s="21"/>
      <c r="AA48" s="21"/>
      <c r="AB48" s="21"/>
    </row>
    <row r="49" ht="20.25" customHeight="1">
      <c r="A49" s="20"/>
      <c r="B49" s="121"/>
      <c r="C49" s="131"/>
      <c r="D49" s="131"/>
      <c r="E49" s="131"/>
      <c r="F49" s="131"/>
      <c r="G49" s="131"/>
      <c r="H49" s="122"/>
      <c r="I49" s="27"/>
      <c r="J49" s="89" t="s">
        <v>83</v>
      </c>
      <c r="K49" s="88">
        <f t="shared" ref="K49:L49" si="35">SUM(K42:K48)</f>
        <v>0</v>
      </c>
      <c r="L49" s="88">
        <f t="shared" si="35"/>
        <v>0</v>
      </c>
      <c r="M49" s="88">
        <f t="shared" si="27"/>
        <v>0</v>
      </c>
      <c r="N49" s="88">
        <f t="shared" ref="N49:O49" si="36">SUM(N42:N48)</f>
        <v>0</v>
      </c>
      <c r="O49" s="88">
        <f t="shared" si="36"/>
        <v>0</v>
      </c>
      <c r="P49" s="88">
        <f t="shared" si="29"/>
        <v>0</v>
      </c>
      <c r="Q49" s="21"/>
      <c r="R49" s="138"/>
      <c r="S49" s="143"/>
      <c r="T49" s="55"/>
      <c r="U49" s="49"/>
      <c r="V49" s="140"/>
      <c r="W49" s="39"/>
      <c r="X49" s="141"/>
      <c r="Y49" s="142"/>
      <c r="Z49" s="21"/>
      <c r="AA49" s="21"/>
      <c r="AB49" s="21"/>
    </row>
    <row r="50" ht="6.75" customHeight="1">
      <c r="A50" s="20"/>
      <c r="E50" s="25"/>
      <c r="F50" s="132"/>
      <c r="G50" s="125"/>
      <c r="H50" s="125"/>
      <c r="I50" s="27"/>
      <c r="J50" s="133"/>
      <c r="K50" s="19"/>
      <c r="L50" s="78"/>
      <c r="M50" s="78"/>
      <c r="N50" s="78"/>
      <c r="O50" s="134"/>
      <c r="P50" s="94"/>
      <c r="Q50" s="21"/>
      <c r="R50" s="135"/>
      <c r="S50" s="135"/>
      <c r="T50" s="135"/>
      <c r="U50" s="137"/>
      <c r="V50" s="135"/>
      <c r="W50" s="135"/>
      <c r="X50" s="135"/>
      <c r="Y50" s="135"/>
      <c r="Z50" s="21"/>
      <c r="AA50" s="21"/>
      <c r="AB50" s="21"/>
    </row>
    <row r="51" hidden="1">
      <c r="F51" s="19"/>
      <c r="G51" s="106"/>
      <c r="H51" s="10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</row>
  </sheetData>
  <mergeCells count="67">
    <mergeCell ref="V32:W32"/>
    <mergeCell ref="V37:W37"/>
    <mergeCell ref="G40:H40"/>
    <mergeCell ref="J40:J41"/>
    <mergeCell ref="F41:F42"/>
    <mergeCell ref="G41:H42"/>
    <mergeCell ref="B44:H44"/>
    <mergeCell ref="B45:H49"/>
    <mergeCell ref="B33:D33"/>
    <mergeCell ref="F33:G33"/>
    <mergeCell ref="F34:G34"/>
    <mergeCell ref="F35:G35"/>
    <mergeCell ref="F36:G36"/>
    <mergeCell ref="F37:G37"/>
    <mergeCell ref="F38:G38"/>
    <mergeCell ref="V44:W44"/>
    <mergeCell ref="V45:W45"/>
    <mergeCell ref="V46:W46"/>
    <mergeCell ref="V47:W47"/>
    <mergeCell ref="V48:W48"/>
    <mergeCell ref="V49:W49"/>
    <mergeCell ref="V31:W31"/>
    <mergeCell ref="V38:W38"/>
    <mergeCell ref="V39:W39"/>
    <mergeCell ref="V40:W40"/>
    <mergeCell ref="V41:W41"/>
    <mergeCell ref="V42:W42"/>
    <mergeCell ref="V43:W43"/>
    <mergeCell ref="R2:Y2"/>
    <mergeCell ref="B4:D4"/>
    <mergeCell ref="F4:H4"/>
    <mergeCell ref="V4:W4"/>
    <mergeCell ref="V5:W5"/>
    <mergeCell ref="V6:W6"/>
    <mergeCell ref="V7:W7"/>
    <mergeCell ref="V15:W15"/>
    <mergeCell ref="B16:D16"/>
    <mergeCell ref="F16:H16"/>
    <mergeCell ref="J16:P16"/>
    <mergeCell ref="V16:W16"/>
    <mergeCell ref="J18:J19"/>
    <mergeCell ref="V18:W18"/>
    <mergeCell ref="V19:W19"/>
    <mergeCell ref="V8:W8"/>
    <mergeCell ref="V9:W9"/>
    <mergeCell ref="V10:W10"/>
    <mergeCell ref="V11:W11"/>
    <mergeCell ref="V12:W12"/>
    <mergeCell ref="V13:W13"/>
    <mergeCell ref="V14:W14"/>
    <mergeCell ref="V26:W26"/>
    <mergeCell ref="V27:W27"/>
    <mergeCell ref="V28:W28"/>
    <mergeCell ref="J29:J30"/>
    <mergeCell ref="V29:W29"/>
    <mergeCell ref="V30:W30"/>
    <mergeCell ref="V17:W17"/>
    <mergeCell ref="V20:W20"/>
    <mergeCell ref="V21:W21"/>
    <mergeCell ref="V22:W22"/>
    <mergeCell ref="V23:W23"/>
    <mergeCell ref="V24:W24"/>
    <mergeCell ref="V25:W25"/>
    <mergeCell ref="V34:W34"/>
    <mergeCell ref="V35:W35"/>
    <mergeCell ref="V33:W33"/>
    <mergeCell ref="V36:W36"/>
  </mergeCells>
  <conditionalFormatting sqref="J5:P5 J7:P7 J9:P9 J11:P11 J13:P13">
    <cfRule type="expression" dxfId="4" priority="1">
      <formula>MONTH(J5)&lt;&gt;$B$1</formula>
    </cfRule>
  </conditionalFormatting>
  <dataValidations>
    <dataValidation type="list" allowBlank="1" sqref="B6:B13">
      <formula1>list!$A$2:$A51</formula1>
    </dataValidation>
    <dataValidation type="list" allowBlank="1" sqref="F6:F13">
      <formula1>list!$B$2:$B51</formula1>
    </dataValidation>
    <dataValidation type="list" allowBlank="1" sqref="J20:J26 B19:B30 F19:F30 J31:J37 J42:J48">
      <formula1>list!$C$2:$C51</formula1>
    </dataValidation>
    <dataValidation type="list" allowBlank="1" sqref="C6:C13 G6:G13 C19:C30 C35:C41 T5:T49">
      <formula1>list!$F$2:$F51</formula1>
    </dataValidation>
    <dataValidation type="list" allowBlank="1" sqref="U5:U49">
      <formula1>list!$C$2:$C51</formula1>
    </dataValidation>
    <dataValidation type="list" allowBlank="1" sqref="B35:B41">
      <formula1>list!$D$2:$D51</formula1>
    </dataValidation>
    <dataValidation type="list" allowBlank="1" showErrorMessage="1" sqref="S5:S49">
      <formula1>"1week,2week,3week,4week,5week"</formula1>
    </dataValidation>
    <dataValidation type="custom" allowBlank="1" showDropDown="1" showErrorMessage="1" sqref="J28 J39 R5:R49 J50 R50:Y50">
      <formula1>OR(NOT(ISERROR(DATEVALUE(J5))), AND(ISNUMBER(J5), LEFT(CELL("format", J5))="D"))</formula1>
    </dataValidation>
    <dataValidation type="list" allowBlank="1" showErrorMessage="1" sqref="Y5:Y49">
      <formula1>"〇,△,✕"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8CC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.0"/>
    <col customWidth="1" min="2" max="2" width="18.0"/>
    <col customWidth="1" min="3" max="4" width="11.63"/>
    <col customWidth="1" min="5" max="5" width="2.0"/>
    <col customWidth="1" min="6" max="6" width="18.0"/>
    <col customWidth="1" min="7" max="8" width="11.63"/>
    <col customWidth="1" min="9" max="9" width="2.63"/>
    <col customWidth="1" min="10" max="16" width="13.88"/>
    <col customWidth="1" min="17" max="17" width="2.63"/>
    <col customWidth="1" min="18" max="25" width="12.75"/>
    <col customWidth="1" min="26" max="26" width="2.0"/>
    <col customWidth="1" hidden="1" min="27" max="28" width="11.0"/>
  </cols>
  <sheetData>
    <row r="1" ht="42.0" customHeight="1">
      <c r="A1" s="10"/>
      <c r="B1" s="11">
        <v>5.0</v>
      </c>
      <c r="C1" s="12"/>
      <c r="D1" s="12" t="s">
        <v>29</v>
      </c>
      <c r="E1" s="13"/>
      <c r="F1" s="12"/>
      <c r="G1" s="14"/>
      <c r="H1" s="14"/>
      <c r="I1" s="15"/>
      <c r="J1" s="12" t="s">
        <v>30</v>
      </c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6"/>
      <c r="AB1" s="16"/>
    </row>
    <row r="2" ht="21.75" customHeight="1">
      <c r="A2" s="17"/>
      <c r="B2" s="18">
        <v>2025.0</v>
      </c>
      <c r="C2" s="19"/>
      <c r="D2" s="19"/>
      <c r="G2" s="20"/>
      <c r="H2" s="20"/>
      <c r="I2" s="21"/>
      <c r="J2" s="22">
        <f>DATE(B2,B1,1)</f>
        <v>45778</v>
      </c>
      <c r="K2" s="21"/>
      <c r="L2" s="21"/>
      <c r="M2" s="21"/>
      <c r="N2" s="21"/>
      <c r="O2" s="21"/>
      <c r="P2" s="21"/>
      <c r="Q2" s="21"/>
      <c r="R2" s="23" t="s">
        <v>31</v>
      </c>
      <c r="Z2" s="21"/>
      <c r="AA2" s="21"/>
      <c r="AB2" s="21"/>
    </row>
    <row r="3" ht="7.5" customHeight="1">
      <c r="A3" s="20"/>
      <c r="B3" s="24"/>
      <c r="C3" s="25"/>
      <c r="D3" s="25"/>
      <c r="E3" s="25"/>
      <c r="F3" s="26"/>
      <c r="G3" s="26"/>
      <c r="H3" s="26"/>
      <c r="I3" s="27"/>
      <c r="J3" s="25"/>
      <c r="K3" s="25"/>
      <c r="L3" s="25"/>
      <c r="M3" s="27"/>
      <c r="N3" s="27"/>
      <c r="O3" s="27"/>
      <c r="P3" s="27"/>
      <c r="Q3" s="21"/>
      <c r="Z3" s="21"/>
      <c r="AA3" s="21"/>
      <c r="AB3" s="21"/>
    </row>
    <row r="4" ht="20.25" customHeight="1">
      <c r="A4" s="28"/>
      <c r="B4" s="29" t="s">
        <v>32</v>
      </c>
      <c r="C4" s="30"/>
      <c r="D4" s="31"/>
      <c r="E4" s="32"/>
      <c r="F4" s="29" t="s">
        <v>33</v>
      </c>
      <c r="G4" s="30"/>
      <c r="H4" s="31"/>
      <c r="I4" s="27"/>
      <c r="J4" s="33" t="s">
        <v>34</v>
      </c>
      <c r="K4" s="33" t="s">
        <v>35</v>
      </c>
      <c r="L4" s="33" t="s">
        <v>36</v>
      </c>
      <c r="M4" s="33" t="s">
        <v>37</v>
      </c>
      <c r="N4" s="33" t="s">
        <v>38</v>
      </c>
      <c r="O4" s="34" t="s">
        <v>39</v>
      </c>
      <c r="P4" s="35" t="s">
        <v>40</v>
      </c>
      <c r="Q4" s="21"/>
      <c r="R4" s="36" t="s">
        <v>41</v>
      </c>
      <c r="S4" s="37" t="s">
        <v>42</v>
      </c>
      <c r="T4" s="37" t="s">
        <v>43</v>
      </c>
      <c r="U4" s="37" t="s">
        <v>44</v>
      </c>
      <c r="V4" s="38" t="s">
        <v>45</v>
      </c>
      <c r="W4" s="39"/>
      <c r="X4" s="37" t="s">
        <v>46</v>
      </c>
      <c r="Y4" s="37" t="s">
        <v>47</v>
      </c>
      <c r="Z4" s="21"/>
      <c r="AA4" s="21"/>
      <c r="AB4" s="21"/>
    </row>
    <row r="5" ht="20.25" customHeight="1">
      <c r="A5" s="40"/>
      <c r="B5" s="41" t="s">
        <v>44</v>
      </c>
      <c r="C5" s="42" t="s">
        <v>48</v>
      </c>
      <c r="D5" s="41" t="s">
        <v>46</v>
      </c>
      <c r="E5" s="32"/>
      <c r="F5" s="41" t="s">
        <v>44</v>
      </c>
      <c r="G5" s="41" t="s">
        <v>43</v>
      </c>
      <c r="H5" s="41" t="s">
        <v>46</v>
      </c>
      <c r="I5" s="27"/>
      <c r="J5" s="43">
        <f>$J$2-weekday($J$2)+2</f>
        <v>45775</v>
      </c>
      <c r="K5" s="43">
        <f t="shared" ref="K5:P5" si="1">J5+1</f>
        <v>45776</v>
      </c>
      <c r="L5" s="43">
        <f t="shared" si="1"/>
        <v>45777</v>
      </c>
      <c r="M5" s="43">
        <f t="shared" si="1"/>
        <v>45778</v>
      </c>
      <c r="N5" s="43">
        <f t="shared" si="1"/>
        <v>45779</v>
      </c>
      <c r="O5" s="44">
        <f t="shared" si="1"/>
        <v>45780</v>
      </c>
      <c r="P5" s="45">
        <f t="shared" si="1"/>
        <v>45781</v>
      </c>
      <c r="Q5" s="21"/>
      <c r="R5" s="138">
        <v>45778.0</v>
      </c>
      <c r="S5" s="139"/>
      <c r="T5" s="55"/>
      <c r="U5" s="49"/>
      <c r="V5" s="140"/>
      <c r="W5" s="39"/>
      <c r="X5" s="141"/>
      <c r="Y5" s="142"/>
      <c r="Z5" s="21"/>
      <c r="AA5" s="21"/>
      <c r="AB5" s="21"/>
    </row>
    <row r="6" ht="20.25" customHeight="1">
      <c r="A6" s="53"/>
      <c r="B6" s="54"/>
      <c r="C6" s="55"/>
      <c r="D6" s="56"/>
      <c r="E6" s="57"/>
      <c r="F6" s="58"/>
      <c r="G6" s="55"/>
      <c r="H6" s="56"/>
      <c r="I6" s="27"/>
      <c r="J6" s="60">
        <f t="shared" ref="J6:P6" si="2">sumifs($X:$X,$R:$R,J5)</f>
        <v>0</v>
      </c>
      <c r="K6" s="60">
        <f t="shared" si="2"/>
        <v>0</v>
      </c>
      <c r="L6" s="60">
        <f t="shared" si="2"/>
        <v>0</v>
      </c>
      <c r="M6" s="60">
        <f t="shared" si="2"/>
        <v>0</v>
      </c>
      <c r="N6" s="60">
        <f t="shared" si="2"/>
        <v>0</v>
      </c>
      <c r="O6" s="60">
        <f t="shared" si="2"/>
        <v>0</v>
      </c>
      <c r="P6" s="60">
        <f t="shared" si="2"/>
        <v>0</v>
      </c>
      <c r="Q6" s="21"/>
      <c r="R6" s="138"/>
      <c r="S6" s="139"/>
      <c r="T6" s="55"/>
      <c r="U6" s="49"/>
      <c r="V6" s="140"/>
      <c r="W6" s="39"/>
      <c r="X6" s="141"/>
      <c r="Y6" s="142"/>
      <c r="Z6" s="21"/>
      <c r="AA6" s="21"/>
      <c r="AB6" s="21"/>
    </row>
    <row r="7" ht="20.25" customHeight="1">
      <c r="A7" s="53"/>
      <c r="B7" s="54"/>
      <c r="C7" s="55"/>
      <c r="D7" s="56"/>
      <c r="E7" s="57"/>
      <c r="F7" s="58"/>
      <c r="G7" s="55"/>
      <c r="H7" s="56"/>
      <c r="I7" s="27"/>
      <c r="J7" s="61">
        <f t="shared" ref="J7:P7" si="3">J5+7</f>
        <v>45782</v>
      </c>
      <c r="K7" s="61">
        <f t="shared" si="3"/>
        <v>45783</v>
      </c>
      <c r="L7" s="61">
        <f t="shared" si="3"/>
        <v>45784</v>
      </c>
      <c r="M7" s="61">
        <f t="shared" si="3"/>
        <v>45785</v>
      </c>
      <c r="N7" s="61">
        <f t="shared" si="3"/>
        <v>45786</v>
      </c>
      <c r="O7" s="62">
        <f t="shared" si="3"/>
        <v>45787</v>
      </c>
      <c r="P7" s="63">
        <f t="shared" si="3"/>
        <v>45788</v>
      </c>
      <c r="Q7" s="21"/>
      <c r="R7" s="138"/>
      <c r="S7" s="139"/>
      <c r="T7" s="55"/>
      <c r="U7" s="49"/>
      <c r="V7" s="140"/>
      <c r="W7" s="39"/>
      <c r="X7" s="141"/>
      <c r="Y7" s="142"/>
      <c r="Z7" s="21"/>
      <c r="AA7" s="21"/>
      <c r="AB7" s="21"/>
    </row>
    <row r="8" ht="20.25" customHeight="1">
      <c r="A8" s="53"/>
      <c r="B8" s="54"/>
      <c r="C8" s="55"/>
      <c r="D8" s="56"/>
      <c r="E8" s="57"/>
      <c r="F8" s="58"/>
      <c r="G8" s="55"/>
      <c r="H8" s="59"/>
      <c r="I8" s="27"/>
      <c r="J8" s="60">
        <f t="shared" ref="J8:P8" si="4">sumifs($X:$X,$R:$R,J7)</f>
        <v>0</v>
      </c>
      <c r="K8" s="60">
        <f t="shared" si="4"/>
        <v>0</v>
      </c>
      <c r="L8" s="60">
        <f t="shared" si="4"/>
        <v>0</v>
      </c>
      <c r="M8" s="60">
        <f t="shared" si="4"/>
        <v>0</v>
      </c>
      <c r="N8" s="60">
        <f t="shared" si="4"/>
        <v>0</v>
      </c>
      <c r="O8" s="60">
        <f t="shared" si="4"/>
        <v>0</v>
      </c>
      <c r="P8" s="60">
        <f t="shared" si="4"/>
        <v>0</v>
      </c>
      <c r="Q8" s="21"/>
      <c r="R8" s="138"/>
      <c r="S8" s="139"/>
      <c r="T8" s="55"/>
      <c r="U8" s="49"/>
      <c r="V8" s="140"/>
      <c r="W8" s="39"/>
      <c r="X8" s="141"/>
      <c r="Y8" s="142"/>
      <c r="Z8" s="21"/>
      <c r="AA8" s="21"/>
      <c r="AB8" s="21"/>
    </row>
    <row r="9" ht="20.25" customHeight="1">
      <c r="A9" s="64"/>
      <c r="B9" s="54"/>
      <c r="C9" s="55"/>
      <c r="D9" s="59"/>
      <c r="E9" s="57"/>
      <c r="F9" s="58"/>
      <c r="G9" s="55"/>
      <c r="H9" s="59"/>
      <c r="I9" s="27"/>
      <c r="J9" s="43">
        <f t="shared" ref="J9:P9" si="5">J7+7</f>
        <v>45789</v>
      </c>
      <c r="K9" s="43">
        <f t="shared" si="5"/>
        <v>45790</v>
      </c>
      <c r="L9" s="43">
        <f t="shared" si="5"/>
        <v>45791</v>
      </c>
      <c r="M9" s="43">
        <f t="shared" si="5"/>
        <v>45792</v>
      </c>
      <c r="N9" s="43">
        <f t="shared" si="5"/>
        <v>45793</v>
      </c>
      <c r="O9" s="44">
        <f t="shared" si="5"/>
        <v>45794</v>
      </c>
      <c r="P9" s="45">
        <f t="shared" si="5"/>
        <v>45795</v>
      </c>
      <c r="Q9" s="21"/>
      <c r="R9" s="138"/>
      <c r="S9" s="139"/>
      <c r="T9" s="55"/>
      <c r="U9" s="49"/>
      <c r="V9" s="140"/>
      <c r="W9" s="39"/>
      <c r="X9" s="141"/>
      <c r="Y9" s="142"/>
      <c r="Z9" s="21"/>
      <c r="AA9" s="21"/>
      <c r="AB9" s="21"/>
    </row>
    <row r="10" ht="20.25" customHeight="1">
      <c r="A10" s="64"/>
      <c r="B10" s="54"/>
      <c r="C10" s="55"/>
      <c r="D10" s="56"/>
      <c r="E10" s="57"/>
      <c r="F10" s="65"/>
      <c r="G10" s="55"/>
      <c r="H10" s="66"/>
      <c r="I10" s="27"/>
      <c r="J10" s="60">
        <f t="shared" ref="J10:P10" si="6">sumifs($X:$X,$R:$R,J9)</f>
        <v>0</v>
      </c>
      <c r="K10" s="60">
        <f t="shared" si="6"/>
        <v>0</v>
      </c>
      <c r="L10" s="60">
        <f t="shared" si="6"/>
        <v>0</v>
      </c>
      <c r="M10" s="60">
        <f t="shared" si="6"/>
        <v>0</v>
      </c>
      <c r="N10" s="60">
        <f t="shared" si="6"/>
        <v>0</v>
      </c>
      <c r="O10" s="60">
        <f t="shared" si="6"/>
        <v>0</v>
      </c>
      <c r="P10" s="60">
        <f t="shared" si="6"/>
        <v>0</v>
      </c>
      <c r="Q10" s="21"/>
      <c r="R10" s="138"/>
      <c r="S10" s="139"/>
      <c r="T10" s="55"/>
      <c r="U10" s="49"/>
      <c r="V10" s="140"/>
      <c r="W10" s="39"/>
      <c r="X10" s="141"/>
      <c r="Y10" s="142"/>
      <c r="Z10" s="21"/>
      <c r="AA10" s="21"/>
      <c r="AB10" s="21"/>
    </row>
    <row r="11" ht="20.25" customHeight="1">
      <c r="A11" s="64"/>
      <c r="B11" s="54"/>
      <c r="C11" s="55"/>
      <c r="D11" s="67"/>
      <c r="E11" s="57"/>
      <c r="F11" s="65"/>
      <c r="G11" s="55"/>
      <c r="H11" s="66"/>
      <c r="I11" s="27"/>
      <c r="J11" s="61">
        <f t="shared" ref="J11:P11" si="7">J9+7</f>
        <v>45796</v>
      </c>
      <c r="K11" s="61">
        <f t="shared" si="7"/>
        <v>45797</v>
      </c>
      <c r="L11" s="61">
        <f t="shared" si="7"/>
        <v>45798</v>
      </c>
      <c r="M11" s="61">
        <f t="shared" si="7"/>
        <v>45799</v>
      </c>
      <c r="N11" s="61">
        <f t="shared" si="7"/>
        <v>45800</v>
      </c>
      <c r="O11" s="62">
        <f t="shared" si="7"/>
        <v>45801</v>
      </c>
      <c r="P11" s="63">
        <f t="shared" si="7"/>
        <v>45802</v>
      </c>
      <c r="Q11" s="21"/>
      <c r="R11" s="138"/>
      <c r="S11" s="139"/>
      <c r="T11" s="55"/>
      <c r="U11" s="49"/>
      <c r="V11" s="140"/>
      <c r="W11" s="39"/>
      <c r="X11" s="141"/>
      <c r="Y11" s="142"/>
      <c r="Z11" s="21"/>
      <c r="AA11" s="21"/>
      <c r="AB11" s="21"/>
    </row>
    <row r="12" ht="20.25" customHeight="1">
      <c r="A12" s="64"/>
      <c r="B12" s="68"/>
      <c r="C12" s="55"/>
      <c r="D12" s="67"/>
      <c r="E12" s="57"/>
      <c r="F12" s="65"/>
      <c r="G12" s="55"/>
      <c r="H12" s="66"/>
      <c r="I12" s="27"/>
      <c r="J12" s="60">
        <f t="shared" ref="J12:P12" si="8">sumifs($X:$X,$R:$R,J11)</f>
        <v>0</v>
      </c>
      <c r="K12" s="60">
        <f t="shared" si="8"/>
        <v>0</v>
      </c>
      <c r="L12" s="60">
        <f t="shared" si="8"/>
        <v>0</v>
      </c>
      <c r="M12" s="60">
        <f t="shared" si="8"/>
        <v>0</v>
      </c>
      <c r="N12" s="60">
        <f t="shared" si="8"/>
        <v>0</v>
      </c>
      <c r="O12" s="60">
        <f t="shared" si="8"/>
        <v>0</v>
      </c>
      <c r="P12" s="60">
        <f t="shared" si="8"/>
        <v>0</v>
      </c>
      <c r="Q12" s="21"/>
      <c r="R12" s="138"/>
      <c r="S12" s="139"/>
      <c r="T12" s="55"/>
      <c r="U12" s="49"/>
      <c r="V12" s="140"/>
      <c r="W12" s="39"/>
      <c r="X12" s="141"/>
      <c r="Y12" s="142"/>
      <c r="Z12" s="21"/>
      <c r="AA12" s="21"/>
      <c r="AB12" s="21"/>
    </row>
    <row r="13" ht="20.25" customHeight="1">
      <c r="A13" s="64"/>
      <c r="B13" s="68"/>
      <c r="C13" s="55"/>
      <c r="D13" s="67"/>
      <c r="E13" s="57"/>
      <c r="F13" s="65"/>
      <c r="G13" s="55"/>
      <c r="H13" s="66"/>
      <c r="I13" s="27"/>
      <c r="J13" s="43">
        <f t="shared" ref="J13:P13" si="9">J11+7</f>
        <v>45803</v>
      </c>
      <c r="K13" s="43">
        <f t="shared" si="9"/>
        <v>45804</v>
      </c>
      <c r="L13" s="43">
        <f t="shared" si="9"/>
        <v>45805</v>
      </c>
      <c r="M13" s="43">
        <f t="shared" si="9"/>
        <v>45806</v>
      </c>
      <c r="N13" s="43">
        <f t="shared" si="9"/>
        <v>45807</v>
      </c>
      <c r="O13" s="44">
        <f t="shared" si="9"/>
        <v>45808</v>
      </c>
      <c r="P13" s="45">
        <f t="shared" si="9"/>
        <v>45809</v>
      </c>
      <c r="Q13" s="21"/>
      <c r="R13" s="138"/>
      <c r="S13" s="139"/>
      <c r="T13" s="55"/>
      <c r="U13" s="49"/>
      <c r="V13" s="140"/>
      <c r="W13" s="39"/>
      <c r="X13" s="141"/>
      <c r="Y13" s="142"/>
      <c r="Z13" s="21"/>
      <c r="AA13" s="21"/>
      <c r="AB13" s="21"/>
    </row>
    <row r="14" ht="20.25" customHeight="1">
      <c r="A14" s="69"/>
      <c r="B14" s="70" t="s">
        <v>60</v>
      </c>
      <c r="C14" s="72"/>
      <c r="D14" s="72">
        <f>SUM(D6:D13)</f>
        <v>0</v>
      </c>
      <c r="E14" s="57"/>
      <c r="F14" s="70" t="s">
        <v>60</v>
      </c>
      <c r="G14" s="72"/>
      <c r="H14" s="72">
        <f>SUM(H6:H13)</f>
        <v>0</v>
      </c>
      <c r="I14" s="27"/>
      <c r="J14" s="60">
        <f t="shared" ref="J14:P14" si="10">sumifs($X:$X,$R:$R,J13)</f>
        <v>0</v>
      </c>
      <c r="K14" s="60">
        <f t="shared" si="10"/>
        <v>0</v>
      </c>
      <c r="L14" s="60">
        <f t="shared" si="10"/>
        <v>0</v>
      </c>
      <c r="M14" s="60">
        <f t="shared" si="10"/>
        <v>0</v>
      </c>
      <c r="N14" s="60">
        <f t="shared" si="10"/>
        <v>0</v>
      </c>
      <c r="O14" s="60">
        <f t="shared" si="10"/>
        <v>0</v>
      </c>
      <c r="P14" s="60">
        <f t="shared" si="10"/>
        <v>0</v>
      </c>
      <c r="Q14" s="21"/>
      <c r="R14" s="138"/>
      <c r="S14" s="139"/>
      <c r="T14" s="55"/>
      <c r="U14" s="49"/>
      <c r="V14" s="140"/>
      <c r="W14" s="39"/>
      <c r="X14" s="141"/>
      <c r="Y14" s="142"/>
      <c r="Z14" s="21"/>
      <c r="AA14" s="21"/>
      <c r="AB14" s="21"/>
    </row>
    <row r="15" ht="20.25" customHeight="1">
      <c r="A15" s="20"/>
      <c r="B15" s="24"/>
      <c r="C15" s="32"/>
      <c r="D15" s="32"/>
      <c r="E15" s="32"/>
      <c r="F15" s="32"/>
      <c r="G15" s="24"/>
      <c r="H15" s="24"/>
      <c r="I15" s="27"/>
      <c r="J15" s="25"/>
      <c r="K15" s="25"/>
      <c r="L15" s="25"/>
      <c r="M15" s="25"/>
      <c r="N15" s="25"/>
      <c r="O15" s="25"/>
      <c r="P15" s="25"/>
      <c r="Q15" s="21"/>
      <c r="R15" s="138"/>
      <c r="S15" s="139"/>
      <c r="T15" s="55"/>
      <c r="U15" s="49"/>
      <c r="V15" s="140"/>
      <c r="W15" s="39"/>
      <c r="X15" s="141"/>
      <c r="Y15" s="142"/>
      <c r="Z15" s="21"/>
      <c r="AA15" s="21"/>
      <c r="AB15" s="21"/>
    </row>
    <row r="16" ht="20.25" customHeight="1">
      <c r="A16" s="28"/>
      <c r="B16" s="73" t="s">
        <v>61</v>
      </c>
      <c r="E16" s="27"/>
      <c r="F16" s="73" t="s">
        <v>61</v>
      </c>
      <c r="I16" s="27"/>
      <c r="J16" s="74" t="s">
        <v>62</v>
      </c>
      <c r="Q16" s="21"/>
      <c r="R16" s="138"/>
      <c r="S16" s="139"/>
      <c r="T16" s="55"/>
      <c r="U16" s="49"/>
      <c r="V16" s="140"/>
      <c r="W16" s="39"/>
      <c r="X16" s="141"/>
      <c r="Y16" s="142"/>
      <c r="Z16" s="21"/>
      <c r="AA16" s="21"/>
      <c r="AB16" s="21"/>
    </row>
    <row r="17" ht="20.25" customHeight="1">
      <c r="A17" s="40"/>
      <c r="B17" s="69" t="s">
        <v>63</v>
      </c>
      <c r="C17" s="75"/>
      <c r="D17" s="75"/>
      <c r="E17" s="53"/>
      <c r="F17" s="69" t="s">
        <v>64</v>
      </c>
      <c r="G17" s="76"/>
      <c r="H17" s="76"/>
      <c r="I17" s="27"/>
      <c r="J17" s="77"/>
      <c r="K17" s="78"/>
      <c r="L17" s="78"/>
      <c r="M17" s="78"/>
      <c r="N17" s="78"/>
      <c r="O17" s="78"/>
      <c r="P17" s="78"/>
      <c r="Q17" s="21"/>
      <c r="R17" s="138"/>
      <c r="S17" s="139"/>
      <c r="T17" s="55"/>
      <c r="U17" s="49"/>
      <c r="V17" s="140"/>
      <c r="W17" s="39"/>
      <c r="X17" s="141"/>
      <c r="Y17" s="142"/>
      <c r="Z17" s="21"/>
      <c r="AA17" s="21"/>
      <c r="AB17" s="21"/>
    </row>
    <row r="18" ht="20.25" customHeight="1">
      <c r="A18" s="40"/>
      <c r="B18" s="41" t="s">
        <v>44</v>
      </c>
      <c r="C18" s="41" t="s">
        <v>43</v>
      </c>
      <c r="D18" s="41" t="s">
        <v>46</v>
      </c>
      <c r="E18" s="57"/>
      <c r="F18" s="41" t="s">
        <v>44</v>
      </c>
      <c r="G18" s="41" t="s">
        <v>65</v>
      </c>
      <c r="H18" s="41" t="s">
        <v>46</v>
      </c>
      <c r="I18" s="27"/>
      <c r="J18" s="79" t="s">
        <v>66</v>
      </c>
      <c r="K18" s="80"/>
      <c r="L18" s="81" t="s">
        <v>49</v>
      </c>
      <c r="M18" s="82"/>
      <c r="N18" s="80"/>
      <c r="O18" s="81" t="s">
        <v>67</v>
      </c>
      <c r="P18" s="82"/>
      <c r="Q18" s="21"/>
      <c r="R18" s="138"/>
      <c r="S18" s="139"/>
      <c r="T18" s="55"/>
      <c r="U18" s="49"/>
      <c r="V18" s="140"/>
      <c r="W18" s="39"/>
      <c r="X18" s="141"/>
      <c r="Y18" s="142"/>
      <c r="Z18" s="21"/>
      <c r="AA18" s="21"/>
      <c r="AB18" s="21"/>
    </row>
    <row r="19" ht="20.25" customHeight="1">
      <c r="A19" s="53"/>
      <c r="B19" s="54"/>
      <c r="C19" s="55"/>
      <c r="D19" s="56"/>
      <c r="E19" s="57"/>
      <c r="F19" s="54"/>
      <c r="G19" s="56"/>
      <c r="H19" s="83">
        <f t="shared" ref="H19:H30" si="11">sumifs($X:$X,$U:$U,F19)</f>
        <v>0</v>
      </c>
      <c r="I19" s="27"/>
      <c r="J19" s="84"/>
      <c r="K19" s="85" t="s">
        <v>65</v>
      </c>
      <c r="L19" s="85" t="s">
        <v>46</v>
      </c>
      <c r="M19" s="85" t="s">
        <v>69</v>
      </c>
      <c r="N19" s="86" t="s">
        <v>65</v>
      </c>
      <c r="O19" s="86" t="s">
        <v>46</v>
      </c>
      <c r="P19" s="86" t="s">
        <v>69</v>
      </c>
      <c r="Q19" s="21"/>
      <c r="R19" s="138"/>
      <c r="S19" s="139"/>
      <c r="T19" s="55"/>
      <c r="U19" s="49"/>
      <c r="V19" s="140"/>
      <c r="W19" s="39"/>
      <c r="X19" s="141"/>
      <c r="Y19" s="142"/>
      <c r="Z19" s="21"/>
      <c r="AA19" s="21"/>
      <c r="AB19" s="21"/>
    </row>
    <row r="20" ht="20.25" customHeight="1">
      <c r="A20" s="53"/>
      <c r="B20" s="54"/>
      <c r="C20" s="55"/>
      <c r="D20" s="56"/>
      <c r="E20" s="57"/>
      <c r="F20" s="54"/>
      <c r="G20" s="56"/>
      <c r="H20" s="83">
        <f t="shared" si="11"/>
        <v>0</v>
      </c>
      <c r="I20" s="27"/>
      <c r="J20" s="54"/>
      <c r="K20" s="87"/>
      <c r="L20" s="88">
        <f t="shared" ref="L20:L26" si="12">sumifs($X:$X,$S:$S,$L$18,$U:$U,J20)</f>
        <v>0</v>
      </c>
      <c r="M20" s="88">
        <f t="shared" ref="M20:M27" si="13">K20-L20</f>
        <v>0</v>
      </c>
      <c r="N20" s="87"/>
      <c r="O20" s="88">
        <f t="shared" ref="O20:O26" si="14">sumifs($X:$X,$S:$S,$O$18,$U:$U,J20)</f>
        <v>0</v>
      </c>
      <c r="P20" s="88">
        <f t="shared" ref="P20:P27" si="15">N20-O20</f>
        <v>0</v>
      </c>
      <c r="Q20" s="21"/>
      <c r="R20" s="138"/>
      <c r="S20" s="139"/>
      <c r="T20" s="55"/>
      <c r="U20" s="49"/>
      <c r="V20" s="140"/>
      <c r="W20" s="39"/>
      <c r="X20" s="141"/>
      <c r="Y20" s="142"/>
      <c r="Z20" s="21"/>
      <c r="AA20" s="21"/>
      <c r="AB20" s="21"/>
    </row>
    <row r="21" ht="20.25" customHeight="1">
      <c r="A21" s="53"/>
      <c r="B21" s="54"/>
      <c r="C21" s="55"/>
      <c r="D21" s="56"/>
      <c r="E21" s="57"/>
      <c r="F21" s="54"/>
      <c r="G21" s="56"/>
      <c r="H21" s="83">
        <f t="shared" si="11"/>
        <v>0</v>
      </c>
      <c r="I21" s="27"/>
      <c r="J21" s="54"/>
      <c r="K21" s="87"/>
      <c r="L21" s="88">
        <f t="shared" si="12"/>
        <v>0</v>
      </c>
      <c r="M21" s="88">
        <f t="shared" si="13"/>
        <v>0</v>
      </c>
      <c r="N21" s="87"/>
      <c r="O21" s="88">
        <f t="shared" si="14"/>
        <v>0</v>
      </c>
      <c r="P21" s="88">
        <f t="shared" si="15"/>
        <v>0</v>
      </c>
      <c r="Q21" s="21"/>
      <c r="R21" s="138"/>
      <c r="S21" s="139"/>
      <c r="T21" s="55"/>
      <c r="U21" s="49"/>
      <c r="V21" s="140"/>
      <c r="W21" s="39"/>
      <c r="X21" s="141"/>
      <c r="Y21" s="142"/>
      <c r="Z21" s="21"/>
      <c r="AA21" s="21"/>
      <c r="AB21" s="21"/>
    </row>
    <row r="22" ht="20.25" customHeight="1">
      <c r="A22" s="53"/>
      <c r="B22" s="54"/>
      <c r="C22" s="55"/>
      <c r="D22" s="56"/>
      <c r="E22" s="57"/>
      <c r="F22" s="54"/>
      <c r="G22" s="56"/>
      <c r="H22" s="83">
        <f t="shared" si="11"/>
        <v>0</v>
      </c>
      <c r="I22" s="27"/>
      <c r="J22" s="54"/>
      <c r="K22" s="87"/>
      <c r="L22" s="88">
        <f t="shared" si="12"/>
        <v>0</v>
      </c>
      <c r="M22" s="88">
        <f t="shared" si="13"/>
        <v>0</v>
      </c>
      <c r="N22" s="87"/>
      <c r="O22" s="88">
        <f t="shared" si="14"/>
        <v>0</v>
      </c>
      <c r="P22" s="88">
        <f t="shared" si="15"/>
        <v>0</v>
      </c>
      <c r="Q22" s="21"/>
      <c r="R22" s="138"/>
      <c r="S22" s="139"/>
      <c r="T22" s="55"/>
      <c r="U22" s="49"/>
      <c r="V22" s="140"/>
      <c r="W22" s="39"/>
      <c r="X22" s="141"/>
      <c r="Y22" s="142"/>
      <c r="Z22" s="21"/>
      <c r="AA22" s="21"/>
      <c r="AB22" s="21"/>
    </row>
    <row r="23" ht="20.25" customHeight="1">
      <c r="A23" s="53"/>
      <c r="B23" s="54"/>
      <c r="C23" s="55"/>
      <c r="D23" s="56"/>
      <c r="E23" s="57"/>
      <c r="F23" s="54"/>
      <c r="G23" s="56"/>
      <c r="H23" s="83">
        <f t="shared" si="11"/>
        <v>0</v>
      </c>
      <c r="I23" s="27"/>
      <c r="J23" s="54"/>
      <c r="K23" s="87"/>
      <c r="L23" s="88">
        <f t="shared" si="12"/>
        <v>0</v>
      </c>
      <c r="M23" s="88">
        <f t="shared" si="13"/>
        <v>0</v>
      </c>
      <c r="N23" s="87"/>
      <c r="O23" s="88">
        <f t="shared" si="14"/>
        <v>0</v>
      </c>
      <c r="P23" s="88">
        <f t="shared" si="15"/>
        <v>0</v>
      </c>
      <c r="Q23" s="21"/>
      <c r="R23" s="138"/>
      <c r="S23" s="139"/>
      <c r="T23" s="55"/>
      <c r="U23" s="49"/>
      <c r="V23" s="140"/>
      <c r="W23" s="39"/>
      <c r="X23" s="141"/>
      <c r="Y23" s="142"/>
      <c r="Z23" s="21"/>
      <c r="AA23" s="21"/>
      <c r="AB23" s="21"/>
    </row>
    <row r="24" ht="20.25" customHeight="1">
      <c r="A24" s="53"/>
      <c r="B24" s="54"/>
      <c r="C24" s="55"/>
      <c r="D24" s="56"/>
      <c r="E24" s="57"/>
      <c r="F24" s="54"/>
      <c r="G24" s="56"/>
      <c r="H24" s="83">
        <f t="shared" si="11"/>
        <v>0</v>
      </c>
      <c r="I24" s="27"/>
      <c r="J24" s="54"/>
      <c r="K24" s="87"/>
      <c r="L24" s="88">
        <f t="shared" si="12"/>
        <v>0</v>
      </c>
      <c r="M24" s="88">
        <f t="shared" si="13"/>
        <v>0</v>
      </c>
      <c r="N24" s="87"/>
      <c r="O24" s="88">
        <f t="shared" si="14"/>
        <v>0</v>
      </c>
      <c r="P24" s="88">
        <f t="shared" si="15"/>
        <v>0</v>
      </c>
      <c r="Q24" s="21"/>
      <c r="R24" s="138"/>
      <c r="S24" s="139"/>
      <c r="T24" s="55"/>
      <c r="U24" s="49"/>
      <c r="V24" s="140"/>
      <c r="W24" s="39"/>
      <c r="X24" s="141"/>
      <c r="Y24" s="142"/>
      <c r="Z24" s="21"/>
      <c r="AA24" s="21"/>
      <c r="AB24" s="21"/>
    </row>
    <row r="25" ht="20.25" customHeight="1">
      <c r="A25" s="53"/>
      <c r="B25" s="54"/>
      <c r="C25" s="55"/>
      <c r="D25" s="56"/>
      <c r="E25" s="57"/>
      <c r="F25" s="54"/>
      <c r="G25" s="56"/>
      <c r="H25" s="83">
        <f t="shared" si="11"/>
        <v>0</v>
      </c>
      <c r="I25" s="27"/>
      <c r="J25" s="54"/>
      <c r="K25" s="87"/>
      <c r="L25" s="88">
        <f t="shared" si="12"/>
        <v>0</v>
      </c>
      <c r="M25" s="88">
        <f t="shared" si="13"/>
        <v>0</v>
      </c>
      <c r="N25" s="87"/>
      <c r="O25" s="88">
        <f t="shared" si="14"/>
        <v>0</v>
      </c>
      <c r="P25" s="88">
        <f t="shared" si="15"/>
        <v>0</v>
      </c>
      <c r="Q25" s="21"/>
      <c r="R25" s="138"/>
      <c r="S25" s="139"/>
      <c r="T25" s="55"/>
      <c r="U25" s="49"/>
      <c r="V25" s="140"/>
      <c r="W25" s="39"/>
      <c r="X25" s="141"/>
      <c r="Y25" s="142"/>
      <c r="Z25" s="21"/>
      <c r="AA25" s="21"/>
      <c r="AB25" s="21"/>
    </row>
    <row r="26" ht="20.25" customHeight="1">
      <c r="A26" s="53"/>
      <c r="B26" s="54"/>
      <c r="C26" s="55"/>
      <c r="D26" s="56"/>
      <c r="E26" s="57"/>
      <c r="F26" s="54"/>
      <c r="G26" s="56"/>
      <c r="H26" s="83">
        <f t="shared" si="11"/>
        <v>0</v>
      </c>
      <c r="I26" s="27"/>
      <c r="J26" s="54"/>
      <c r="K26" s="87"/>
      <c r="L26" s="88">
        <f t="shared" si="12"/>
        <v>0</v>
      </c>
      <c r="M26" s="88">
        <f t="shared" si="13"/>
        <v>0</v>
      </c>
      <c r="N26" s="87"/>
      <c r="O26" s="88">
        <f t="shared" si="14"/>
        <v>0</v>
      </c>
      <c r="P26" s="88">
        <f t="shared" si="15"/>
        <v>0</v>
      </c>
      <c r="Q26" s="21"/>
      <c r="R26" s="138"/>
      <c r="S26" s="139"/>
      <c r="T26" s="55"/>
      <c r="U26" s="49"/>
      <c r="V26" s="140"/>
      <c r="W26" s="39"/>
      <c r="X26" s="141"/>
      <c r="Y26" s="142"/>
      <c r="Z26" s="21"/>
      <c r="AA26" s="21"/>
      <c r="AB26" s="21"/>
    </row>
    <row r="27" ht="20.25" customHeight="1">
      <c r="A27" s="53"/>
      <c r="B27" s="54"/>
      <c r="C27" s="55"/>
      <c r="D27" s="56"/>
      <c r="E27" s="57"/>
      <c r="F27" s="54"/>
      <c r="G27" s="56"/>
      <c r="H27" s="83">
        <f t="shared" si="11"/>
        <v>0</v>
      </c>
      <c r="I27" s="27"/>
      <c r="J27" s="89" t="s">
        <v>83</v>
      </c>
      <c r="K27" s="88">
        <f t="shared" ref="K27:L27" si="16">SUM(K20:K26)</f>
        <v>0</v>
      </c>
      <c r="L27" s="88">
        <f t="shared" si="16"/>
        <v>0</v>
      </c>
      <c r="M27" s="88">
        <f t="shared" si="13"/>
        <v>0</v>
      </c>
      <c r="N27" s="88">
        <f t="shared" ref="N27:O27" si="17">SUM(N20:N26)</f>
        <v>0</v>
      </c>
      <c r="O27" s="88">
        <f t="shared" si="17"/>
        <v>0</v>
      </c>
      <c r="P27" s="88">
        <f t="shared" si="15"/>
        <v>0</v>
      </c>
      <c r="Q27" s="21"/>
      <c r="R27" s="138"/>
      <c r="S27" s="139"/>
      <c r="T27" s="55"/>
      <c r="U27" s="49"/>
      <c r="V27" s="140"/>
      <c r="W27" s="39"/>
      <c r="X27" s="141"/>
      <c r="Y27" s="142"/>
      <c r="Z27" s="21"/>
      <c r="AA27" s="21"/>
      <c r="AB27" s="21"/>
    </row>
    <row r="28" ht="20.25" customHeight="1">
      <c r="A28" s="53"/>
      <c r="B28" s="54"/>
      <c r="C28" s="55"/>
      <c r="D28" s="67"/>
      <c r="E28" s="57"/>
      <c r="F28" s="54"/>
      <c r="G28" s="56"/>
      <c r="H28" s="83">
        <f t="shared" si="11"/>
        <v>0</v>
      </c>
      <c r="I28" s="27"/>
      <c r="J28" s="90"/>
      <c r="K28" s="91"/>
      <c r="L28" s="92"/>
      <c r="M28" s="92"/>
      <c r="N28" s="92"/>
      <c r="O28" s="93"/>
      <c r="P28" s="94"/>
      <c r="Q28" s="21"/>
      <c r="R28" s="138"/>
      <c r="S28" s="139"/>
      <c r="T28" s="55"/>
      <c r="U28" s="49"/>
      <c r="V28" s="140"/>
      <c r="W28" s="39"/>
      <c r="X28" s="141"/>
      <c r="Y28" s="142"/>
      <c r="Z28" s="21"/>
      <c r="AA28" s="21"/>
      <c r="AB28" s="21"/>
    </row>
    <row r="29" ht="20.25" customHeight="1">
      <c r="A29" s="53"/>
      <c r="B29" s="54"/>
      <c r="C29" s="55"/>
      <c r="D29" s="67"/>
      <c r="E29" s="57"/>
      <c r="F29" s="54"/>
      <c r="G29" s="56"/>
      <c r="H29" s="83">
        <f t="shared" si="11"/>
        <v>0</v>
      </c>
      <c r="I29" s="27"/>
      <c r="J29" s="95" t="s">
        <v>66</v>
      </c>
      <c r="K29" s="80"/>
      <c r="L29" s="81" t="s">
        <v>84</v>
      </c>
      <c r="M29" s="82"/>
      <c r="N29" s="80"/>
      <c r="O29" s="81" t="s">
        <v>85</v>
      </c>
      <c r="P29" s="82"/>
      <c r="Q29" s="21"/>
      <c r="R29" s="138"/>
      <c r="S29" s="139"/>
      <c r="T29" s="55"/>
      <c r="U29" s="49"/>
      <c r="V29" s="140"/>
      <c r="W29" s="39"/>
      <c r="X29" s="141"/>
      <c r="Y29" s="142"/>
      <c r="Z29" s="21"/>
      <c r="AA29" s="21"/>
      <c r="AB29" s="21"/>
    </row>
    <row r="30" ht="20.25" customHeight="1">
      <c r="A30" s="53"/>
      <c r="B30" s="54"/>
      <c r="C30" s="55"/>
      <c r="D30" s="67"/>
      <c r="E30" s="57"/>
      <c r="F30" s="54"/>
      <c r="G30" s="56"/>
      <c r="H30" s="83">
        <f t="shared" si="11"/>
        <v>0</v>
      </c>
      <c r="I30" s="27"/>
      <c r="J30" s="96"/>
      <c r="K30" s="86" t="s">
        <v>65</v>
      </c>
      <c r="L30" s="86" t="s">
        <v>46</v>
      </c>
      <c r="M30" s="86" t="s">
        <v>69</v>
      </c>
      <c r="N30" s="86" t="s">
        <v>65</v>
      </c>
      <c r="O30" s="86" t="s">
        <v>46</v>
      </c>
      <c r="P30" s="86" t="s">
        <v>69</v>
      </c>
      <c r="Q30" s="21"/>
      <c r="R30" s="138"/>
      <c r="S30" s="143"/>
      <c r="T30" s="55"/>
      <c r="U30" s="49"/>
      <c r="V30" s="140"/>
      <c r="W30" s="39"/>
      <c r="X30" s="141"/>
      <c r="Y30" s="142"/>
      <c r="Z30" s="21"/>
      <c r="AA30" s="21"/>
      <c r="AB30" s="21"/>
    </row>
    <row r="31" ht="20.25" customHeight="1">
      <c r="A31" s="69"/>
      <c r="B31" s="70" t="s">
        <v>60</v>
      </c>
      <c r="C31" s="98"/>
      <c r="D31" s="72">
        <f>SUM(D19:D30)</f>
        <v>0</v>
      </c>
      <c r="E31" s="57"/>
      <c r="F31" s="70" t="s">
        <v>60</v>
      </c>
      <c r="G31" s="72">
        <f t="shared" ref="G31:H31" si="18">SUM(G19:G30)</f>
        <v>0</v>
      </c>
      <c r="H31" s="72">
        <f t="shared" si="18"/>
        <v>0</v>
      </c>
      <c r="I31" s="27"/>
      <c r="J31" s="54"/>
      <c r="K31" s="56"/>
      <c r="L31" s="88">
        <f t="shared" ref="L31:L37" si="19">sumifs($X:$X,$S:$S,$L$29,$U:$U,J31)</f>
        <v>0</v>
      </c>
      <c r="M31" s="88">
        <f t="shared" ref="M31:M38" si="20">K31-L31</f>
        <v>0</v>
      </c>
      <c r="N31" s="56"/>
      <c r="O31" s="88">
        <f t="shared" ref="O31:O37" si="21">sumifs($X:$X,$S:$S,$O$29,$U:$U,J31)</f>
        <v>0</v>
      </c>
      <c r="P31" s="88">
        <f t="shared" ref="P31:P38" si="22">N31-O31</f>
        <v>0</v>
      </c>
      <c r="Q31" s="21"/>
      <c r="R31" s="138"/>
      <c r="S31" s="143"/>
      <c r="T31" s="55"/>
      <c r="U31" s="49"/>
      <c r="V31" s="140"/>
      <c r="W31" s="39"/>
      <c r="X31" s="141"/>
      <c r="Y31" s="142"/>
      <c r="Z31" s="21"/>
      <c r="AA31" s="21"/>
      <c r="AB31" s="21"/>
    </row>
    <row r="32" ht="20.25" customHeight="1">
      <c r="A32" s="20"/>
      <c r="B32" s="24"/>
      <c r="C32" s="32"/>
      <c r="D32" s="32"/>
      <c r="E32" s="32"/>
      <c r="F32" s="32"/>
      <c r="G32" s="24"/>
      <c r="H32" s="24"/>
      <c r="I32" s="27"/>
      <c r="J32" s="54"/>
      <c r="K32" s="56"/>
      <c r="L32" s="88">
        <f t="shared" si="19"/>
        <v>0</v>
      </c>
      <c r="M32" s="88">
        <f t="shared" si="20"/>
        <v>0</v>
      </c>
      <c r="N32" s="56"/>
      <c r="O32" s="88">
        <f t="shared" si="21"/>
        <v>0</v>
      </c>
      <c r="P32" s="88">
        <f t="shared" si="22"/>
        <v>0</v>
      </c>
      <c r="Q32" s="21"/>
      <c r="R32" s="138"/>
      <c r="S32" s="143"/>
      <c r="T32" s="55"/>
      <c r="U32" s="49"/>
      <c r="V32" s="140"/>
      <c r="W32" s="39"/>
      <c r="X32" s="141"/>
      <c r="Y32" s="142"/>
      <c r="Z32" s="21"/>
      <c r="AA32" s="21"/>
      <c r="AB32" s="21"/>
    </row>
    <row r="33" ht="20.25" customHeight="1">
      <c r="A33" s="28"/>
      <c r="B33" s="99" t="s">
        <v>86</v>
      </c>
      <c r="C33" s="30"/>
      <c r="D33" s="31"/>
      <c r="E33" s="32"/>
      <c r="F33" s="29" t="s">
        <v>87</v>
      </c>
      <c r="G33" s="31"/>
      <c r="H33" s="100" t="s">
        <v>46</v>
      </c>
      <c r="I33" s="101"/>
      <c r="J33" s="54"/>
      <c r="K33" s="56"/>
      <c r="L33" s="88">
        <f t="shared" si="19"/>
        <v>0</v>
      </c>
      <c r="M33" s="88">
        <f t="shared" si="20"/>
        <v>0</v>
      </c>
      <c r="N33" s="56"/>
      <c r="O33" s="88">
        <f t="shared" si="21"/>
        <v>0</v>
      </c>
      <c r="P33" s="88">
        <f t="shared" si="22"/>
        <v>0</v>
      </c>
      <c r="Q33" s="21"/>
      <c r="R33" s="138"/>
      <c r="S33" s="143"/>
      <c r="T33" s="55"/>
      <c r="U33" s="49"/>
      <c r="V33" s="140"/>
      <c r="W33" s="39"/>
      <c r="X33" s="141"/>
      <c r="Y33" s="142"/>
      <c r="Z33" s="21"/>
      <c r="AA33" s="21"/>
      <c r="AB33" s="21"/>
    </row>
    <row r="34" ht="20.25" customHeight="1">
      <c r="A34" s="40"/>
      <c r="B34" s="41" t="s">
        <v>44</v>
      </c>
      <c r="C34" s="41" t="s">
        <v>43</v>
      </c>
      <c r="D34" s="41" t="s">
        <v>46</v>
      </c>
      <c r="E34" s="57"/>
      <c r="F34" s="102" t="s">
        <v>88</v>
      </c>
      <c r="G34" s="31"/>
      <c r="H34" s="103">
        <f>D14</f>
        <v>0</v>
      </c>
      <c r="I34" s="104"/>
      <c r="J34" s="54"/>
      <c r="K34" s="56"/>
      <c r="L34" s="88">
        <f t="shared" si="19"/>
        <v>0</v>
      </c>
      <c r="M34" s="88">
        <f t="shared" si="20"/>
        <v>0</v>
      </c>
      <c r="N34" s="56"/>
      <c r="O34" s="88">
        <f t="shared" si="21"/>
        <v>0</v>
      </c>
      <c r="P34" s="88">
        <f t="shared" si="22"/>
        <v>0</v>
      </c>
      <c r="Q34" s="21"/>
      <c r="R34" s="138"/>
      <c r="S34" s="143"/>
      <c r="T34" s="55"/>
      <c r="U34" s="49"/>
      <c r="V34" s="140"/>
      <c r="W34" s="39"/>
      <c r="X34" s="141"/>
      <c r="Y34" s="142"/>
      <c r="Z34" s="21"/>
      <c r="AA34" s="21"/>
      <c r="AB34" s="21"/>
    </row>
    <row r="35" ht="20.25" customHeight="1">
      <c r="A35" s="19"/>
      <c r="B35" s="54"/>
      <c r="C35" s="55"/>
      <c r="D35" s="56"/>
      <c r="E35" s="57"/>
      <c r="F35" s="102" t="s">
        <v>90</v>
      </c>
      <c r="G35" s="31"/>
      <c r="H35" s="103">
        <f>H14</f>
        <v>0</v>
      </c>
      <c r="I35" s="104"/>
      <c r="J35" s="54"/>
      <c r="K35" s="56"/>
      <c r="L35" s="88">
        <f t="shared" si="19"/>
        <v>0</v>
      </c>
      <c r="M35" s="88">
        <f t="shared" si="20"/>
        <v>0</v>
      </c>
      <c r="N35" s="56"/>
      <c r="O35" s="88">
        <f t="shared" si="21"/>
        <v>0</v>
      </c>
      <c r="P35" s="88">
        <f t="shared" si="22"/>
        <v>0</v>
      </c>
      <c r="Q35" s="21"/>
      <c r="R35" s="138"/>
      <c r="S35" s="143"/>
      <c r="T35" s="55"/>
      <c r="U35" s="49"/>
      <c r="V35" s="140"/>
      <c r="W35" s="39"/>
      <c r="X35" s="141"/>
      <c r="Y35" s="142"/>
      <c r="Z35" s="21"/>
      <c r="AA35" s="21"/>
      <c r="AB35" s="21"/>
    </row>
    <row r="36" ht="20.25" customHeight="1">
      <c r="A36" s="19"/>
      <c r="B36" s="54"/>
      <c r="C36" s="55"/>
      <c r="D36" s="59"/>
      <c r="E36" s="57"/>
      <c r="F36" s="102" t="s">
        <v>91</v>
      </c>
      <c r="G36" s="31"/>
      <c r="H36" s="103">
        <f>D31+H31</f>
        <v>0</v>
      </c>
      <c r="I36" s="105"/>
      <c r="J36" s="54"/>
      <c r="K36" s="56"/>
      <c r="L36" s="88">
        <f t="shared" si="19"/>
        <v>0</v>
      </c>
      <c r="M36" s="88">
        <f t="shared" si="20"/>
        <v>0</v>
      </c>
      <c r="N36" s="56"/>
      <c r="O36" s="88">
        <f t="shared" si="21"/>
        <v>0</v>
      </c>
      <c r="P36" s="88">
        <f t="shared" si="22"/>
        <v>0</v>
      </c>
      <c r="Q36" s="21"/>
      <c r="R36" s="138"/>
      <c r="S36" s="143"/>
      <c r="T36" s="55"/>
      <c r="U36" s="49"/>
      <c r="V36" s="140"/>
      <c r="W36" s="39"/>
      <c r="X36" s="141"/>
      <c r="Y36" s="142"/>
      <c r="Z36" s="21"/>
      <c r="AA36" s="21"/>
      <c r="AB36" s="21"/>
    </row>
    <row r="37" ht="20.25" customHeight="1">
      <c r="A37" s="19"/>
      <c r="B37" s="54"/>
      <c r="C37" s="55"/>
      <c r="D37" s="59"/>
      <c r="E37" s="57"/>
      <c r="F37" s="102" t="s">
        <v>92</v>
      </c>
      <c r="G37" s="31"/>
      <c r="H37" s="103">
        <f>H34-H35-H36</f>
        <v>0</v>
      </c>
      <c r="I37" s="104"/>
      <c r="J37" s="54"/>
      <c r="K37" s="56"/>
      <c r="L37" s="88">
        <f t="shared" si="19"/>
        <v>0</v>
      </c>
      <c r="M37" s="88">
        <f t="shared" si="20"/>
        <v>0</v>
      </c>
      <c r="N37" s="56"/>
      <c r="O37" s="88">
        <f t="shared" si="21"/>
        <v>0</v>
      </c>
      <c r="P37" s="88">
        <f t="shared" si="22"/>
        <v>0</v>
      </c>
      <c r="Q37" s="21"/>
      <c r="R37" s="138"/>
      <c r="S37" s="143"/>
      <c r="T37" s="55"/>
      <c r="U37" s="49"/>
      <c r="V37" s="140"/>
      <c r="W37" s="39"/>
      <c r="X37" s="141"/>
      <c r="Y37" s="142"/>
      <c r="Z37" s="21"/>
      <c r="AA37" s="21"/>
      <c r="AB37" s="21"/>
    </row>
    <row r="38" ht="20.25" customHeight="1">
      <c r="A38" s="106"/>
      <c r="B38" s="54"/>
      <c r="C38" s="55"/>
      <c r="D38" s="59"/>
      <c r="E38" s="57"/>
      <c r="F38" s="102" t="s">
        <v>93</v>
      </c>
      <c r="G38" s="31"/>
      <c r="H38" s="103">
        <f>H35+H37</f>
        <v>0</v>
      </c>
      <c r="I38" s="107"/>
      <c r="J38" s="89" t="s">
        <v>83</v>
      </c>
      <c r="K38" s="88">
        <f t="shared" ref="K38:L38" si="23">SUM(K31:K37)</f>
        <v>0</v>
      </c>
      <c r="L38" s="88">
        <f t="shared" si="23"/>
        <v>0</v>
      </c>
      <c r="M38" s="88">
        <f t="shared" si="20"/>
        <v>0</v>
      </c>
      <c r="N38" s="88">
        <f t="shared" ref="N38:O38" si="24">SUM(N31:N37)</f>
        <v>0</v>
      </c>
      <c r="O38" s="88">
        <f t="shared" si="24"/>
        <v>0</v>
      </c>
      <c r="P38" s="88">
        <f t="shared" si="22"/>
        <v>0</v>
      </c>
      <c r="Q38" s="21"/>
      <c r="R38" s="138"/>
      <c r="S38" s="143"/>
      <c r="T38" s="55"/>
      <c r="U38" s="49"/>
      <c r="V38" s="140"/>
      <c r="W38" s="39"/>
      <c r="X38" s="141"/>
      <c r="Y38" s="142"/>
      <c r="Z38" s="21"/>
      <c r="AA38" s="21"/>
      <c r="AB38" s="21"/>
    </row>
    <row r="39" ht="20.25" customHeight="1">
      <c r="A39" s="106"/>
      <c r="B39" s="54"/>
      <c r="C39" s="55"/>
      <c r="D39" s="66"/>
      <c r="E39" s="32"/>
      <c r="F39" s="32"/>
      <c r="G39" s="108"/>
      <c r="H39" s="108"/>
      <c r="I39" s="27"/>
      <c r="J39" s="90"/>
      <c r="K39" s="57"/>
      <c r="L39" s="92"/>
      <c r="M39" s="92"/>
      <c r="N39" s="92"/>
      <c r="O39" s="93"/>
      <c r="P39" s="94"/>
      <c r="Q39" s="21"/>
      <c r="R39" s="138"/>
      <c r="S39" s="143"/>
      <c r="T39" s="55"/>
      <c r="U39" s="49"/>
      <c r="V39" s="140"/>
      <c r="W39" s="39"/>
      <c r="X39" s="141"/>
      <c r="Y39" s="142"/>
      <c r="Z39" s="21"/>
      <c r="AA39" s="21"/>
      <c r="AB39" s="21"/>
    </row>
    <row r="40" ht="20.25" customHeight="1">
      <c r="A40" s="69"/>
      <c r="B40" s="109"/>
      <c r="C40" s="55"/>
      <c r="D40" s="110"/>
      <c r="E40" s="32"/>
      <c r="F40" s="111" t="s">
        <v>107</v>
      </c>
      <c r="G40" s="112" t="s">
        <v>108</v>
      </c>
      <c r="H40" s="113"/>
      <c r="I40" s="27"/>
      <c r="J40" s="95" t="s">
        <v>66</v>
      </c>
      <c r="K40" s="80"/>
      <c r="L40" s="81" t="s">
        <v>96</v>
      </c>
      <c r="M40" s="82"/>
      <c r="N40" s="80"/>
      <c r="O40" s="81" t="s">
        <v>83</v>
      </c>
      <c r="P40" s="82"/>
      <c r="Q40" s="21"/>
      <c r="R40" s="138"/>
      <c r="S40" s="143"/>
      <c r="T40" s="55"/>
      <c r="U40" s="49"/>
      <c r="V40" s="140"/>
      <c r="W40" s="39"/>
      <c r="X40" s="141"/>
      <c r="Y40" s="142"/>
      <c r="Z40" s="21"/>
      <c r="AA40" s="21"/>
      <c r="AB40" s="21"/>
    </row>
    <row r="41" ht="20.25" customHeight="1">
      <c r="B41" s="114"/>
      <c r="C41" s="55"/>
      <c r="D41" s="110"/>
      <c r="E41" s="32"/>
      <c r="F41" s="115" t="str">
        <f>H36/H34</f>
        <v>#DIV/0!</v>
      </c>
      <c r="G41" s="116" t="str">
        <f>H38/H34</f>
        <v>#DIV/0!</v>
      </c>
      <c r="H41" s="117"/>
      <c r="I41" s="27"/>
      <c r="J41" s="96"/>
      <c r="K41" s="86" t="s">
        <v>65</v>
      </c>
      <c r="L41" s="86" t="s">
        <v>46</v>
      </c>
      <c r="M41" s="86" t="s">
        <v>69</v>
      </c>
      <c r="N41" s="86" t="s">
        <v>65</v>
      </c>
      <c r="O41" s="86" t="s">
        <v>46</v>
      </c>
      <c r="P41" s="86" t="s">
        <v>69</v>
      </c>
      <c r="Q41" s="21"/>
      <c r="R41" s="138"/>
      <c r="S41" s="143"/>
      <c r="T41" s="55"/>
      <c r="U41" s="49"/>
      <c r="V41" s="140"/>
      <c r="W41" s="39"/>
      <c r="X41" s="141"/>
      <c r="Y41" s="142"/>
      <c r="Z41" s="21"/>
      <c r="AA41" s="21"/>
      <c r="AB41" s="21"/>
    </row>
    <row r="42" ht="20.25" customHeight="1">
      <c r="B42" s="118" t="s">
        <v>60</v>
      </c>
      <c r="C42" s="119"/>
      <c r="D42" s="119">
        <f>SUM(D35:D41)</f>
        <v>0</v>
      </c>
      <c r="E42" s="32"/>
      <c r="F42" s="120"/>
      <c r="G42" s="121"/>
      <c r="H42" s="122"/>
      <c r="I42" s="27"/>
      <c r="J42" s="54"/>
      <c r="K42" s="56"/>
      <c r="L42" s="88">
        <f t="shared" ref="L42:L48" si="26">sumifs($X:$X,$S:$S,$L$40,$U:$U,J42)</f>
        <v>0</v>
      </c>
      <c r="M42" s="88">
        <f t="shared" ref="M42:M49" si="27">K42-L42</f>
        <v>0</v>
      </c>
      <c r="N42" s="83">
        <f t="shared" ref="N42:O42" si="25">K20+N20+K31+N31+K42</f>
        <v>0</v>
      </c>
      <c r="O42" s="83">
        <f t="shared" si="25"/>
        <v>0</v>
      </c>
      <c r="P42" s="88">
        <f t="shared" ref="P42:P49" si="29">N42-O42</f>
        <v>0</v>
      </c>
      <c r="Q42" s="21"/>
      <c r="R42" s="138"/>
      <c r="S42" s="143"/>
      <c r="T42" s="55"/>
      <c r="U42" s="49"/>
      <c r="V42" s="140"/>
      <c r="W42" s="39"/>
      <c r="X42" s="141"/>
      <c r="Y42" s="142"/>
      <c r="Z42" s="21"/>
      <c r="AA42" s="21"/>
      <c r="AB42" s="21"/>
    </row>
    <row r="43" ht="20.25" customHeight="1">
      <c r="A43" s="69"/>
      <c r="B43" s="123"/>
      <c r="C43" s="124"/>
      <c r="D43" s="124" t="s">
        <v>97</v>
      </c>
      <c r="E43" s="25"/>
      <c r="F43" s="125" t="s">
        <v>98</v>
      </c>
      <c r="G43" s="125"/>
      <c r="H43" s="125" t="s">
        <v>99</v>
      </c>
      <c r="I43" s="27"/>
      <c r="J43" s="54"/>
      <c r="K43" s="56"/>
      <c r="L43" s="88">
        <f t="shared" si="26"/>
        <v>0</v>
      </c>
      <c r="M43" s="88">
        <f t="shared" si="27"/>
        <v>0</v>
      </c>
      <c r="N43" s="83">
        <f t="shared" ref="N43:O43" si="28">K21+N21+K32+N32+K43</f>
        <v>0</v>
      </c>
      <c r="O43" s="83">
        <f t="shared" si="28"/>
        <v>0</v>
      </c>
      <c r="P43" s="88">
        <f t="shared" si="29"/>
        <v>0</v>
      </c>
      <c r="Q43" s="21"/>
      <c r="R43" s="138"/>
      <c r="S43" s="143"/>
      <c r="T43" s="55"/>
      <c r="U43" s="49"/>
      <c r="V43" s="140"/>
      <c r="W43" s="39"/>
      <c r="X43" s="141"/>
      <c r="Y43" s="142"/>
      <c r="Z43" s="21"/>
      <c r="AA43" s="21"/>
      <c r="AB43" s="21"/>
    </row>
    <row r="44" ht="20.25" customHeight="1">
      <c r="A44" s="69"/>
      <c r="B44" s="112" t="s">
        <v>100</v>
      </c>
      <c r="C44" s="126"/>
      <c r="D44" s="126"/>
      <c r="E44" s="126"/>
      <c r="F44" s="126"/>
      <c r="G44" s="126"/>
      <c r="H44" s="113"/>
      <c r="I44" s="27"/>
      <c r="J44" s="54"/>
      <c r="K44" s="56"/>
      <c r="L44" s="88">
        <f t="shared" si="26"/>
        <v>0</v>
      </c>
      <c r="M44" s="88">
        <f t="shared" si="27"/>
        <v>0</v>
      </c>
      <c r="N44" s="83">
        <f t="shared" ref="N44:O44" si="30">K22+N22+K33+N33+K44</f>
        <v>0</v>
      </c>
      <c r="O44" s="83">
        <f t="shared" si="30"/>
        <v>0</v>
      </c>
      <c r="P44" s="88">
        <f t="shared" si="29"/>
        <v>0</v>
      </c>
      <c r="Q44" s="21"/>
      <c r="R44" s="138"/>
      <c r="S44" s="143"/>
      <c r="T44" s="55"/>
      <c r="U44" s="49"/>
      <c r="V44" s="140"/>
      <c r="W44" s="39"/>
      <c r="X44" s="141"/>
      <c r="Y44" s="142"/>
      <c r="Z44" s="21"/>
      <c r="AA44" s="21"/>
      <c r="AB44" s="21"/>
    </row>
    <row r="45" ht="20.25" customHeight="1">
      <c r="A45" s="20"/>
      <c r="B45" s="127"/>
      <c r="C45" s="128"/>
      <c r="D45" s="128"/>
      <c r="E45" s="128"/>
      <c r="F45" s="128"/>
      <c r="G45" s="128"/>
      <c r="H45" s="117"/>
      <c r="I45" s="27"/>
      <c r="J45" s="54"/>
      <c r="K45" s="56"/>
      <c r="L45" s="88">
        <f t="shared" si="26"/>
        <v>0</v>
      </c>
      <c r="M45" s="88">
        <f t="shared" si="27"/>
        <v>0</v>
      </c>
      <c r="N45" s="83">
        <f t="shared" ref="N45:O45" si="31">K23+N23+K34+N34+K45</f>
        <v>0</v>
      </c>
      <c r="O45" s="83">
        <f t="shared" si="31"/>
        <v>0</v>
      </c>
      <c r="P45" s="88">
        <f t="shared" si="29"/>
        <v>0</v>
      </c>
      <c r="Q45" s="21"/>
      <c r="R45" s="138"/>
      <c r="S45" s="143"/>
      <c r="T45" s="55"/>
      <c r="U45" s="49"/>
      <c r="V45" s="140"/>
      <c r="W45" s="39"/>
      <c r="X45" s="141"/>
      <c r="Y45" s="142"/>
      <c r="Z45" s="21"/>
      <c r="AA45" s="21"/>
      <c r="AB45" s="21"/>
    </row>
    <row r="46" ht="20.25" customHeight="1">
      <c r="A46" s="20"/>
      <c r="B46" s="129"/>
      <c r="H46" s="130"/>
      <c r="I46" s="27"/>
      <c r="J46" s="54"/>
      <c r="K46" s="56"/>
      <c r="L46" s="88">
        <f t="shared" si="26"/>
        <v>0</v>
      </c>
      <c r="M46" s="88">
        <f t="shared" si="27"/>
        <v>0</v>
      </c>
      <c r="N46" s="83">
        <f t="shared" ref="N46:O46" si="32">K24+N24+K35+N35+K46</f>
        <v>0</v>
      </c>
      <c r="O46" s="83">
        <f t="shared" si="32"/>
        <v>0</v>
      </c>
      <c r="P46" s="88">
        <f t="shared" si="29"/>
        <v>0</v>
      </c>
      <c r="Q46" s="21"/>
      <c r="R46" s="138"/>
      <c r="S46" s="143"/>
      <c r="T46" s="55"/>
      <c r="U46" s="49"/>
      <c r="V46" s="140"/>
      <c r="W46" s="39"/>
      <c r="X46" s="141"/>
      <c r="Y46" s="142"/>
      <c r="Z46" s="21"/>
      <c r="AA46" s="21"/>
      <c r="AB46" s="21"/>
    </row>
    <row r="47" ht="20.25" customHeight="1">
      <c r="A47" s="20"/>
      <c r="B47" s="129"/>
      <c r="H47" s="130"/>
      <c r="I47" s="27"/>
      <c r="J47" s="54"/>
      <c r="K47" s="56"/>
      <c r="L47" s="88">
        <f t="shared" si="26"/>
        <v>0</v>
      </c>
      <c r="M47" s="88">
        <f t="shared" si="27"/>
        <v>0</v>
      </c>
      <c r="N47" s="83">
        <f t="shared" ref="N47:O47" si="33">K25+N25+K36+N36+K47</f>
        <v>0</v>
      </c>
      <c r="O47" s="83">
        <f t="shared" si="33"/>
        <v>0</v>
      </c>
      <c r="P47" s="88">
        <f t="shared" si="29"/>
        <v>0</v>
      </c>
      <c r="Q47" s="21"/>
      <c r="R47" s="138"/>
      <c r="S47" s="143"/>
      <c r="T47" s="55"/>
      <c r="U47" s="49"/>
      <c r="V47" s="140"/>
      <c r="W47" s="39"/>
      <c r="X47" s="141"/>
      <c r="Y47" s="142"/>
      <c r="Z47" s="21"/>
      <c r="AA47" s="21"/>
      <c r="AB47" s="21"/>
    </row>
    <row r="48" ht="20.25" customHeight="1">
      <c r="A48" s="20"/>
      <c r="B48" s="129"/>
      <c r="H48" s="130"/>
      <c r="I48" s="27"/>
      <c r="J48" s="54"/>
      <c r="K48" s="56"/>
      <c r="L48" s="88">
        <f t="shared" si="26"/>
        <v>0</v>
      </c>
      <c r="M48" s="88">
        <f t="shared" si="27"/>
        <v>0</v>
      </c>
      <c r="N48" s="83">
        <f t="shared" ref="N48:O48" si="34">K26+N26+K37+N37+K48</f>
        <v>0</v>
      </c>
      <c r="O48" s="83">
        <f t="shared" si="34"/>
        <v>0</v>
      </c>
      <c r="P48" s="88">
        <f t="shared" si="29"/>
        <v>0</v>
      </c>
      <c r="Q48" s="21"/>
      <c r="R48" s="138"/>
      <c r="S48" s="143"/>
      <c r="T48" s="55"/>
      <c r="U48" s="49"/>
      <c r="V48" s="140"/>
      <c r="W48" s="39"/>
      <c r="X48" s="141"/>
      <c r="Y48" s="142"/>
      <c r="Z48" s="21"/>
      <c r="AA48" s="21"/>
      <c r="AB48" s="21"/>
    </row>
    <row r="49" ht="20.25" customHeight="1">
      <c r="A49" s="20"/>
      <c r="B49" s="121"/>
      <c r="C49" s="131"/>
      <c r="D49" s="131"/>
      <c r="E49" s="131"/>
      <c r="F49" s="131"/>
      <c r="G49" s="131"/>
      <c r="H49" s="122"/>
      <c r="I49" s="27"/>
      <c r="J49" s="89" t="s">
        <v>83</v>
      </c>
      <c r="K49" s="88">
        <f t="shared" ref="K49:L49" si="35">SUM(K42:K48)</f>
        <v>0</v>
      </c>
      <c r="L49" s="88">
        <f t="shared" si="35"/>
        <v>0</v>
      </c>
      <c r="M49" s="88">
        <f t="shared" si="27"/>
        <v>0</v>
      </c>
      <c r="N49" s="88">
        <f t="shared" ref="N49:O49" si="36">SUM(N42:N48)</f>
        <v>0</v>
      </c>
      <c r="O49" s="88">
        <f t="shared" si="36"/>
        <v>0</v>
      </c>
      <c r="P49" s="88">
        <f t="shared" si="29"/>
        <v>0</v>
      </c>
      <c r="Q49" s="21"/>
      <c r="R49" s="138"/>
      <c r="S49" s="143"/>
      <c r="T49" s="55"/>
      <c r="U49" s="49"/>
      <c r="V49" s="140"/>
      <c r="W49" s="39"/>
      <c r="X49" s="141"/>
      <c r="Y49" s="142"/>
      <c r="Z49" s="21"/>
      <c r="AA49" s="21"/>
      <c r="AB49" s="21"/>
    </row>
    <row r="50" ht="6.75" customHeight="1">
      <c r="A50" s="20"/>
      <c r="E50" s="25"/>
      <c r="F50" s="132"/>
      <c r="G50" s="125"/>
      <c r="H50" s="125"/>
      <c r="I50" s="27"/>
      <c r="J50" s="133"/>
      <c r="K50" s="19"/>
      <c r="L50" s="78"/>
      <c r="M50" s="78"/>
      <c r="N50" s="78"/>
      <c r="O50" s="134"/>
      <c r="P50" s="94"/>
      <c r="Q50" s="21"/>
      <c r="R50" s="135"/>
      <c r="S50" s="135"/>
      <c r="T50" s="135"/>
      <c r="U50" s="137"/>
      <c r="V50" s="135"/>
      <c r="W50" s="135"/>
      <c r="X50" s="135"/>
      <c r="Y50" s="135"/>
      <c r="Z50" s="21"/>
      <c r="AA50" s="21"/>
      <c r="AB50" s="21"/>
    </row>
    <row r="51" hidden="1">
      <c r="F51" s="19"/>
      <c r="G51" s="106"/>
      <c r="H51" s="10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</row>
  </sheetData>
  <mergeCells count="67">
    <mergeCell ref="V32:W32"/>
    <mergeCell ref="V37:W37"/>
    <mergeCell ref="G40:H40"/>
    <mergeCell ref="J40:J41"/>
    <mergeCell ref="F41:F42"/>
    <mergeCell ref="G41:H42"/>
    <mergeCell ref="B44:H44"/>
    <mergeCell ref="B45:H49"/>
    <mergeCell ref="B33:D33"/>
    <mergeCell ref="F33:G33"/>
    <mergeCell ref="F34:G34"/>
    <mergeCell ref="F35:G35"/>
    <mergeCell ref="F36:G36"/>
    <mergeCell ref="F37:G37"/>
    <mergeCell ref="F38:G38"/>
    <mergeCell ref="V44:W44"/>
    <mergeCell ref="V45:W45"/>
    <mergeCell ref="V46:W46"/>
    <mergeCell ref="V47:W47"/>
    <mergeCell ref="V48:W48"/>
    <mergeCell ref="V49:W49"/>
    <mergeCell ref="V31:W31"/>
    <mergeCell ref="V38:W38"/>
    <mergeCell ref="V39:W39"/>
    <mergeCell ref="V40:W40"/>
    <mergeCell ref="V41:W41"/>
    <mergeCell ref="V42:W42"/>
    <mergeCell ref="V43:W43"/>
    <mergeCell ref="R2:Y2"/>
    <mergeCell ref="B4:D4"/>
    <mergeCell ref="F4:H4"/>
    <mergeCell ref="V4:W4"/>
    <mergeCell ref="V5:W5"/>
    <mergeCell ref="V6:W6"/>
    <mergeCell ref="V7:W7"/>
    <mergeCell ref="V15:W15"/>
    <mergeCell ref="B16:D16"/>
    <mergeCell ref="F16:H16"/>
    <mergeCell ref="J16:P16"/>
    <mergeCell ref="V16:W16"/>
    <mergeCell ref="J18:J19"/>
    <mergeCell ref="V18:W18"/>
    <mergeCell ref="V19:W19"/>
    <mergeCell ref="V8:W8"/>
    <mergeCell ref="V9:W9"/>
    <mergeCell ref="V10:W10"/>
    <mergeCell ref="V11:W11"/>
    <mergeCell ref="V12:W12"/>
    <mergeCell ref="V13:W13"/>
    <mergeCell ref="V14:W14"/>
    <mergeCell ref="V26:W26"/>
    <mergeCell ref="V27:W27"/>
    <mergeCell ref="V28:W28"/>
    <mergeCell ref="J29:J30"/>
    <mergeCell ref="V29:W29"/>
    <mergeCell ref="V30:W30"/>
    <mergeCell ref="V17:W17"/>
    <mergeCell ref="V20:W20"/>
    <mergeCell ref="V21:W21"/>
    <mergeCell ref="V22:W22"/>
    <mergeCell ref="V23:W23"/>
    <mergeCell ref="V24:W24"/>
    <mergeCell ref="V25:W25"/>
    <mergeCell ref="V34:W34"/>
    <mergeCell ref="V35:W35"/>
    <mergeCell ref="V33:W33"/>
    <mergeCell ref="V36:W36"/>
  </mergeCells>
  <conditionalFormatting sqref="J5:P5 J7:P7 J9:P9 J11:P11 J13:P13">
    <cfRule type="expression" dxfId="4" priority="1">
      <formula>MONTH(J5)&lt;&gt;$B$1</formula>
    </cfRule>
  </conditionalFormatting>
  <dataValidations>
    <dataValidation type="list" allowBlank="1" sqref="B6:B13">
      <formula1>list!$A$2:$A51</formula1>
    </dataValidation>
    <dataValidation type="list" allowBlank="1" sqref="F6:F13">
      <formula1>list!$B$2:$B51</formula1>
    </dataValidation>
    <dataValidation type="list" allowBlank="1" sqref="J20:J26 B19:B30 F19:F30 J31:J37 J42:J48">
      <formula1>list!$C$2:$C51</formula1>
    </dataValidation>
    <dataValidation type="list" allowBlank="1" sqref="C6:C13 G6:G13 C19:C30 C35:C41 T5:T49">
      <formula1>list!$F$2:$F51</formula1>
    </dataValidation>
    <dataValidation type="list" allowBlank="1" sqref="U5:U49">
      <formula1>list!$C$2:$C51</formula1>
    </dataValidation>
    <dataValidation type="list" allowBlank="1" sqref="B35:B41">
      <formula1>list!$D$2:$D51</formula1>
    </dataValidation>
    <dataValidation type="list" allowBlank="1" showErrorMessage="1" sqref="S5:S49">
      <formula1>"1week,2week,3week,4week,5week"</formula1>
    </dataValidation>
    <dataValidation type="custom" allowBlank="1" showDropDown="1" showErrorMessage="1" sqref="J28 J39 R5:R49 J50 R50:Y50">
      <formula1>OR(NOT(ISERROR(DATEVALUE(J5))), AND(ISNUMBER(J5), LEFT(CELL("format", J5))="D"))</formula1>
    </dataValidation>
    <dataValidation type="list" allowBlank="1" showErrorMessage="1" sqref="Y5:Y49">
      <formula1>"〇,△,✕"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8CC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.0"/>
    <col customWidth="1" min="2" max="2" width="18.0"/>
    <col customWidth="1" min="3" max="4" width="11.63"/>
    <col customWidth="1" min="5" max="5" width="2.0"/>
    <col customWidth="1" min="6" max="6" width="18.0"/>
    <col customWidth="1" min="7" max="8" width="11.63"/>
    <col customWidth="1" min="9" max="9" width="2.63"/>
    <col customWidth="1" min="10" max="16" width="13.88"/>
    <col customWidth="1" min="17" max="17" width="2.63"/>
    <col customWidth="1" min="18" max="25" width="12.75"/>
    <col customWidth="1" min="26" max="26" width="2.0"/>
    <col customWidth="1" hidden="1" min="27" max="28" width="11.0"/>
  </cols>
  <sheetData>
    <row r="1" ht="42.0" customHeight="1">
      <c r="A1" s="10"/>
      <c r="B1" s="11">
        <v>6.0</v>
      </c>
      <c r="C1" s="12"/>
      <c r="D1" s="12" t="s">
        <v>29</v>
      </c>
      <c r="E1" s="13"/>
      <c r="F1" s="12"/>
      <c r="G1" s="14"/>
      <c r="H1" s="14"/>
      <c r="I1" s="15"/>
      <c r="J1" s="12" t="s">
        <v>30</v>
      </c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6"/>
      <c r="AB1" s="16"/>
    </row>
    <row r="2" ht="21.75" customHeight="1">
      <c r="A2" s="17"/>
      <c r="B2" s="18">
        <v>2025.0</v>
      </c>
      <c r="C2" s="19"/>
      <c r="D2" s="19"/>
      <c r="G2" s="20"/>
      <c r="H2" s="20"/>
      <c r="I2" s="21"/>
      <c r="J2" s="22">
        <f>DATE(B2,B1,1)</f>
        <v>45809</v>
      </c>
      <c r="K2" s="21"/>
      <c r="L2" s="21"/>
      <c r="M2" s="21"/>
      <c r="N2" s="21"/>
      <c r="O2" s="21"/>
      <c r="P2" s="21"/>
      <c r="Q2" s="21"/>
      <c r="R2" s="23" t="s">
        <v>31</v>
      </c>
      <c r="Z2" s="21"/>
      <c r="AA2" s="21"/>
      <c r="AB2" s="21"/>
    </row>
    <row r="3" ht="7.5" customHeight="1">
      <c r="A3" s="20"/>
      <c r="B3" s="24"/>
      <c r="C3" s="25"/>
      <c r="D3" s="25"/>
      <c r="E3" s="25"/>
      <c r="F3" s="26"/>
      <c r="G3" s="26"/>
      <c r="H3" s="26"/>
      <c r="I3" s="27"/>
      <c r="J3" s="25"/>
      <c r="K3" s="25"/>
      <c r="L3" s="25"/>
      <c r="M3" s="27"/>
      <c r="N3" s="27"/>
      <c r="O3" s="27"/>
      <c r="P3" s="27"/>
      <c r="Q3" s="21"/>
      <c r="Z3" s="21"/>
      <c r="AA3" s="21"/>
      <c r="AB3" s="21"/>
    </row>
    <row r="4" ht="20.25" customHeight="1">
      <c r="A4" s="28"/>
      <c r="B4" s="29" t="s">
        <v>32</v>
      </c>
      <c r="C4" s="30"/>
      <c r="D4" s="31"/>
      <c r="E4" s="32"/>
      <c r="F4" s="29" t="s">
        <v>33</v>
      </c>
      <c r="G4" s="30"/>
      <c r="H4" s="31"/>
      <c r="I4" s="27"/>
      <c r="J4" s="33" t="s">
        <v>34</v>
      </c>
      <c r="K4" s="33" t="s">
        <v>35</v>
      </c>
      <c r="L4" s="33" t="s">
        <v>36</v>
      </c>
      <c r="M4" s="33" t="s">
        <v>37</v>
      </c>
      <c r="N4" s="33" t="s">
        <v>38</v>
      </c>
      <c r="O4" s="34" t="s">
        <v>39</v>
      </c>
      <c r="P4" s="35" t="s">
        <v>40</v>
      </c>
      <c r="Q4" s="21"/>
      <c r="R4" s="36" t="s">
        <v>41</v>
      </c>
      <c r="S4" s="37" t="s">
        <v>42</v>
      </c>
      <c r="T4" s="37" t="s">
        <v>43</v>
      </c>
      <c r="U4" s="37" t="s">
        <v>44</v>
      </c>
      <c r="V4" s="38" t="s">
        <v>45</v>
      </c>
      <c r="W4" s="39"/>
      <c r="X4" s="37" t="s">
        <v>46</v>
      </c>
      <c r="Y4" s="37" t="s">
        <v>47</v>
      </c>
      <c r="Z4" s="21"/>
      <c r="AA4" s="21"/>
      <c r="AB4" s="21"/>
    </row>
    <row r="5" ht="20.25" customHeight="1">
      <c r="A5" s="40"/>
      <c r="B5" s="41" t="s">
        <v>44</v>
      </c>
      <c r="C5" s="42" t="s">
        <v>48</v>
      </c>
      <c r="D5" s="41" t="s">
        <v>46</v>
      </c>
      <c r="E5" s="32"/>
      <c r="F5" s="41" t="s">
        <v>44</v>
      </c>
      <c r="G5" s="41" t="s">
        <v>43</v>
      </c>
      <c r="H5" s="41" t="s">
        <v>46</v>
      </c>
      <c r="I5" s="27"/>
      <c r="J5" s="43">
        <f>$J$2-weekday($J$2)+2</f>
        <v>45810</v>
      </c>
      <c r="K5" s="43">
        <f t="shared" ref="K5:P5" si="1">J5+1</f>
        <v>45811</v>
      </c>
      <c r="L5" s="43">
        <f t="shared" si="1"/>
        <v>45812</v>
      </c>
      <c r="M5" s="43">
        <f t="shared" si="1"/>
        <v>45813</v>
      </c>
      <c r="N5" s="43">
        <f t="shared" si="1"/>
        <v>45814</v>
      </c>
      <c r="O5" s="44">
        <f t="shared" si="1"/>
        <v>45815</v>
      </c>
      <c r="P5" s="45">
        <f t="shared" si="1"/>
        <v>45816</v>
      </c>
      <c r="Q5" s="21"/>
      <c r="R5" s="138">
        <v>45810.0</v>
      </c>
      <c r="S5" s="139"/>
      <c r="T5" s="55"/>
      <c r="U5" s="49"/>
      <c r="V5" s="140"/>
      <c r="W5" s="39"/>
      <c r="X5" s="141"/>
      <c r="Y5" s="142"/>
      <c r="Z5" s="21"/>
      <c r="AA5" s="21"/>
      <c r="AB5" s="21"/>
    </row>
    <row r="6" ht="20.25" customHeight="1">
      <c r="A6" s="53"/>
      <c r="B6" s="54"/>
      <c r="C6" s="55"/>
      <c r="D6" s="56"/>
      <c r="E6" s="57"/>
      <c r="F6" s="58"/>
      <c r="G6" s="55"/>
      <c r="H6" s="56"/>
      <c r="I6" s="27"/>
      <c r="J6" s="60">
        <f t="shared" ref="J6:P6" si="2">sumifs($X:$X,$R:$R,J5)</f>
        <v>0</v>
      </c>
      <c r="K6" s="60">
        <f t="shared" si="2"/>
        <v>0</v>
      </c>
      <c r="L6" s="60">
        <f t="shared" si="2"/>
        <v>0</v>
      </c>
      <c r="M6" s="60">
        <f t="shared" si="2"/>
        <v>0</v>
      </c>
      <c r="N6" s="60">
        <f t="shared" si="2"/>
        <v>0</v>
      </c>
      <c r="O6" s="60">
        <f t="shared" si="2"/>
        <v>0</v>
      </c>
      <c r="P6" s="60">
        <f t="shared" si="2"/>
        <v>0</v>
      </c>
      <c r="Q6" s="21"/>
      <c r="R6" s="138"/>
      <c r="S6" s="139"/>
      <c r="T6" s="55"/>
      <c r="U6" s="49"/>
      <c r="V6" s="140"/>
      <c r="W6" s="39"/>
      <c r="X6" s="141"/>
      <c r="Y6" s="142"/>
      <c r="Z6" s="21"/>
      <c r="AA6" s="21"/>
      <c r="AB6" s="21"/>
    </row>
    <row r="7" ht="20.25" customHeight="1">
      <c r="A7" s="53"/>
      <c r="B7" s="54"/>
      <c r="C7" s="55"/>
      <c r="D7" s="56"/>
      <c r="E7" s="57"/>
      <c r="F7" s="58"/>
      <c r="G7" s="55"/>
      <c r="H7" s="56"/>
      <c r="I7" s="27"/>
      <c r="J7" s="61">
        <f t="shared" ref="J7:P7" si="3">J5+7</f>
        <v>45817</v>
      </c>
      <c r="K7" s="61">
        <f t="shared" si="3"/>
        <v>45818</v>
      </c>
      <c r="L7" s="61">
        <f t="shared" si="3"/>
        <v>45819</v>
      </c>
      <c r="M7" s="61">
        <f t="shared" si="3"/>
        <v>45820</v>
      </c>
      <c r="N7" s="61">
        <f t="shared" si="3"/>
        <v>45821</v>
      </c>
      <c r="O7" s="62">
        <f t="shared" si="3"/>
        <v>45822</v>
      </c>
      <c r="P7" s="63">
        <f t="shared" si="3"/>
        <v>45823</v>
      </c>
      <c r="Q7" s="21"/>
      <c r="R7" s="138"/>
      <c r="S7" s="139"/>
      <c r="T7" s="55"/>
      <c r="U7" s="49"/>
      <c r="V7" s="140"/>
      <c r="W7" s="39"/>
      <c r="X7" s="141"/>
      <c r="Y7" s="142"/>
      <c r="Z7" s="21"/>
      <c r="AA7" s="21"/>
      <c r="AB7" s="21"/>
    </row>
    <row r="8" ht="20.25" customHeight="1">
      <c r="A8" s="53"/>
      <c r="B8" s="54"/>
      <c r="C8" s="55"/>
      <c r="D8" s="56"/>
      <c r="E8" s="57"/>
      <c r="F8" s="58"/>
      <c r="G8" s="55"/>
      <c r="H8" s="59"/>
      <c r="I8" s="27"/>
      <c r="J8" s="60">
        <f t="shared" ref="J8:P8" si="4">sumifs($X:$X,$R:$R,J7)</f>
        <v>0</v>
      </c>
      <c r="K8" s="60">
        <f t="shared" si="4"/>
        <v>0</v>
      </c>
      <c r="L8" s="60">
        <f t="shared" si="4"/>
        <v>0</v>
      </c>
      <c r="M8" s="60">
        <f t="shared" si="4"/>
        <v>0</v>
      </c>
      <c r="N8" s="60">
        <f t="shared" si="4"/>
        <v>0</v>
      </c>
      <c r="O8" s="60">
        <f t="shared" si="4"/>
        <v>0</v>
      </c>
      <c r="P8" s="60">
        <f t="shared" si="4"/>
        <v>0</v>
      </c>
      <c r="Q8" s="21"/>
      <c r="R8" s="138"/>
      <c r="S8" s="139"/>
      <c r="T8" s="55"/>
      <c r="U8" s="49"/>
      <c r="V8" s="140"/>
      <c r="W8" s="39"/>
      <c r="X8" s="141"/>
      <c r="Y8" s="142"/>
      <c r="Z8" s="21"/>
      <c r="AA8" s="21"/>
      <c r="AB8" s="21"/>
    </row>
    <row r="9" ht="20.25" customHeight="1">
      <c r="A9" s="64"/>
      <c r="B9" s="54"/>
      <c r="C9" s="55"/>
      <c r="D9" s="59"/>
      <c r="E9" s="57"/>
      <c r="F9" s="58"/>
      <c r="G9" s="55"/>
      <c r="H9" s="59"/>
      <c r="I9" s="27"/>
      <c r="J9" s="43">
        <f t="shared" ref="J9:P9" si="5">J7+7</f>
        <v>45824</v>
      </c>
      <c r="K9" s="43">
        <f t="shared" si="5"/>
        <v>45825</v>
      </c>
      <c r="L9" s="43">
        <f t="shared" si="5"/>
        <v>45826</v>
      </c>
      <c r="M9" s="43">
        <f t="shared" si="5"/>
        <v>45827</v>
      </c>
      <c r="N9" s="43">
        <f t="shared" si="5"/>
        <v>45828</v>
      </c>
      <c r="O9" s="44">
        <f t="shared" si="5"/>
        <v>45829</v>
      </c>
      <c r="P9" s="45">
        <f t="shared" si="5"/>
        <v>45830</v>
      </c>
      <c r="Q9" s="21"/>
      <c r="R9" s="138"/>
      <c r="S9" s="139"/>
      <c r="T9" s="55"/>
      <c r="U9" s="49"/>
      <c r="V9" s="140"/>
      <c r="W9" s="39"/>
      <c r="X9" s="141"/>
      <c r="Y9" s="142"/>
      <c r="Z9" s="21"/>
      <c r="AA9" s="21"/>
      <c r="AB9" s="21"/>
    </row>
    <row r="10" ht="20.25" customHeight="1">
      <c r="A10" s="64"/>
      <c r="B10" s="54"/>
      <c r="C10" s="55"/>
      <c r="D10" s="56"/>
      <c r="E10" s="57"/>
      <c r="F10" s="65"/>
      <c r="G10" s="55"/>
      <c r="H10" s="66"/>
      <c r="I10" s="27"/>
      <c r="J10" s="60">
        <f t="shared" ref="J10:P10" si="6">sumifs($X:$X,$R:$R,J9)</f>
        <v>0</v>
      </c>
      <c r="K10" s="60">
        <f t="shared" si="6"/>
        <v>0</v>
      </c>
      <c r="L10" s="60">
        <f t="shared" si="6"/>
        <v>0</v>
      </c>
      <c r="M10" s="60">
        <f t="shared" si="6"/>
        <v>0</v>
      </c>
      <c r="N10" s="60">
        <f t="shared" si="6"/>
        <v>0</v>
      </c>
      <c r="O10" s="60">
        <f t="shared" si="6"/>
        <v>0</v>
      </c>
      <c r="P10" s="60">
        <f t="shared" si="6"/>
        <v>0</v>
      </c>
      <c r="Q10" s="21"/>
      <c r="R10" s="138"/>
      <c r="S10" s="139"/>
      <c r="T10" s="55"/>
      <c r="U10" s="49"/>
      <c r="V10" s="140"/>
      <c r="W10" s="39"/>
      <c r="X10" s="141"/>
      <c r="Y10" s="142"/>
      <c r="Z10" s="21"/>
      <c r="AA10" s="21"/>
      <c r="AB10" s="21"/>
    </row>
    <row r="11" ht="20.25" customHeight="1">
      <c r="A11" s="64"/>
      <c r="B11" s="54"/>
      <c r="C11" s="55"/>
      <c r="D11" s="67"/>
      <c r="E11" s="57"/>
      <c r="F11" s="65"/>
      <c r="G11" s="55"/>
      <c r="H11" s="66"/>
      <c r="I11" s="27"/>
      <c r="J11" s="61">
        <f t="shared" ref="J11:P11" si="7">J9+7</f>
        <v>45831</v>
      </c>
      <c r="K11" s="61">
        <f t="shared" si="7"/>
        <v>45832</v>
      </c>
      <c r="L11" s="61">
        <f t="shared" si="7"/>
        <v>45833</v>
      </c>
      <c r="M11" s="61">
        <f t="shared" si="7"/>
        <v>45834</v>
      </c>
      <c r="N11" s="61">
        <f t="shared" si="7"/>
        <v>45835</v>
      </c>
      <c r="O11" s="62">
        <f t="shared" si="7"/>
        <v>45836</v>
      </c>
      <c r="P11" s="63">
        <f t="shared" si="7"/>
        <v>45837</v>
      </c>
      <c r="Q11" s="21"/>
      <c r="R11" s="138"/>
      <c r="S11" s="139"/>
      <c r="T11" s="55"/>
      <c r="U11" s="49"/>
      <c r="V11" s="140"/>
      <c r="W11" s="39"/>
      <c r="X11" s="141"/>
      <c r="Y11" s="142"/>
      <c r="Z11" s="21"/>
      <c r="AA11" s="21"/>
      <c r="AB11" s="21"/>
    </row>
    <row r="12" ht="20.25" customHeight="1">
      <c r="A12" s="64"/>
      <c r="B12" s="68"/>
      <c r="C12" s="55"/>
      <c r="D12" s="67"/>
      <c r="E12" s="57"/>
      <c r="F12" s="65"/>
      <c r="G12" s="55"/>
      <c r="H12" s="66"/>
      <c r="I12" s="27"/>
      <c r="J12" s="60">
        <f t="shared" ref="J12:P12" si="8">sumifs($X:$X,$R:$R,J11)</f>
        <v>0</v>
      </c>
      <c r="K12" s="60">
        <f t="shared" si="8"/>
        <v>0</v>
      </c>
      <c r="L12" s="60">
        <f t="shared" si="8"/>
        <v>0</v>
      </c>
      <c r="M12" s="60">
        <f t="shared" si="8"/>
        <v>0</v>
      </c>
      <c r="N12" s="60">
        <f t="shared" si="8"/>
        <v>0</v>
      </c>
      <c r="O12" s="60">
        <f t="shared" si="8"/>
        <v>0</v>
      </c>
      <c r="P12" s="60">
        <f t="shared" si="8"/>
        <v>0</v>
      </c>
      <c r="Q12" s="21"/>
      <c r="R12" s="138"/>
      <c r="S12" s="139"/>
      <c r="T12" s="55"/>
      <c r="U12" s="49"/>
      <c r="V12" s="140"/>
      <c r="W12" s="39"/>
      <c r="X12" s="141"/>
      <c r="Y12" s="142"/>
      <c r="Z12" s="21"/>
      <c r="AA12" s="21"/>
      <c r="AB12" s="21"/>
    </row>
    <row r="13" ht="20.25" customHeight="1">
      <c r="A13" s="64"/>
      <c r="B13" s="68"/>
      <c r="C13" s="55"/>
      <c r="D13" s="67"/>
      <c r="E13" s="57"/>
      <c r="F13" s="65"/>
      <c r="G13" s="55"/>
      <c r="H13" s="66"/>
      <c r="I13" s="27"/>
      <c r="J13" s="43">
        <f t="shared" ref="J13:P13" si="9">J11+7</f>
        <v>45838</v>
      </c>
      <c r="K13" s="43">
        <f t="shared" si="9"/>
        <v>45839</v>
      </c>
      <c r="L13" s="43">
        <f t="shared" si="9"/>
        <v>45840</v>
      </c>
      <c r="M13" s="43">
        <f t="shared" si="9"/>
        <v>45841</v>
      </c>
      <c r="N13" s="43">
        <f t="shared" si="9"/>
        <v>45842</v>
      </c>
      <c r="O13" s="44">
        <f t="shared" si="9"/>
        <v>45843</v>
      </c>
      <c r="P13" s="45">
        <f t="shared" si="9"/>
        <v>45844</v>
      </c>
      <c r="Q13" s="21"/>
      <c r="R13" s="138"/>
      <c r="S13" s="139"/>
      <c r="T13" s="55"/>
      <c r="U13" s="49"/>
      <c r="V13" s="140"/>
      <c r="W13" s="39"/>
      <c r="X13" s="141"/>
      <c r="Y13" s="142"/>
      <c r="Z13" s="21"/>
      <c r="AA13" s="21"/>
      <c r="AB13" s="21"/>
    </row>
    <row r="14" ht="20.25" customHeight="1">
      <c r="A14" s="69"/>
      <c r="B14" s="70" t="s">
        <v>60</v>
      </c>
      <c r="C14" s="72"/>
      <c r="D14" s="72">
        <f>SUM(D6:D13)</f>
        <v>0</v>
      </c>
      <c r="E14" s="57"/>
      <c r="F14" s="70" t="s">
        <v>60</v>
      </c>
      <c r="G14" s="72"/>
      <c r="H14" s="72">
        <f>SUM(H6:H13)</f>
        <v>0</v>
      </c>
      <c r="I14" s="27"/>
      <c r="J14" s="60">
        <f t="shared" ref="J14:P14" si="10">sumifs($X:$X,$R:$R,J13)</f>
        <v>0</v>
      </c>
      <c r="K14" s="60">
        <f t="shared" si="10"/>
        <v>0</v>
      </c>
      <c r="L14" s="60">
        <f t="shared" si="10"/>
        <v>0</v>
      </c>
      <c r="M14" s="60">
        <f t="shared" si="10"/>
        <v>0</v>
      </c>
      <c r="N14" s="60">
        <f t="shared" si="10"/>
        <v>0</v>
      </c>
      <c r="O14" s="60">
        <f t="shared" si="10"/>
        <v>0</v>
      </c>
      <c r="P14" s="60">
        <f t="shared" si="10"/>
        <v>0</v>
      </c>
      <c r="Q14" s="21"/>
      <c r="R14" s="138"/>
      <c r="S14" s="139"/>
      <c r="T14" s="55"/>
      <c r="U14" s="49"/>
      <c r="V14" s="140"/>
      <c r="W14" s="39"/>
      <c r="X14" s="141"/>
      <c r="Y14" s="142"/>
      <c r="Z14" s="21"/>
      <c r="AA14" s="21"/>
      <c r="AB14" s="21"/>
    </row>
    <row r="15" ht="20.25" customHeight="1">
      <c r="A15" s="20"/>
      <c r="B15" s="24"/>
      <c r="C15" s="32"/>
      <c r="D15" s="32"/>
      <c r="E15" s="32"/>
      <c r="F15" s="32"/>
      <c r="G15" s="24"/>
      <c r="H15" s="24"/>
      <c r="I15" s="27"/>
      <c r="J15" s="25"/>
      <c r="K15" s="25"/>
      <c r="L15" s="25"/>
      <c r="M15" s="25"/>
      <c r="N15" s="25"/>
      <c r="O15" s="25"/>
      <c r="P15" s="25"/>
      <c r="Q15" s="21"/>
      <c r="R15" s="138"/>
      <c r="S15" s="139"/>
      <c r="T15" s="55"/>
      <c r="U15" s="49"/>
      <c r="V15" s="140"/>
      <c r="W15" s="39"/>
      <c r="X15" s="141"/>
      <c r="Y15" s="142"/>
      <c r="Z15" s="21"/>
      <c r="AA15" s="21"/>
      <c r="AB15" s="21"/>
    </row>
    <row r="16" ht="20.25" customHeight="1">
      <c r="A16" s="28"/>
      <c r="B16" s="73" t="s">
        <v>61</v>
      </c>
      <c r="E16" s="27"/>
      <c r="F16" s="73" t="s">
        <v>61</v>
      </c>
      <c r="I16" s="27"/>
      <c r="J16" s="74" t="s">
        <v>62</v>
      </c>
      <c r="Q16" s="21"/>
      <c r="R16" s="138"/>
      <c r="S16" s="139"/>
      <c r="T16" s="55"/>
      <c r="U16" s="49"/>
      <c r="V16" s="140"/>
      <c r="W16" s="39"/>
      <c r="X16" s="141"/>
      <c r="Y16" s="142"/>
      <c r="Z16" s="21"/>
      <c r="AA16" s="21"/>
      <c r="AB16" s="21"/>
    </row>
    <row r="17" ht="20.25" customHeight="1">
      <c r="A17" s="40"/>
      <c r="B17" s="69" t="s">
        <v>63</v>
      </c>
      <c r="C17" s="75"/>
      <c r="D17" s="75"/>
      <c r="E17" s="53"/>
      <c r="F17" s="69" t="s">
        <v>64</v>
      </c>
      <c r="G17" s="76"/>
      <c r="H17" s="76"/>
      <c r="I17" s="27"/>
      <c r="J17" s="77"/>
      <c r="K17" s="78"/>
      <c r="L17" s="78"/>
      <c r="M17" s="78"/>
      <c r="N17" s="78"/>
      <c r="O17" s="78"/>
      <c r="P17" s="78"/>
      <c r="Q17" s="21"/>
      <c r="R17" s="138"/>
      <c r="S17" s="139"/>
      <c r="T17" s="55"/>
      <c r="U17" s="49"/>
      <c r="V17" s="140"/>
      <c r="W17" s="39"/>
      <c r="X17" s="141"/>
      <c r="Y17" s="142"/>
      <c r="Z17" s="21"/>
      <c r="AA17" s="21"/>
      <c r="AB17" s="21"/>
    </row>
    <row r="18" ht="20.25" customHeight="1">
      <c r="A18" s="40"/>
      <c r="B18" s="41" t="s">
        <v>44</v>
      </c>
      <c r="C18" s="41" t="s">
        <v>43</v>
      </c>
      <c r="D18" s="41" t="s">
        <v>46</v>
      </c>
      <c r="E18" s="57"/>
      <c r="F18" s="41" t="s">
        <v>44</v>
      </c>
      <c r="G18" s="41" t="s">
        <v>65</v>
      </c>
      <c r="H18" s="41" t="s">
        <v>46</v>
      </c>
      <c r="I18" s="27"/>
      <c r="J18" s="79" t="s">
        <v>66</v>
      </c>
      <c r="K18" s="80"/>
      <c r="L18" s="81" t="s">
        <v>49</v>
      </c>
      <c r="M18" s="82"/>
      <c r="N18" s="80"/>
      <c r="O18" s="81" t="s">
        <v>67</v>
      </c>
      <c r="P18" s="82"/>
      <c r="Q18" s="21"/>
      <c r="R18" s="138"/>
      <c r="S18" s="139"/>
      <c r="T18" s="55"/>
      <c r="U18" s="49"/>
      <c r="V18" s="140"/>
      <c r="W18" s="39"/>
      <c r="X18" s="141"/>
      <c r="Y18" s="142"/>
      <c r="Z18" s="21"/>
      <c r="AA18" s="21"/>
      <c r="AB18" s="21"/>
    </row>
    <row r="19" ht="20.25" customHeight="1">
      <c r="A19" s="53"/>
      <c r="B19" s="54"/>
      <c r="C19" s="55"/>
      <c r="D19" s="56"/>
      <c r="E19" s="57"/>
      <c r="F19" s="54"/>
      <c r="G19" s="56"/>
      <c r="H19" s="83">
        <f t="shared" ref="H19:H30" si="11">sumifs($X:$X,$U:$U,F19)</f>
        <v>0</v>
      </c>
      <c r="I19" s="27"/>
      <c r="J19" s="84"/>
      <c r="K19" s="85" t="s">
        <v>65</v>
      </c>
      <c r="L19" s="85" t="s">
        <v>46</v>
      </c>
      <c r="M19" s="85" t="s">
        <v>69</v>
      </c>
      <c r="N19" s="86" t="s">
        <v>65</v>
      </c>
      <c r="O19" s="86" t="s">
        <v>46</v>
      </c>
      <c r="P19" s="86" t="s">
        <v>69</v>
      </c>
      <c r="Q19" s="21"/>
      <c r="R19" s="138"/>
      <c r="S19" s="139"/>
      <c r="T19" s="55"/>
      <c r="U19" s="49"/>
      <c r="V19" s="140"/>
      <c r="W19" s="39"/>
      <c r="X19" s="141"/>
      <c r="Y19" s="142"/>
      <c r="Z19" s="21"/>
      <c r="AA19" s="21"/>
      <c r="AB19" s="21"/>
    </row>
    <row r="20" ht="20.25" customHeight="1">
      <c r="A20" s="53"/>
      <c r="B20" s="54"/>
      <c r="C20" s="55"/>
      <c r="D20" s="56"/>
      <c r="E20" s="57"/>
      <c r="F20" s="54"/>
      <c r="G20" s="56"/>
      <c r="H20" s="83">
        <f t="shared" si="11"/>
        <v>0</v>
      </c>
      <c r="I20" s="27"/>
      <c r="J20" s="54"/>
      <c r="K20" s="87"/>
      <c r="L20" s="88">
        <f t="shared" ref="L20:L26" si="12">sumifs($X:$X,$S:$S,$L$18,$U:$U,J20)</f>
        <v>0</v>
      </c>
      <c r="M20" s="88">
        <f t="shared" ref="M20:M27" si="13">K20-L20</f>
        <v>0</v>
      </c>
      <c r="N20" s="87"/>
      <c r="O20" s="88">
        <f t="shared" ref="O20:O26" si="14">sumifs($X:$X,$S:$S,$O$18,$U:$U,J20)</f>
        <v>0</v>
      </c>
      <c r="P20" s="88">
        <f t="shared" ref="P20:P27" si="15">N20-O20</f>
        <v>0</v>
      </c>
      <c r="Q20" s="21"/>
      <c r="R20" s="138"/>
      <c r="S20" s="139"/>
      <c r="T20" s="55"/>
      <c r="U20" s="49"/>
      <c r="V20" s="140"/>
      <c r="W20" s="39"/>
      <c r="X20" s="141"/>
      <c r="Y20" s="142"/>
      <c r="Z20" s="21"/>
      <c r="AA20" s="21"/>
      <c r="AB20" s="21"/>
    </row>
    <row r="21" ht="20.25" customHeight="1">
      <c r="A21" s="53"/>
      <c r="B21" s="54"/>
      <c r="C21" s="55"/>
      <c r="D21" s="56"/>
      <c r="E21" s="57"/>
      <c r="F21" s="54"/>
      <c r="G21" s="56"/>
      <c r="H21" s="83">
        <f t="shared" si="11"/>
        <v>0</v>
      </c>
      <c r="I21" s="27"/>
      <c r="J21" s="54"/>
      <c r="K21" s="87"/>
      <c r="L21" s="88">
        <f t="shared" si="12"/>
        <v>0</v>
      </c>
      <c r="M21" s="88">
        <f t="shared" si="13"/>
        <v>0</v>
      </c>
      <c r="N21" s="87"/>
      <c r="O21" s="88">
        <f t="shared" si="14"/>
        <v>0</v>
      </c>
      <c r="P21" s="88">
        <f t="shared" si="15"/>
        <v>0</v>
      </c>
      <c r="Q21" s="21"/>
      <c r="R21" s="138"/>
      <c r="S21" s="139"/>
      <c r="T21" s="55"/>
      <c r="U21" s="49"/>
      <c r="V21" s="140"/>
      <c r="W21" s="39"/>
      <c r="X21" s="141"/>
      <c r="Y21" s="142"/>
      <c r="Z21" s="21"/>
      <c r="AA21" s="21"/>
      <c r="AB21" s="21"/>
    </row>
    <row r="22" ht="20.25" customHeight="1">
      <c r="A22" s="53"/>
      <c r="B22" s="54"/>
      <c r="C22" s="55"/>
      <c r="D22" s="56"/>
      <c r="E22" s="57"/>
      <c r="F22" s="54"/>
      <c r="G22" s="56"/>
      <c r="H22" s="83">
        <f t="shared" si="11"/>
        <v>0</v>
      </c>
      <c r="I22" s="27"/>
      <c r="J22" s="54"/>
      <c r="K22" s="87"/>
      <c r="L22" s="88">
        <f t="shared" si="12"/>
        <v>0</v>
      </c>
      <c r="M22" s="88">
        <f t="shared" si="13"/>
        <v>0</v>
      </c>
      <c r="N22" s="87"/>
      <c r="O22" s="88">
        <f t="shared" si="14"/>
        <v>0</v>
      </c>
      <c r="P22" s="88">
        <f t="shared" si="15"/>
        <v>0</v>
      </c>
      <c r="Q22" s="21"/>
      <c r="R22" s="138"/>
      <c r="S22" s="139"/>
      <c r="T22" s="55"/>
      <c r="U22" s="49"/>
      <c r="V22" s="140"/>
      <c r="W22" s="39"/>
      <c r="X22" s="141"/>
      <c r="Y22" s="142"/>
      <c r="Z22" s="21"/>
      <c r="AA22" s="21"/>
      <c r="AB22" s="21"/>
    </row>
    <row r="23" ht="20.25" customHeight="1">
      <c r="A23" s="53"/>
      <c r="B23" s="54"/>
      <c r="C23" s="55"/>
      <c r="D23" s="56"/>
      <c r="E23" s="57"/>
      <c r="F23" s="54"/>
      <c r="G23" s="56"/>
      <c r="H23" s="83">
        <f t="shared" si="11"/>
        <v>0</v>
      </c>
      <c r="I23" s="27"/>
      <c r="J23" s="54"/>
      <c r="K23" s="87"/>
      <c r="L23" s="88">
        <f t="shared" si="12"/>
        <v>0</v>
      </c>
      <c r="M23" s="88">
        <f t="shared" si="13"/>
        <v>0</v>
      </c>
      <c r="N23" s="87"/>
      <c r="O23" s="88">
        <f t="shared" si="14"/>
        <v>0</v>
      </c>
      <c r="P23" s="88">
        <f t="shared" si="15"/>
        <v>0</v>
      </c>
      <c r="Q23" s="21"/>
      <c r="R23" s="138"/>
      <c r="S23" s="139"/>
      <c r="T23" s="55"/>
      <c r="U23" s="49"/>
      <c r="V23" s="140"/>
      <c r="W23" s="39"/>
      <c r="X23" s="141"/>
      <c r="Y23" s="142"/>
      <c r="Z23" s="21"/>
      <c r="AA23" s="21"/>
      <c r="AB23" s="21"/>
    </row>
    <row r="24" ht="20.25" customHeight="1">
      <c r="A24" s="53"/>
      <c r="B24" s="54"/>
      <c r="C24" s="55"/>
      <c r="D24" s="56"/>
      <c r="E24" s="57"/>
      <c r="F24" s="54"/>
      <c r="G24" s="56"/>
      <c r="H24" s="83">
        <f t="shared" si="11"/>
        <v>0</v>
      </c>
      <c r="I24" s="27"/>
      <c r="J24" s="54"/>
      <c r="K24" s="87"/>
      <c r="L24" s="88">
        <f t="shared" si="12"/>
        <v>0</v>
      </c>
      <c r="M24" s="88">
        <f t="shared" si="13"/>
        <v>0</v>
      </c>
      <c r="N24" s="87"/>
      <c r="O24" s="88">
        <f t="shared" si="14"/>
        <v>0</v>
      </c>
      <c r="P24" s="88">
        <f t="shared" si="15"/>
        <v>0</v>
      </c>
      <c r="Q24" s="21"/>
      <c r="R24" s="138"/>
      <c r="S24" s="139"/>
      <c r="T24" s="55"/>
      <c r="U24" s="49"/>
      <c r="V24" s="140"/>
      <c r="W24" s="39"/>
      <c r="X24" s="141"/>
      <c r="Y24" s="142"/>
      <c r="Z24" s="21"/>
      <c r="AA24" s="21"/>
      <c r="AB24" s="21"/>
    </row>
    <row r="25" ht="20.25" customHeight="1">
      <c r="A25" s="53"/>
      <c r="B25" s="54"/>
      <c r="C25" s="55"/>
      <c r="D25" s="56"/>
      <c r="E25" s="57"/>
      <c r="F25" s="54"/>
      <c r="G25" s="56"/>
      <c r="H25" s="83">
        <f t="shared" si="11"/>
        <v>0</v>
      </c>
      <c r="I25" s="27"/>
      <c r="J25" s="54"/>
      <c r="K25" s="87"/>
      <c r="L25" s="88">
        <f t="shared" si="12"/>
        <v>0</v>
      </c>
      <c r="M25" s="88">
        <f t="shared" si="13"/>
        <v>0</v>
      </c>
      <c r="N25" s="87"/>
      <c r="O25" s="88">
        <f t="shared" si="14"/>
        <v>0</v>
      </c>
      <c r="P25" s="88">
        <f t="shared" si="15"/>
        <v>0</v>
      </c>
      <c r="Q25" s="21"/>
      <c r="R25" s="138"/>
      <c r="S25" s="139"/>
      <c r="T25" s="55"/>
      <c r="U25" s="49"/>
      <c r="V25" s="140"/>
      <c r="W25" s="39"/>
      <c r="X25" s="141"/>
      <c r="Y25" s="142"/>
      <c r="Z25" s="21"/>
      <c r="AA25" s="21"/>
      <c r="AB25" s="21"/>
    </row>
    <row r="26" ht="20.25" customHeight="1">
      <c r="A26" s="53"/>
      <c r="B26" s="54"/>
      <c r="C26" s="55"/>
      <c r="D26" s="56"/>
      <c r="E26" s="57"/>
      <c r="F26" s="54"/>
      <c r="G26" s="56"/>
      <c r="H26" s="83">
        <f t="shared" si="11"/>
        <v>0</v>
      </c>
      <c r="I26" s="27"/>
      <c r="J26" s="54"/>
      <c r="K26" s="87"/>
      <c r="L26" s="88">
        <f t="shared" si="12"/>
        <v>0</v>
      </c>
      <c r="M26" s="88">
        <f t="shared" si="13"/>
        <v>0</v>
      </c>
      <c r="N26" s="87"/>
      <c r="O26" s="88">
        <f t="shared" si="14"/>
        <v>0</v>
      </c>
      <c r="P26" s="88">
        <f t="shared" si="15"/>
        <v>0</v>
      </c>
      <c r="Q26" s="21"/>
      <c r="R26" s="138"/>
      <c r="S26" s="139"/>
      <c r="T26" s="55"/>
      <c r="U26" s="49"/>
      <c r="V26" s="140"/>
      <c r="W26" s="39"/>
      <c r="X26" s="141"/>
      <c r="Y26" s="142"/>
      <c r="Z26" s="21"/>
      <c r="AA26" s="21"/>
      <c r="AB26" s="21"/>
    </row>
    <row r="27" ht="20.25" customHeight="1">
      <c r="A27" s="53"/>
      <c r="B27" s="54"/>
      <c r="C27" s="55"/>
      <c r="D27" s="56"/>
      <c r="E27" s="57"/>
      <c r="F27" s="54"/>
      <c r="G27" s="56"/>
      <c r="H27" s="83">
        <f t="shared" si="11"/>
        <v>0</v>
      </c>
      <c r="I27" s="27"/>
      <c r="J27" s="89" t="s">
        <v>83</v>
      </c>
      <c r="K27" s="88">
        <f t="shared" ref="K27:L27" si="16">SUM(K20:K26)</f>
        <v>0</v>
      </c>
      <c r="L27" s="88">
        <f t="shared" si="16"/>
        <v>0</v>
      </c>
      <c r="M27" s="88">
        <f t="shared" si="13"/>
        <v>0</v>
      </c>
      <c r="N27" s="88">
        <f t="shared" ref="N27:O27" si="17">SUM(N20:N26)</f>
        <v>0</v>
      </c>
      <c r="O27" s="88">
        <f t="shared" si="17"/>
        <v>0</v>
      </c>
      <c r="P27" s="88">
        <f t="shared" si="15"/>
        <v>0</v>
      </c>
      <c r="Q27" s="21"/>
      <c r="R27" s="138"/>
      <c r="S27" s="139"/>
      <c r="T27" s="55"/>
      <c r="U27" s="49"/>
      <c r="V27" s="140"/>
      <c r="W27" s="39"/>
      <c r="X27" s="141"/>
      <c r="Y27" s="142"/>
      <c r="Z27" s="21"/>
      <c r="AA27" s="21"/>
      <c r="AB27" s="21"/>
    </row>
    <row r="28" ht="20.25" customHeight="1">
      <c r="A28" s="53"/>
      <c r="B28" s="54"/>
      <c r="C28" s="55"/>
      <c r="D28" s="67"/>
      <c r="E28" s="57"/>
      <c r="F28" s="54"/>
      <c r="G28" s="56"/>
      <c r="H28" s="83">
        <f t="shared" si="11"/>
        <v>0</v>
      </c>
      <c r="I28" s="27"/>
      <c r="J28" s="90"/>
      <c r="K28" s="91"/>
      <c r="L28" s="92"/>
      <c r="M28" s="92"/>
      <c r="N28" s="92"/>
      <c r="O28" s="93"/>
      <c r="P28" s="94"/>
      <c r="Q28" s="21"/>
      <c r="R28" s="138"/>
      <c r="S28" s="139"/>
      <c r="T28" s="55"/>
      <c r="U28" s="49"/>
      <c r="V28" s="140"/>
      <c r="W28" s="39"/>
      <c r="X28" s="141"/>
      <c r="Y28" s="142"/>
      <c r="Z28" s="21"/>
      <c r="AA28" s="21"/>
      <c r="AB28" s="21"/>
    </row>
    <row r="29" ht="20.25" customHeight="1">
      <c r="A29" s="53"/>
      <c r="B29" s="54"/>
      <c r="C29" s="55"/>
      <c r="D29" s="67"/>
      <c r="E29" s="57"/>
      <c r="F29" s="54"/>
      <c r="G29" s="56"/>
      <c r="H29" s="83">
        <f t="shared" si="11"/>
        <v>0</v>
      </c>
      <c r="I29" s="27"/>
      <c r="J29" s="95" t="s">
        <v>66</v>
      </c>
      <c r="K29" s="80"/>
      <c r="L29" s="81" t="s">
        <v>84</v>
      </c>
      <c r="M29" s="82"/>
      <c r="N29" s="80"/>
      <c r="O29" s="81" t="s">
        <v>85</v>
      </c>
      <c r="P29" s="82"/>
      <c r="Q29" s="21"/>
      <c r="R29" s="138"/>
      <c r="S29" s="139"/>
      <c r="T29" s="55"/>
      <c r="U29" s="49"/>
      <c r="V29" s="140"/>
      <c r="W29" s="39"/>
      <c r="X29" s="141"/>
      <c r="Y29" s="142"/>
      <c r="Z29" s="21"/>
      <c r="AA29" s="21"/>
      <c r="AB29" s="21"/>
    </row>
    <row r="30" ht="20.25" customHeight="1">
      <c r="A30" s="53"/>
      <c r="B30" s="54"/>
      <c r="C30" s="55"/>
      <c r="D30" s="67"/>
      <c r="E30" s="57"/>
      <c r="F30" s="54"/>
      <c r="G30" s="56"/>
      <c r="H30" s="83">
        <f t="shared" si="11"/>
        <v>0</v>
      </c>
      <c r="I30" s="27"/>
      <c r="J30" s="96"/>
      <c r="K30" s="86" t="s">
        <v>65</v>
      </c>
      <c r="L30" s="86" t="s">
        <v>46</v>
      </c>
      <c r="M30" s="86" t="s">
        <v>69</v>
      </c>
      <c r="N30" s="86" t="s">
        <v>65</v>
      </c>
      <c r="O30" s="86" t="s">
        <v>46</v>
      </c>
      <c r="P30" s="86" t="s">
        <v>69</v>
      </c>
      <c r="Q30" s="21"/>
      <c r="R30" s="138"/>
      <c r="S30" s="139"/>
      <c r="T30" s="55"/>
      <c r="U30" s="49"/>
      <c r="V30" s="140"/>
      <c r="W30" s="39"/>
      <c r="X30" s="141"/>
      <c r="Y30" s="142"/>
      <c r="Z30" s="21"/>
      <c r="AA30" s="21"/>
      <c r="AB30" s="21"/>
    </row>
    <row r="31" ht="20.25" customHeight="1">
      <c r="A31" s="69"/>
      <c r="B31" s="70" t="s">
        <v>60</v>
      </c>
      <c r="C31" s="98"/>
      <c r="D31" s="72">
        <f>SUM(D19:D30)</f>
        <v>0</v>
      </c>
      <c r="E31" s="57"/>
      <c r="F31" s="70" t="s">
        <v>60</v>
      </c>
      <c r="G31" s="72">
        <f t="shared" ref="G31:H31" si="18">SUM(G19:G30)</f>
        <v>0</v>
      </c>
      <c r="H31" s="72">
        <f t="shared" si="18"/>
        <v>0</v>
      </c>
      <c r="I31" s="27"/>
      <c r="J31" s="54"/>
      <c r="K31" s="56"/>
      <c r="L31" s="88">
        <f t="shared" ref="L31:L37" si="19">sumifs($X:$X,$S:$S,$L$29,$U:$U,J31)</f>
        <v>0</v>
      </c>
      <c r="M31" s="88">
        <f t="shared" ref="M31:M38" si="20">K31-L31</f>
        <v>0</v>
      </c>
      <c r="N31" s="56"/>
      <c r="O31" s="88">
        <f t="shared" ref="O31:O37" si="21">sumifs($X:$X,$S:$S,$O$29,$U:$U,J31)</f>
        <v>0</v>
      </c>
      <c r="P31" s="88">
        <f t="shared" ref="P31:P38" si="22">N31-O31</f>
        <v>0</v>
      </c>
      <c r="Q31" s="21"/>
      <c r="R31" s="138"/>
      <c r="S31" s="143"/>
      <c r="T31" s="55"/>
      <c r="U31" s="49"/>
      <c r="V31" s="140"/>
      <c r="W31" s="39"/>
      <c r="X31" s="141"/>
      <c r="Y31" s="142"/>
      <c r="Z31" s="21"/>
      <c r="AA31" s="21"/>
      <c r="AB31" s="21"/>
    </row>
    <row r="32" ht="20.25" customHeight="1">
      <c r="A32" s="20"/>
      <c r="B32" s="24"/>
      <c r="C32" s="32"/>
      <c r="D32" s="32"/>
      <c r="E32" s="32"/>
      <c r="F32" s="32"/>
      <c r="G32" s="24"/>
      <c r="H32" s="24"/>
      <c r="I32" s="27"/>
      <c r="J32" s="54"/>
      <c r="K32" s="56"/>
      <c r="L32" s="88">
        <f t="shared" si="19"/>
        <v>0</v>
      </c>
      <c r="M32" s="88">
        <f t="shared" si="20"/>
        <v>0</v>
      </c>
      <c r="N32" s="56"/>
      <c r="O32" s="88">
        <f t="shared" si="21"/>
        <v>0</v>
      </c>
      <c r="P32" s="88">
        <f t="shared" si="22"/>
        <v>0</v>
      </c>
      <c r="Q32" s="21"/>
      <c r="R32" s="138"/>
      <c r="S32" s="143"/>
      <c r="T32" s="55"/>
      <c r="U32" s="49"/>
      <c r="V32" s="140"/>
      <c r="W32" s="39"/>
      <c r="X32" s="141"/>
      <c r="Y32" s="142"/>
      <c r="Z32" s="21"/>
      <c r="AA32" s="21"/>
      <c r="AB32" s="21"/>
    </row>
    <row r="33" ht="20.25" customHeight="1">
      <c r="A33" s="28"/>
      <c r="B33" s="99" t="s">
        <v>86</v>
      </c>
      <c r="C33" s="30"/>
      <c r="D33" s="31"/>
      <c r="E33" s="32"/>
      <c r="F33" s="29" t="s">
        <v>87</v>
      </c>
      <c r="G33" s="31"/>
      <c r="H33" s="100" t="s">
        <v>46</v>
      </c>
      <c r="I33" s="101"/>
      <c r="J33" s="54"/>
      <c r="K33" s="56"/>
      <c r="L33" s="88">
        <f t="shared" si="19"/>
        <v>0</v>
      </c>
      <c r="M33" s="88">
        <f t="shared" si="20"/>
        <v>0</v>
      </c>
      <c r="N33" s="56"/>
      <c r="O33" s="88">
        <f t="shared" si="21"/>
        <v>0</v>
      </c>
      <c r="P33" s="88">
        <f t="shared" si="22"/>
        <v>0</v>
      </c>
      <c r="Q33" s="21"/>
      <c r="R33" s="138"/>
      <c r="S33" s="143"/>
      <c r="T33" s="55"/>
      <c r="U33" s="49"/>
      <c r="V33" s="140"/>
      <c r="W33" s="39"/>
      <c r="X33" s="141"/>
      <c r="Y33" s="142"/>
      <c r="Z33" s="21"/>
      <c r="AA33" s="21"/>
      <c r="AB33" s="21"/>
    </row>
    <row r="34" ht="20.25" customHeight="1">
      <c r="A34" s="40"/>
      <c r="B34" s="41" t="s">
        <v>44</v>
      </c>
      <c r="C34" s="41" t="s">
        <v>43</v>
      </c>
      <c r="D34" s="41" t="s">
        <v>46</v>
      </c>
      <c r="E34" s="57"/>
      <c r="F34" s="102" t="s">
        <v>88</v>
      </c>
      <c r="G34" s="31"/>
      <c r="H34" s="103">
        <f>D14</f>
        <v>0</v>
      </c>
      <c r="I34" s="104"/>
      <c r="J34" s="54"/>
      <c r="K34" s="56"/>
      <c r="L34" s="88">
        <f t="shared" si="19"/>
        <v>0</v>
      </c>
      <c r="M34" s="88">
        <f t="shared" si="20"/>
        <v>0</v>
      </c>
      <c r="N34" s="56"/>
      <c r="O34" s="88">
        <f t="shared" si="21"/>
        <v>0</v>
      </c>
      <c r="P34" s="88">
        <f t="shared" si="22"/>
        <v>0</v>
      </c>
      <c r="Q34" s="21"/>
      <c r="R34" s="138"/>
      <c r="S34" s="143"/>
      <c r="T34" s="55"/>
      <c r="U34" s="49"/>
      <c r="V34" s="140"/>
      <c r="W34" s="39"/>
      <c r="X34" s="141"/>
      <c r="Y34" s="142"/>
      <c r="Z34" s="21"/>
      <c r="AA34" s="21"/>
      <c r="AB34" s="21"/>
    </row>
    <row r="35" ht="20.25" customHeight="1">
      <c r="A35" s="19"/>
      <c r="B35" s="54"/>
      <c r="C35" s="55"/>
      <c r="D35" s="56"/>
      <c r="E35" s="57"/>
      <c r="F35" s="102" t="s">
        <v>90</v>
      </c>
      <c r="G35" s="31"/>
      <c r="H35" s="103">
        <f>H14</f>
        <v>0</v>
      </c>
      <c r="I35" s="104"/>
      <c r="J35" s="54"/>
      <c r="K35" s="56"/>
      <c r="L35" s="88">
        <f t="shared" si="19"/>
        <v>0</v>
      </c>
      <c r="M35" s="88">
        <f t="shared" si="20"/>
        <v>0</v>
      </c>
      <c r="N35" s="56"/>
      <c r="O35" s="88">
        <f t="shared" si="21"/>
        <v>0</v>
      </c>
      <c r="P35" s="88">
        <f t="shared" si="22"/>
        <v>0</v>
      </c>
      <c r="Q35" s="21"/>
      <c r="R35" s="138"/>
      <c r="S35" s="143"/>
      <c r="T35" s="55"/>
      <c r="U35" s="49"/>
      <c r="V35" s="140"/>
      <c r="W35" s="39"/>
      <c r="X35" s="141"/>
      <c r="Y35" s="142"/>
      <c r="Z35" s="21"/>
      <c r="AA35" s="21"/>
      <c r="AB35" s="21"/>
    </row>
    <row r="36" ht="20.25" customHeight="1">
      <c r="A36" s="19"/>
      <c r="B36" s="54"/>
      <c r="C36" s="55"/>
      <c r="D36" s="59"/>
      <c r="E36" s="57"/>
      <c r="F36" s="102" t="s">
        <v>91</v>
      </c>
      <c r="G36" s="31"/>
      <c r="H36" s="103">
        <f>D31+H31</f>
        <v>0</v>
      </c>
      <c r="I36" s="105"/>
      <c r="J36" s="54"/>
      <c r="K36" s="56"/>
      <c r="L36" s="88">
        <f t="shared" si="19"/>
        <v>0</v>
      </c>
      <c r="M36" s="88">
        <f t="shared" si="20"/>
        <v>0</v>
      </c>
      <c r="N36" s="56"/>
      <c r="O36" s="88">
        <f t="shared" si="21"/>
        <v>0</v>
      </c>
      <c r="P36" s="88">
        <f t="shared" si="22"/>
        <v>0</v>
      </c>
      <c r="Q36" s="21"/>
      <c r="R36" s="138"/>
      <c r="S36" s="143"/>
      <c r="T36" s="55"/>
      <c r="U36" s="49"/>
      <c r="V36" s="140"/>
      <c r="W36" s="39"/>
      <c r="X36" s="141"/>
      <c r="Y36" s="142"/>
      <c r="Z36" s="21"/>
      <c r="AA36" s="21"/>
      <c r="AB36" s="21"/>
    </row>
    <row r="37" ht="20.25" customHeight="1">
      <c r="A37" s="19"/>
      <c r="B37" s="54"/>
      <c r="C37" s="55"/>
      <c r="D37" s="59"/>
      <c r="E37" s="57"/>
      <c r="F37" s="102" t="s">
        <v>92</v>
      </c>
      <c r="G37" s="31"/>
      <c r="H37" s="103">
        <f>H34-H35-H36</f>
        <v>0</v>
      </c>
      <c r="I37" s="104"/>
      <c r="J37" s="54"/>
      <c r="K37" s="56"/>
      <c r="L37" s="88">
        <f t="shared" si="19"/>
        <v>0</v>
      </c>
      <c r="M37" s="88">
        <f t="shared" si="20"/>
        <v>0</v>
      </c>
      <c r="N37" s="56"/>
      <c r="O37" s="88">
        <f t="shared" si="21"/>
        <v>0</v>
      </c>
      <c r="P37" s="88">
        <f t="shared" si="22"/>
        <v>0</v>
      </c>
      <c r="Q37" s="21"/>
      <c r="R37" s="138"/>
      <c r="S37" s="143"/>
      <c r="T37" s="55"/>
      <c r="U37" s="49"/>
      <c r="V37" s="140"/>
      <c r="W37" s="39"/>
      <c r="X37" s="141"/>
      <c r="Y37" s="142"/>
      <c r="Z37" s="21"/>
      <c r="AA37" s="21"/>
      <c r="AB37" s="21"/>
    </row>
    <row r="38" ht="20.25" customHeight="1">
      <c r="A38" s="106"/>
      <c r="B38" s="54"/>
      <c r="C38" s="55"/>
      <c r="D38" s="59"/>
      <c r="E38" s="57"/>
      <c r="F38" s="102" t="s">
        <v>93</v>
      </c>
      <c r="G38" s="31"/>
      <c r="H38" s="103">
        <f>H35+H37</f>
        <v>0</v>
      </c>
      <c r="I38" s="107"/>
      <c r="J38" s="89" t="s">
        <v>83</v>
      </c>
      <c r="K38" s="88">
        <f t="shared" ref="K38:L38" si="23">SUM(K31:K37)</f>
        <v>0</v>
      </c>
      <c r="L38" s="88">
        <f t="shared" si="23"/>
        <v>0</v>
      </c>
      <c r="M38" s="88">
        <f t="shared" si="20"/>
        <v>0</v>
      </c>
      <c r="N38" s="88">
        <f t="shared" ref="N38:O38" si="24">SUM(N31:N37)</f>
        <v>0</v>
      </c>
      <c r="O38" s="88">
        <f t="shared" si="24"/>
        <v>0</v>
      </c>
      <c r="P38" s="88">
        <f t="shared" si="22"/>
        <v>0</v>
      </c>
      <c r="Q38" s="21"/>
      <c r="R38" s="138"/>
      <c r="S38" s="143"/>
      <c r="T38" s="55"/>
      <c r="U38" s="49"/>
      <c r="V38" s="140"/>
      <c r="W38" s="39"/>
      <c r="X38" s="141"/>
      <c r="Y38" s="142"/>
      <c r="Z38" s="21"/>
      <c r="AA38" s="21"/>
      <c r="AB38" s="21"/>
    </row>
    <row r="39" ht="20.25" customHeight="1">
      <c r="A39" s="106"/>
      <c r="B39" s="54"/>
      <c r="C39" s="55"/>
      <c r="D39" s="66"/>
      <c r="E39" s="32"/>
      <c r="F39" s="32"/>
      <c r="G39" s="108"/>
      <c r="H39" s="108"/>
      <c r="I39" s="27"/>
      <c r="J39" s="90"/>
      <c r="K39" s="57"/>
      <c r="L39" s="92"/>
      <c r="M39" s="92"/>
      <c r="N39" s="92"/>
      <c r="O39" s="93"/>
      <c r="P39" s="94"/>
      <c r="Q39" s="21"/>
      <c r="R39" s="138"/>
      <c r="S39" s="143"/>
      <c r="T39" s="55"/>
      <c r="U39" s="49"/>
      <c r="V39" s="140"/>
      <c r="W39" s="39"/>
      <c r="X39" s="141"/>
      <c r="Y39" s="142"/>
      <c r="Z39" s="21"/>
      <c r="AA39" s="21"/>
      <c r="AB39" s="21"/>
    </row>
    <row r="40" ht="20.25" customHeight="1">
      <c r="A40" s="69"/>
      <c r="B40" s="109"/>
      <c r="C40" s="55"/>
      <c r="D40" s="110"/>
      <c r="E40" s="32"/>
      <c r="F40" s="111" t="s">
        <v>109</v>
      </c>
      <c r="G40" s="112" t="s">
        <v>110</v>
      </c>
      <c r="H40" s="113"/>
      <c r="I40" s="27"/>
      <c r="J40" s="95" t="s">
        <v>66</v>
      </c>
      <c r="K40" s="80"/>
      <c r="L40" s="81" t="s">
        <v>96</v>
      </c>
      <c r="M40" s="82"/>
      <c r="N40" s="80"/>
      <c r="O40" s="81" t="s">
        <v>83</v>
      </c>
      <c r="P40" s="82"/>
      <c r="Q40" s="21"/>
      <c r="R40" s="138"/>
      <c r="S40" s="143"/>
      <c r="T40" s="55"/>
      <c r="U40" s="49"/>
      <c r="V40" s="140"/>
      <c r="W40" s="39"/>
      <c r="X40" s="141"/>
      <c r="Y40" s="142"/>
      <c r="Z40" s="21"/>
      <c r="AA40" s="21"/>
      <c r="AB40" s="21"/>
    </row>
    <row r="41" ht="20.25" customHeight="1">
      <c r="B41" s="114"/>
      <c r="C41" s="55"/>
      <c r="D41" s="110"/>
      <c r="E41" s="32"/>
      <c r="F41" s="115" t="str">
        <f>H36/H34</f>
        <v>#DIV/0!</v>
      </c>
      <c r="G41" s="116" t="str">
        <f>H38/H34</f>
        <v>#DIV/0!</v>
      </c>
      <c r="H41" s="117"/>
      <c r="I41" s="27"/>
      <c r="J41" s="96"/>
      <c r="K41" s="86" t="s">
        <v>65</v>
      </c>
      <c r="L41" s="86" t="s">
        <v>46</v>
      </c>
      <c r="M41" s="86" t="s">
        <v>69</v>
      </c>
      <c r="N41" s="86" t="s">
        <v>65</v>
      </c>
      <c r="O41" s="86" t="s">
        <v>46</v>
      </c>
      <c r="P41" s="86" t="s">
        <v>69</v>
      </c>
      <c r="Q41" s="21"/>
      <c r="R41" s="138"/>
      <c r="S41" s="143"/>
      <c r="T41" s="55"/>
      <c r="U41" s="49"/>
      <c r="V41" s="140"/>
      <c r="W41" s="39"/>
      <c r="X41" s="141"/>
      <c r="Y41" s="142"/>
      <c r="Z41" s="21"/>
      <c r="AA41" s="21"/>
      <c r="AB41" s="21"/>
    </row>
    <row r="42" ht="20.25" customHeight="1">
      <c r="B42" s="118" t="s">
        <v>60</v>
      </c>
      <c r="C42" s="119"/>
      <c r="D42" s="119">
        <f>SUM(D35:D41)</f>
        <v>0</v>
      </c>
      <c r="E42" s="32"/>
      <c r="F42" s="120"/>
      <c r="G42" s="121"/>
      <c r="H42" s="122"/>
      <c r="I42" s="27"/>
      <c r="J42" s="54"/>
      <c r="K42" s="56"/>
      <c r="L42" s="88">
        <f t="shared" ref="L42:L48" si="26">sumifs($X:$X,$S:$S,$L$40,$U:$U,J42)</f>
        <v>0</v>
      </c>
      <c r="M42" s="88">
        <f t="shared" ref="M42:M49" si="27">K42-L42</f>
        <v>0</v>
      </c>
      <c r="N42" s="83">
        <f t="shared" ref="N42:O42" si="25">K20+N20+K31+N31+K42</f>
        <v>0</v>
      </c>
      <c r="O42" s="83">
        <f t="shared" si="25"/>
        <v>0</v>
      </c>
      <c r="P42" s="88">
        <f t="shared" ref="P42:P49" si="29">N42-O42</f>
        <v>0</v>
      </c>
      <c r="Q42" s="21"/>
      <c r="R42" s="138"/>
      <c r="S42" s="143"/>
      <c r="T42" s="55"/>
      <c r="U42" s="49"/>
      <c r="V42" s="140"/>
      <c r="W42" s="39"/>
      <c r="X42" s="141"/>
      <c r="Y42" s="142"/>
      <c r="Z42" s="21"/>
      <c r="AA42" s="21"/>
      <c r="AB42" s="21"/>
    </row>
    <row r="43" ht="20.25" customHeight="1">
      <c r="A43" s="69"/>
      <c r="B43" s="123"/>
      <c r="C43" s="124"/>
      <c r="D43" s="124" t="s">
        <v>97</v>
      </c>
      <c r="E43" s="25"/>
      <c r="F43" s="125" t="s">
        <v>98</v>
      </c>
      <c r="G43" s="125"/>
      <c r="H43" s="125" t="s">
        <v>99</v>
      </c>
      <c r="I43" s="27"/>
      <c r="J43" s="54"/>
      <c r="K43" s="56"/>
      <c r="L43" s="88">
        <f t="shared" si="26"/>
        <v>0</v>
      </c>
      <c r="M43" s="88">
        <f t="shared" si="27"/>
        <v>0</v>
      </c>
      <c r="N43" s="83">
        <f t="shared" ref="N43:O43" si="28">K21+N21+K32+N32+K43</f>
        <v>0</v>
      </c>
      <c r="O43" s="83">
        <f t="shared" si="28"/>
        <v>0</v>
      </c>
      <c r="P43" s="88">
        <f t="shared" si="29"/>
        <v>0</v>
      </c>
      <c r="Q43" s="21"/>
      <c r="R43" s="138"/>
      <c r="S43" s="143"/>
      <c r="T43" s="55"/>
      <c r="U43" s="49"/>
      <c r="V43" s="140"/>
      <c r="W43" s="39"/>
      <c r="X43" s="141"/>
      <c r="Y43" s="142"/>
      <c r="Z43" s="21"/>
      <c r="AA43" s="21"/>
      <c r="AB43" s="21"/>
    </row>
    <row r="44" ht="20.25" customHeight="1">
      <c r="A44" s="69"/>
      <c r="B44" s="112" t="s">
        <v>100</v>
      </c>
      <c r="C44" s="126"/>
      <c r="D44" s="126"/>
      <c r="E44" s="126"/>
      <c r="F44" s="126"/>
      <c r="G44" s="126"/>
      <c r="H44" s="113"/>
      <c r="I44" s="27"/>
      <c r="J44" s="54"/>
      <c r="K44" s="56"/>
      <c r="L44" s="88">
        <f t="shared" si="26"/>
        <v>0</v>
      </c>
      <c r="M44" s="88">
        <f t="shared" si="27"/>
        <v>0</v>
      </c>
      <c r="N44" s="83">
        <f t="shared" ref="N44:O44" si="30">K22+N22+K33+N33+K44</f>
        <v>0</v>
      </c>
      <c r="O44" s="83">
        <f t="shared" si="30"/>
        <v>0</v>
      </c>
      <c r="P44" s="88">
        <f t="shared" si="29"/>
        <v>0</v>
      </c>
      <c r="Q44" s="21"/>
      <c r="R44" s="138"/>
      <c r="S44" s="143"/>
      <c r="T44" s="55"/>
      <c r="U44" s="49"/>
      <c r="V44" s="140"/>
      <c r="W44" s="39"/>
      <c r="X44" s="141"/>
      <c r="Y44" s="142"/>
      <c r="Z44" s="21"/>
      <c r="AA44" s="21"/>
      <c r="AB44" s="21"/>
    </row>
    <row r="45" ht="20.25" customHeight="1">
      <c r="A45" s="20"/>
      <c r="B45" s="127"/>
      <c r="C45" s="128"/>
      <c r="D45" s="128"/>
      <c r="E45" s="128"/>
      <c r="F45" s="128"/>
      <c r="G45" s="128"/>
      <c r="H45" s="117"/>
      <c r="I45" s="27"/>
      <c r="J45" s="54"/>
      <c r="K45" s="56"/>
      <c r="L45" s="88">
        <f t="shared" si="26"/>
        <v>0</v>
      </c>
      <c r="M45" s="88">
        <f t="shared" si="27"/>
        <v>0</v>
      </c>
      <c r="N45" s="83">
        <f t="shared" ref="N45:O45" si="31">K23+N23+K34+N34+K45</f>
        <v>0</v>
      </c>
      <c r="O45" s="83">
        <f t="shared" si="31"/>
        <v>0</v>
      </c>
      <c r="P45" s="88">
        <f t="shared" si="29"/>
        <v>0</v>
      </c>
      <c r="Q45" s="21"/>
      <c r="R45" s="138"/>
      <c r="S45" s="143"/>
      <c r="T45" s="55"/>
      <c r="U45" s="49"/>
      <c r="V45" s="140"/>
      <c r="W45" s="39"/>
      <c r="X45" s="141"/>
      <c r="Y45" s="142"/>
      <c r="Z45" s="21"/>
      <c r="AA45" s="21"/>
      <c r="AB45" s="21"/>
    </row>
    <row r="46" ht="20.25" customHeight="1">
      <c r="A46" s="20"/>
      <c r="B46" s="129"/>
      <c r="H46" s="130"/>
      <c r="I46" s="27"/>
      <c r="J46" s="54"/>
      <c r="K46" s="56"/>
      <c r="L46" s="88">
        <f t="shared" si="26"/>
        <v>0</v>
      </c>
      <c r="M46" s="88">
        <f t="shared" si="27"/>
        <v>0</v>
      </c>
      <c r="N46" s="83">
        <f t="shared" ref="N46:O46" si="32">K24+N24+K35+N35+K46</f>
        <v>0</v>
      </c>
      <c r="O46" s="83">
        <f t="shared" si="32"/>
        <v>0</v>
      </c>
      <c r="P46" s="88">
        <f t="shared" si="29"/>
        <v>0</v>
      </c>
      <c r="Q46" s="21"/>
      <c r="R46" s="138"/>
      <c r="S46" s="143"/>
      <c r="T46" s="55"/>
      <c r="U46" s="49"/>
      <c r="V46" s="140"/>
      <c r="W46" s="39"/>
      <c r="X46" s="141"/>
      <c r="Y46" s="142"/>
      <c r="Z46" s="21"/>
      <c r="AA46" s="21"/>
      <c r="AB46" s="21"/>
    </row>
    <row r="47" ht="20.25" customHeight="1">
      <c r="A47" s="20"/>
      <c r="B47" s="129"/>
      <c r="H47" s="130"/>
      <c r="I47" s="27"/>
      <c r="J47" s="54"/>
      <c r="K47" s="56"/>
      <c r="L47" s="88">
        <f t="shared" si="26"/>
        <v>0</v>
      </c>
      <c r="M47" s="88">
        <f t="shared" si="27"/>
        <v>0</v>
      </c>
      <c r="N47" s="83">
        <f t="shared" ref="N47:O47" si="33">K25+N25+K36+N36+K47</f>
        <v>0</v>
      </c>
      <c r="O47" s="83">
        <f t="shared" si="33"/>
        <v>0</v>
      </c>
      <c r="P47" s="88">
        <f t="shared" si="29"/>
        <v>0</v>
      </c>
      <c r="Q47" s="21"/>
      <c r="R47" s="138"/>
      <c r="S47" s="143"/>
      <c r="T47" s="55"/>
      <c r="U47" s="49"/>
      <c r="V47" s="140"/>
      <c r="W47" s="39"/>
      <c r="X47" s="141"/>
      <c r="Y47" s="142"/>
      <c r="Z47" s="21"/>
      <c r="AA47" s="21"/>
      <c r="AB47" s="21"/>
    </row>
    <row r="48" ht="20.25" customHeight="1">
      <c r="A48" s="20"/>
      <c r="B48" s="129"/>
      <c r="H48" s="130"/>
      <c r="I48" s="27"/>
      <c r="J48" s="54"/>
      <c r="K48" s="56"/>
      <c r="L48" s="88">
        <f t="shared" si="26"/>
        <v>0</v>
      </c>
      <c r="M48" s="88">
        <f t="shared" si="27"/>
        <v>0</v>
      </c>
      <c r="N48" s="83">
        <f t="shared" ref="N48:O48" si="34">K26+N26+K37+N37+K48</f>
        <v>0</v>
      </c>
      <c r="O48" s="83">
        <f t="shared" si="34"/>
        <v>0</v>
      </c>
      <c r="P48" s="88">
        <f t="shared" si="29"/>
        <v>0</v>
      </c>
      <c r="Q48" s="21"/>
      <c r="R48" s="138"/>
      <c r="S48" s="143"/>
      <c r="T48" s="55"/>
      <c r="U48" s="49"/>
      <c r="V48" s="140"/>
      <c r="W48" s="39"/>
      <c r="X48" s="141"/>
      <c r="Y48" s="142"/>
      <c r="Z48" s="21"/>
      <c r="AA48" s="21"/>
      <c r="AB48" s="21"/>
    </row>
    <row r="49" ht="20.25" customHeight="1">
      <c r="A49" s="20"/>
      <c r="B49" s="121"/>
      <c r="C49" s="131"/>
      <c r="D49" s="131"/>
      <c r="E49" s="131"/>
      <c r="F49" s="131"/>
      <c r="G49" s="131"/>
      <c r="H49" s="122"/>
      <c r="I49" s="27"/>
      <c r="J49" s="89" t="s">
        <v>83</v>
      </c>
      <c r="K49" s="88">
        <f t="shared" ref="K49:L49" si="35">SUM(K42:K48)</f>
        <v>0</v>
      </c>
      <c r="L49" s="88">
        <f t="shared" si="35"/>
        <v>0</v>
      </c>
      <c r="M49" s="88">
        <f t="shared" si="27"/>
        <v>0</v>
      </c>
      <c r="N49" s="88">
        <f t="shared" ref="N49:O49" si="36">SUM(N42:N48)</f>
        <v>0</v>
      </c>
      <c r="O49" s="88">
        <f t="shared" si="36"/>
        <v>0</v>
      </c>
      <c r="P49" s="88">
        <f t="shared" si="29"/>
        <v>0</v>
      </c>
      <c r="Q49" s="21"/>
      <c r="R49" s="138"/>
      <c r="S49" s="143"/>
      <c r="T49" s="55"/>
      <c r="U49" s="49"/>
      <c r="V49" s="140"/>
      <c r="W49" s="39"/>
      <c r="X49" s="141"/>
      <c r="Y49" s="142"/>
      <c r="Z49" s="21"/>
      <c r="AA49" s="21"/>
      <c r="AB49" s="21"/>
    </row>
    <row r="50" ht="6.75" customHeight="1">
      <c r="A50" s="20"/>
      <c r="E50" s="25"/>
      <c r="F50" s="132"/>
      <c r="G50" s="125"/>
      <c r="H50" s="125"/>
      <c r="I50" s="27"/>
      <c r="J50" s="133"/>
      <c r="K50" s="19"/>
      <c r="L50" s="78"/>
      <c r="M50" s="78"/>
      <c r="N50" s="78"/>
      <c r="O50" s="134"/>
      <c r="P50" s="94"/>
      <c r="Q50" s="21"/>
      <c r="R50" s="135"/>
      <c r="S50" s="135"/>
      <c r="T50" s="135"/>
      <c r="U50" s="137"/>
      <c r="V50" s="135"/>
      <c r="W50" s="135"/>
      <c r="X50" s="135"/>
      <c r="Y50" s="135"/>
      <c r="Z50" s="21"/>
      <c r="AA50" s="21"/>
      <c r="AB50" s="21"/>
    </row>
    <row r="51" hidden="1">
      <c r="F51" s="19"/>
      <c r="G51" s="106"/>
      <c r="H51" s="10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</row>
  </sheetData>
  <mergeCells count="67">
    <mergeCell ref="V32:W32"/>
    <mergeCell ref="V37:W37"/>
    <mergeCell ref="G40:H40"/>
    <mergeCell ref="J40:J41"/>
    <mergeCell ref="F41:F42"/>
    <mergeCell ref="G41:H42"/>
    <mergeCell ref="B44:H44"/>
    <mergeCell ref="B45:H49"/>
    <mergeCell ref="B33:D33"/>
    <mergeCell ref="F33:G33"/>
    <mergeCell ref="F34:G34"/>
    <mergeCell ref="F35:G35"/>
    <mergeCell ref="F36:G36"/>
    <mergeCell ref="F37:G37"/>
    <mergeCell ref="F38:G38"/>
    <mergeCell ref="V44:W44"/>
    <mergeCell ref="V45:W45"/>
    <mergeCell ref="V46:W46"/>
    <mergeCell ref="V47:W47"/>
    <mergeCell ref="V48:W48"/>
    <mergeCell ref="V49:W49"/>
    <mergeCell ref="V31:W31"/>
    <mergeCell ref="V38:W38"/>
    <mergeCell ref="V39:W39"/>
    <mergeCell ref="V40:W40"/>
    <mergeCell ref="V41:W41"/>
    <mergeCell ref="V42:W42"/>
    <mergeCell ref="V43:W43"/>
    <mergeCell ref="R2:Y2"/>
    <mergeCell ref="B4:D4"/>
    <mergeCell ref="F4:H4"/>
    <mergeCell ref="V4:W4"/>
    <mergeCell ref="V5:W5"/>
    <mergeCell ref="V6:W6"/>
    <mergeCell ref="V7:W7"/>
    <mergeCell ref="V15:W15"/>
    <mergeCell ref="B16:D16"/>
    <mergeCell ref="F16:H16"/>
    <mergeCell ref="J16:P16"/>
    <mergeCell ref="V16:W16"/>
    <mergeCell ref="J18:J19"/>
    <mergeCell ref="V18:W18"/>
    <mergeCell ref="V19:W19"/>
    <mergeCell ref="V8:W8"/>
    <mergeCell ref="V9:W9"/>
    <mergeCell ref="V10:W10"/>
    <mergeCell ref="V11:W11"/>
    <mergeCell ref="V12:W12"/>
    <mergeCell ref="V13:W13"/>
    <mergeCell ref="V14:W14"/>
    <mergeCell ref="V26:W26"/>
    <mergeCell ref="V27:W27"/>
    <mergeCell ref="V28:W28"/>
    <mergeCell ref="J29:J30"/>
    <mergeCell ref="V29:W29"/>
    <mergeCell ref="V30:W30"/>
    <mergeCell ref="V17:W17"/>
    <mergeCell ref="V20:W20"/>
    <mergeCell ref="V21:W21"/>
    <mergeCell ref="V22:W22"/>
    <mergeCell ref="V23:W23"/>
    <mergeCell ref="V24:W24"/>
    <mergeCell ref="V25:W25"/>
    <mergeCell ref="V34:W34"/>
    <mergeCell ref="V35:W35"/>
    <mergeCell ref="V33:W33"/>
    <mergeCell ref="V36:W36"/>
  </mergeCells>
  <conditionalFormatting sqref="J5:P5 J7:P7 J9:P9 J11:P11 J13:P13">
    <cfRule type="expression" dxfId="4" priority="1">
      <formula>MONTH(J5)&lt;&gt;$B$1</formula>
    </cfRule>
  </conditionalFormatting>
  <dataValidations>
    <dataValidation type="list" allowBlank="1" sqref="B6:B13">
      <formula1>list!$A$2:$A51</formula1>
    </dataValidation>
    <dataValidation type="list" allowBlank="1" sqref="F6:F13">
      <formula1>list!$B$2:$B51</formula1>
    </dataValidation>
    <dataValidation type="list" allowBlank="1" sqref="J20:J26 B19:B30 F19:F30 J31:J37 J42:J48">
      <formula1>list!$C$2:$C51</formula1>
    </dataValidation>
    <dataValidation type="list" allowBlank="1" sqref="C6:C13 G6:G13 C19:C30 C35:C41 T5:T49">
      <formula1>list!$F$2:$F51</formula1>
    </dataValidation>
    <dataValidation type="list" allowBlank="1" sqref="U5:U49">
      <formula1>list!$C$2:$C51</formula1>
    </dataValidation>
    <dataValidation type="list" allowBlank="1" sqref="B35:B41">
      <formula1>list!$D$2:$D51</formula1>
    </dataValidation>
    <dataValidation type="list" allowBlank="1" showErrorMessage="1" sqref="S5:S49">
      <formula1>"1week,2week,3week,4week,5week"</formula1>
    </dataValidation>
    <dataValidation type="custom" allowBlank="1" showDropDown="1" showErrorMessage="1" sqref="J28 J39 R5:R49 J50 R50:Y50">
      <formula1>OR(NOT(ISERROR(DATEVALUE(J5))), AND(ISNUMBER(J5), LEFT(CELL("format", J5))="D"))</formula1>
    </dataValidation>
    <dataValidation type="list" allowBlank="1" showErrorMessage="1" sqref="Y5:Y49">
      <formula1>"〇,△,✕"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8CC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.0"/>
    <col customWidth="1" min="2" max="2" width="18.0"/>
    <col customWidth="1" min="3" max="4" width="11.63"/>
    <col customWidth="1" min="5" max="5" width="2.0"/>
    <col customWidth="1" min="6" max="6" width="18.0"/>
    <col customWidth="1" min="7" max="8" width="11.63"/>
    <col customWidth="1" min="9" max="9" width="2.63"/>
    <col customWidth="1" min="10" max="16" width="13.88"/>
    <col customWidth="1" min="17" max="17" width="2.63"/>
    <col customWidth="1" min="18" max="25" width="12.75"/>
    <col customWidth="1" min="26" max="26" width="2.0"/>
    <col customWidth="1" hidden="1" min="27" max="28" width="11.0"/>
  </cols>
  <sheetData>
    <row r="1" ht="42.0" customHeight="1">
      <c r="A1" s="10"/>
      <c r="B1" s="11">
        <v>7.0</v>
      </c>
      <c r="C1" s="12"/>
      <c r="D1" s="12" t="s">
        <v>29</v>
      </c>
      <c r="E1" s="13"/>
      <c r="F1" s="12"/>
      <c r="G1" s="14"/>
      <c r="H1" s="14"/>
      <c r="I1" s="15"/>
      <c r="J1" s="12" t="s">
        <v>30</v>
      </c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6"/>
      <c r="AB1" s="16"/>
    </row>
    <row r="2" ht="21.75" customHeight="1">
      <c r="A2" s="17"/>
      <c r="B2" s="18">
        <v>2025.0</v>
      </c>
      <c r="C2" s="19"/>
      <c r="D2" s="19"/>
      <c r="G2" s="20"/>
      <c r="H2" s="20"/>
      <c r="I2" s="21"/>
      <c r="J2" s="22">
        <f>DATE(B2,B1,1)</f>
        <v>45839</v>
      </c>
      <c r="K2" s="21"/>
      <c r="L2" s="21"/>
      <c r="M2" s="21"/>
      <c r="N2" s="21"/>
      <c r="O2" s="21"/>
      <c r="P2" s="21"/>
      <c r="Q2" s="21"/>
      <c r="R2" s="23" t="s">
        <v>31</v>
      </c>
      <c r="Z2" s="21"/>
      <c r="AA2" s="21"/>
      <c r="AB2" s="21"/>
    </row>
    <row r="3" ht="7.5" customHeight="1">
      <c r="A3" s="20"/>
      <c r="B3" s="24"/>
      <c r="C3" s="25"/>
      <c r="D3" s="25"/>
      <c r="E3" s="25"/>
      <c r="F3" s="26"/>
      <c r="G3" s="26"/>
      <c r="H3" s="26"/>
      <c r="I3" s="27"/>
      <c r="J3" s="25"/>
      <c r="K3" s="25"/>
      <c r="L3" s="25"/>
      <c r="M3" s="27"/>
      <c r="N3" s="27"/>
      <c r="O3" s="27"/>
      <c r="P3" s="27"/>
      <c r="Q3" s="21"/>
      <c r="Z3" s="21"/>
      <c r="AA3" s="21"/>
      <c r="AB3" s="21"/>
    </row>
    <row r="4" ht="20.25" customHeight="1">
      <c r="A4" s="28"/>
      <c r="B4" s="29" t="s">
        <v>32</v>
      </c>
      <c r="C4" s="30"/>
      <c r="D4" s="31"/>
      <c r="E4" s="32"/>
      <c r="F4" s="29" t="s">
        <v>33</v>
      </c>
      <c r="G4" s="30"/>
      <c r="H4" s="31"/>
      <c r="I4" s="27"/>
      <c r="J4" s="33" t="s">
        <v>34</v>
      </c>
      <c r="K4" s="33" t="s">
        <v>35</v>
      </c>
      <c r="L4" s="33" t="s">
        <v>36</v>
      </c>
      <c r="M4" s="33" t="s">
        <v>37</v>
      </c>
      <c r="N4" s="33" t="s">
        <v>38</v>
      </c>
      <c r="O4" s="34" t="s">
        <v>39</v>
      </c>
      <c r="P4" s="35" t="s">
        <v>40</v>
      </c>
      <c r="Q4" s="21"/>
      <c r="R4" s="36" t="s">
        <v>41</v>
      </c>
      <c r="S4" s="37" t="s">
        <v>42</v>
      </c>
      <c r="T4" s="37" t="s">
        <v>43</v>
      </c>
      <c r="U4" s="37" t="s">
        <v>44</v>
      </c>
      <c r="V4" s="38" t="s">
        <v>45</v>
      </c>
      <c r="W4" s="39"/>
      <c r="X4" s="37" t="s">
        <v>46</v>
      </c>
      <c r="Y4" s="37" t="s">
        <v>47</v>
      </c>
      <c r="Z4" s="21"/>
      <c r="AA4" s="21"/>
      <c r="AB4" s="21"/>
    </row>
    <row r="5" ht="20.25" customHeight="1">
      <c r="A5" s="40"/>
      <c r="B5" s="41" t="s">
        <v>44</v>
      </c>
      <c r="C5" s="42" t="s">
        <v>48</v>
      </c>
      <c r="D5" s="41" t="s">
        <v>46</v>
      </c>
      <c r="E5" s="32"/>
      <c r="F5" s="41" t="s">
        <v>44</v>
      </c>
      <c r="G5" s="41" t="s">
        <v>43</v>
      </c>
      <c r="H5" s="41" t="s">
        <v>46</v>
      </c>
      <c r="I5" s="27"/>
      <c r="J5" s="43">
        <f>$J$2-weekday($J$2)+2</f>
        <v>45838</v>
      </c>
      <c r="K5" s="43">
        <f t="shared" ref="K5:P5" si="1">J5+1</f>
        <v>45839</v>
      </c>
      <c r="L5" s="43">
        <f t="shared" si="1"/>
        <v>45840</v>
      </c>
      <c r="M5" s="43">
        <f t="shared" si="1"/>
        <v>45841</v>
      </c>
      <c r="N5" s="43">
        <f t="shared" si="1"/>
        <v>45842</v>
      </c>
      <c r="O5" s="44">
        <f t="shared" si="1"/>
        <v>45843</v>
      </c>
      <c r="P5" s="45">
        <f t="shared" si="1"/>
        <v>45844</v>
      </c>
      <c r="Q5" s="21"/>
      <c r="R5" s="138">
        <v>45839.0</v>
      </c>
      <c r="S5" s="139"/>
      <c r="T5" s="55"/>
      <c r="U5" s="49"/>
      <c r="V5" s="140"/>
      <c r="W5" s="39"/>
      <c r="X5" s="141"/>
      <c r="Y5" s="142"/>
      <c r="Z5" s="21"/>
      <c r="AA5" s="21"/>
      <c r="AB5" s="21"/>
    </row>
    <row r="6" ht="20.25" customHeight="1">
      <c r="A6" s="53"/>
      <c r="B6" s="54"/>
      <c r="C6" s="55"/>
      <c r="D6" s="56"/>
      <c r="E6" s="57"/>
      <c r="F6" s="58"/>
      <c r="G6" s="55"/>
      <c r="H6" s="56"/>
      <c r="I6" s="27"/>
      <c r="J6" s="60">
        <f t="shared" ref="J6:P6" si="2">sumifs($X:$X,$R:$R,J5)</f>
        <v>0</v>
      </c>
      <c r="K6" s="60">
        <f t="shared" si="2"/>
        <v>0</v>
      </c>
      <c r="L6" s="60">
        <f t="shared" si="2"/>
        <v>0</v>
      </c>
      <c r="M6" s="60">
        <f t="shared" si="2"/>
        <v>0</v>
      </c>
      <c r="N6" s="60">
        <f t="shared" si="2"/>
        <v>0</v>
      </c>
      <c r="O6" s="60">
        <f t="shared" si="2"/>
        <v>0</v>
      </c>
      <c r="P6" s="60">
        <f t="shared" si="2"/>
        <v>0</v>
      </c>
      <c r="Q6" s="21"/>
      <c r="R6" s="138"/>
      <c r="S6" s="139"/>
      <c r="T6" s="55"/>
      <c r="U6" s="49"/>
      <c r="V6" s="140"/>
      <c r="W6" s="39"/>
      <c r="X6" s="141"/>
      <c r="Y6" s="142"/>
      <c r="Z6" s="21"/>
      <c r="AA6" s="21"/>
      <c r="AB6" s="21"/>
    </row>
    <row r="7" ht="20.25" customHeight="1">
      <c r="A7" s="53"/>
      <c r="B7" s="54"/>
      <c r="C7" s="55"/>
      <c r="D7" s="56"/>
      <c r="E7" s="57"/>
      <c r="F7" s="58"/>
      <c r="G7" s="55"/>
      <c r="H7" s="56"/>
      <c r="I7" s="27"/>
      <c r="J7" s="61">
        <f t="shared" ref="J7:P7" si="3">J5+7</f>
        <v>45845</v>
      </c>
      <c r="K7" s="61">
        <f t="shared" si="3"/>
        <v>45846</v>
      </c>
      <c r="L7" s="61">
        <f t="shared" si="3"/>
        <v>45847</v>
      </c>
      <c r="M7" s="61">
        <f t="shared" si="3"/>
        <v>45848</v>
      </c>
      <c r="N7" s="61">
        <f t="shared" si="3"/>
        <v>45849</v>
      </c>
      <c r="O7" s="62">
        <f t="shared" si="3"/>
        <v>45850</v>
      </c>
      <c r="P7" s="63">
        <f t="shared" si="3"/>
        <v>45851</v>
      </c>
      <c r="Q7" s="21"/>
      <c r="R7" s="138"/>
      <c r="S7" s="139"/>
      <c r="T7" s="55"/>
      <c r="U7" s="49"/>
      <c r="V7" s="140"/>
      <c r="W7" s="39"/>
      <c r="X7" s="141"/>
      <c r="Y7" s="142"/>
      <c r="Z7" s="21"/>
      <c r="AA7" s="21"/>
      <c r="AB7" s="21"/>
    </row>
    <row r="8" ht="20.25" customHeight="1">
      <c r="A8" s="53"/>
      <c r="B8" s="54"/>
      <c r="C8" s="55"/>
      <c r="D8" s="56"/>
      <c r="E8" s="57"/>
      <c r="F8" s="58"/>
      <c r="G8" s="55"/>
      <c r="H8" s="59"/>
      <c r="I8" s="27"/>
      <c r="J8" s="60">
        <f t="shared" ref="J8:P8" si="4">sumifs($X:$X,$R:$R,J7)</f>
        <v>0</v>
      </c>
      <c r="K8" s="60">
        <f t="shared" si="4"/>
        <v>0</v>
      </c>
      <c r="L8" s="60">
        <f t="shared" si="4"/>
        <v>0</v>
      </c>
      <c r="M8" s="60">
        <f t="shared" si="4"/>
        <v>0</v>
      </c>
      <c r="N8" s="60">
        <f t="shared" si="4"/>
        <v>0</v>
      </c>
      <c r="O8" s="60">
        <f t="shared" si="4"/>
        <v>0</v>
      </c>
      <c r="P8" s="60">
        <f t="shared" si="4"/>
        <v>0</v>
      </c>
      <c r="Q8" s="21"/>
      <c r="R8" s="138"/>
      <c r="S8" s="139"/>
      <c r="T8" s="55"/>
      <c r="U8" s="49"/>
      <c r="V8" s="140"/>
      <c r="W8" s="39"/>
      <c r="X8" s="141"/>
      <c r="Y8" s="142"/>
      <c r="Z8" s="21"/>
      <c r="AA8" s="21"/>
      <c r="AB8" s="21"/>
    </row>
    <row r="9" ht="20.25" customHeight="1">
      <c r="A9" s="64"/>
      <c r="B9" s="54"/>
      <c r="C9" s="55"/>
      <c r="D9" s="59"/>
      <c r="E9" s="57"/>
      <c r="F9" s="58"/>
      <c r="G9" s="55"/>
      <c r="H9" s="59"/>
      <c r="I9" s="27"/>
      <c r="J9" s="43">
        <f t="shared" ref="J9:P9" si="5">J7+7</f>
        <v>45852</v>
      </c>
      <c r="K9" s="43">
        <f t="shared" si="5"/>
        <v>45853</v>
      </c>
      <c r="L9" s="43">
        <f t="shared" si="5"/>
        <v>45854</v>
      </c>
      <c r="M9" s="43">
        <f t="shared" si="5"/>
        <v>45855</v>
      </c>
      <c r="N9" s="43">
        <f t="shared" si="5"/>
        <v>45856</v>
      </c>
      <c r="O9" s="44">
        <f t="shared" si="5"/>
        <v>45857</v>
      </c>
      <c r="P9" s="45">
        <f t="shared" si="5"/>
        <v>45858</v>
      </c>
      <c r="Q9" s="21"/>
      <c r="R9" s="138"/>
      <c r="S9" s="139"/>
      <c r="T9" s="55"/>
      <c r="U9" s="49"/>
      <c r="V9" s="140"/>
      <c r="W9" s="39"/>
      <c r="X9" s="141"/>
      <c r="Y9" s="142"/>
      <c r="Z9" s="21"/>
      <c r="AA9" s="21"/>
      <c r="AB9" s="21"/>
    </row>
    <row r="10" ht="20.25" customHeight="1">
      <c r="A10" s="64"/>
      <c r="B10" s="54"/>
      <c r="C10" s="55"/>
      <c r="D10" s="56"/>
      <c r="E10" s="57"/>
      <c r="F10" s="65"/>
      <c r="G10" s="55"/>
      <c r="H10" s="66"/>
      <c r="I10" s="27"/>
      <c r="J10" s="60">
        <f t="shared" ref="J10:P10" si="6">sumifs($X:$X,$R:$R,J9)</f>
        <v>0</v>
      </c>
      <c r="K10" s="60">
        <f t="shared" si="6"/>
        <v>0</v>
      </c>
      <c r="L10" s="60">
        <f t="shared" si="6"/>
        <v>0</v>
      </c>
      <c r="M10" s="60">
        <f t="shared" si="6"/>
        <v>0</v>
      </c>
      <c r="N10" s="60">
        <f t="shared" si="6"/>
        <v>0</v>
      </c>
      <c r="O10" s="60">
        <f t="shared" si="6"/>
        <v>0</v>
      </c>
      <c r="P10" s="60">
        <f t="shared" si="6"/>
        <v>0</v>
      </c>
      <c r="Q10" s="21"/>
      <c r="R10" s="138"/>
      <c r="S10" s="139"/>
      <c r="T10" s="55"/>
      <c r="U10" s="49"/>
      <c r="V10" s="140"/>
      <c r="W10" s="39"/>
      <c r="X10" s="141"/>
      <c r="Y10" s="142"/>
      <c r="Z10" s="21"/>
      <c r="AA10" s="21"/>
      <c r="AB10" s="21"/>
    </row>
    <row r="11" ht="20.25" customHeight="1">
      <c r="A11" s="64"/>
      <c r="B11" s="54"/>
      <c r="C11" s="55"/>
      <c r="D11" s="67"/>
      <c r="E11" s="57"/>
      <c r="F11" s="65"/>
      <c r="G11" s="55"/>
      <c r="H11" s="66"/>
      <c r="I11" s="27"/>
      <c r="J11" s="61">
        <f t="shared" ref="J11:P11" si="7">J9+7</f>
        <v>45859</v>
      </c>
      <c r="K11" s="61">
        <f t="shared" si="7"/>
        <v>45860</v>
      </c>
      <c r="L11" s="61">
        <f t="shared" si="7"/>
        <v>45861</v>
      </c>
      <c r="M11" s="61">
        <f t="shared" si="7"/>
        <v>45862</v>
      </c>
      <c r="N11" s="61">
        <f t="shared" si="7"/>
        <v>45863</v>
      </c>
      <c r="O11" s="62">
        <f t="shared" si="7"/>
        <v>45864</v>
      </c>
      <c r="P11" s="63">
        <f t="shared" si="7"/>
        <v>45865</v>
      </c>
      <c r="Q11" s="21"/>
      <c r="R11" s="138"/>
      <c r="S11" s="139"/>
      <c r="T11" s="55"/>
      <c r="U11" s="49"/>
      <c r="V11" s="140"/>
      <c r="W11" s="39"/>
      <c r="X11" s="141"/>
      <c r="Y11" s="142"/>
      <c r="Z11" s="21"/>
      <c r="AA11" s="21"/>
      <c r="AB11" s="21"/>
    </row>
    <row r="12" ht="20.25" customHeight="1">
      <c r="A12" s="64"/>
      <c r="B12" s="68"/>
      <c r="C12" s="55"/>
      <c r="D12" s="67"/>
      <c r="E12" s="57"/>
      <c r="F12" s="65"/>
      <c r="G12" s="55"/>
      <c r="H12" s="66"/>
      <c r="I12" s="27"/>
      <c r="J12" s="60">
        <f t="shared" ref="J12:P12" si="8">sumifs($X:$X,$R:$R,J11)</f>
        <v>0</v>
      </c>
      <c r="K12" s="60">
        <f t="shared" si="8"/>
        <v>0</v>
      </c>
      <c r="L12" s="60">
        <f t="shared" si="8"/>
        <v>0</v>
      </c>
      <c r="M12" s="60">
        <f t="shared" si="8"/>
        <v>0</v>
      </c>
      <c r="N12" s="60">
        <f t="shared" si="8"/>
        <v>0</v>
      </c>
      <c r="O12" s="60">
        <f t="shared" si="8"/>
        <v>0</v>
      </c>
      <c r="P12" s="60">
        <f t="shared" si="8"/>
        <v>0</v>
      </c>
      <c r="Q12" s="21"/>
      <c r="R12" s="138"/>
      <c r="S12" s="139"/>
      <c r="T12" s="55"/>
      <c r="U12" s="49"/>
      <c r="V12" s="140"/>
      <c r="W12" s="39"/>
      <c r="X12" s="141"/>
      <c r="Y12" s="142"/>
      <c r="Z12" s="21"/>
      <c r="AA12" s="21"/>
      <c r="AB12" s="21"/>
    </row>
    <row r="13" ht="20.25" customHeight="1">
      <c r="A13" s="64"/>
      <c r="B13" s="68"/>
      <c r="C13" s="55"/>
      <c r="D13" s="67"/>
      <c r="E13" s="57"/>
      <c r="F13" s="65"/>
      <c r="G13" s="55"/>
      <c r="H13" s="66"/>
      <c r="I13" s="27"/>
      <c r="J13" s="43">
        <f t="shared" ref="J13:P13" si="9">J11+7</f>
        <v>45866</v>
      </c>
      <c r="K13" s="43">
        <f t="shared" si="9"/>
        <v>45867</v>
      </c>
      <c r="L13" s="43">
        <f t="shared" si="9"/>
        <v>45868</v>
      </c>
      <c r="M13" s="43">
        <f t="shared" si="9"/>
        <v>45869</v>
      </c>
      <c r="N13" s="43">
        <f t="shared" si="9"/>
        <v>45870</v>
      </c>
      <c r="O13" s="44">
        <f t="shared" si="9"/>
        <v>45871</v>
      </c>
      <c r="P13" s="45">
        <f t="shared" si="9"/>
        <v>45872</v>
      </c>
      <c r="Q13" s="21"/>
      <c r="R13" s="138"/>
      <c r="S13" s="139"/>
      <c r="T13" s="55"/>
      <c r="U13" s="49"/>
      <c r="V13" s="140"/>
      <c r="W13" s="39"/>
      <c r="X13" s="141"/>
      <c r="Y13" s="142"/>
      <c r="Z13" s="21"/>
      <c r="AA13" s="21"/>
      <c r="AB13" s="21"/>
    </row>
    <row r="14" ht="20.25" customHeight="1">
      <c r="A14" s="69"/>
      <c r="B14" s="70" t="s">
        <v>60</v>
      </c>
      <c r="C14" s="72"/>
      <c r="D14" s="72">
        <f>SUM(D6:D13)</f>
        <v>0</v>
      </c>
      <c r="E14" s="57"/>
      <c r="F14" s="70" t="s">
        <v>60</v>
      </c>
      <c r="G14" s="72"/>
      <c r="H14" s="72">
        <f>SUM(H6:H13)</f>
        <v>0</v>
      </c>
      <c r="I14" s="27"/>
      <c r="J14" s="60">
        <f t="shared" ref="J14:P14" si="10">sumifs($X:$X,$R:$R,J13)</f>
        <v>0</v>
      </c>
      <c r="K14" s="60">
        <f t="shared" si="10"/>
        <v>0</v>
      </c>
      <c r="L14" s="60">
        <f t="shared" si="10"/>
        <v>0</v>
      </c>
      <c r="M14" s="60">
        <f t="shared" si="10"/>
        <v>0</v>
      </c>
      <c r="N14" s="60">
        <f t="shared" si="10"/>
        <v>0</v>
      </c>
      <c r="O14" s="60">
        <f t="shared" si="10"/>
        <v>0</v>
      </c>
      <c r="P14" s="60">
        <f t="shared" si="10"/>
        <v>0</v>
      </c>
      <c r="Q14" s="21"/>
      <c r="R14" s="138"/>
      <c r="S14" s="139"/>
      <c r="T14" s="55"/>
      <c r="U14" s="49"/>
      <c r="V14" s="140"/>
      <c r="W14" s="39"/>
      <c r="X14" s="141"/>
      <c r="Y14" s="142"/>
      <c r="Z14" s="21"/>
      <c r="AA14" s="21"/>
      <c r="AB14" s="21"/>
    </row>
    <row r="15" ht="20.25" customHeight="1">
      <c r="A15" s="20"/>
      <c r="B15" s="24"/>
      <c r="C15" s="32"/>
      <c r="D15" s="32"/>
      <c r="E15" s="32"/>
      <c r="F15" s="32"/>
      <c r="G15" s="24"/>
      <c r="H15" s="24"/>
      <c r="I15" s="27"/>
      <c r="J15" s="25"/>
      <c r="K15" s="25"/>
      <c r="L15" s="25"/>
      <c r="M15" s="25"/>
      <c r="N15" s="25"/>
      <c r="O15" s="25"/>
      <c r="P15" s="25"/>
      <c r="Q15" s="21"/>
      <c r="R15" s="138"/>
      <c r="S15" s="139"/>
      <c r="T15" s="55"/>
      <c r="U15" s="49"/>
      <c r="V15" s="140"/>
      <c r="W15" s="39"/>
      <c r="X15" s="141"/>
      <c r="Y15" s="142"/>
      <c r="Z15" s="21"/>
      <c r="AA15" s="21"/>
      <c r="AB15" s="21"/>
    </row>
    <row r="16" ht="20.25" customHeight="1">
      <c r="A16" s="28"/>
      <c r="B16" s="73" t="s">
        <v>61</v>
      </c>
      <c r="E16" s="27"/>
      <c r="F16" s="73" t="s">
        <v>61</v>
      </c>
      <c r="I16" s="27"/>
      <c r="J16" s="74" t="s">
        <v>62</v>
      </c>
      <c r="Q16" s="21"/>
      <c r="R16" s="138"/>
      <c r="S16" s="139"/>
      <c r="T16" s="55"/>
      <c r="U16" s="49"/>
      <c r="V16" s="140"/>
      <c r="W16" s="39"/>
      <c r="X16" s="141"/>
      <c r="Y16" s="142"/>
      <c r="Z16" s="21"/>
      <c r="AA16" s="21"/>
      <c r="AB16" s="21"/>
    </row>
    <row r="17" ht="20.25" customHeight="1">
      <c r="A17" s="40"/>
      <c r="B17" s="69" t="s">
        <v>63</v>
      </c>
      <c r="C17" s="75"/>
      <c r="D17" s="75"/>
      <c r="E17" s="53"/>
      <c r="F17" s="69" t="s">
        <v>64</v>
      </c>
      <c r="G17" s="76"/>
      <c r="H17" s="76"/>
      <c r="I17" s="27"/>
      <c r="J17" s="77"/>
      <c r="K17" s="78"/>
      <c r="L17" s="78"/>
      <c r="M17" s="78"/>
      <c r="N17" s="78"/>
      <c r="O17" s="78"/>
      <c r="P17" s="78"/>
      <c r="Q17" s="21"/>
      <c r="R17" s="138"/>
      <c r="S17" s="139"/>
      <c r="T17" s="55"/>
      <c r="U17" s="49"/>
      <c r="V17" s="140"/>
      <c r="W17" s="39"/>
      <c r="X17" s="141"/>
      <c r="Y17" s="142"/>
      <c r="Z17" s="21"/>
      <c r="AA17" s="21"/>
      <c r="AB17" s="21"/>
    </row>
    <row r="18" ht="20.25" customHeight="1">
      <c r="A18" s="40"/>
      <c r="B18" s="41" t="s">
        <v>44</v>
      </c>
      <c r="C18" s="41" t="s">
        <v>43</v>
      </c>
      <c r="D18" s="41" t="s">
        <v>46</v>
      </c>
      <c r="E18" s="57"/>
      <c r="F18" s="41" t="s">
        <v>44</v>
      </c>
      <c r="G18" s="41" t="s">
        <v>65</v>
      </c>
      <c r="H18" s="41" t="s">
        <v>46</v>
      </c>
      <c r="I18" s="27"/>
      <c r="J18" s="79" t="s">
        <v>66</v>
      </c>
      <c r="K18" s="80"/>
      <c r="L18" s="81" t="s">
        <v>49</v>
      </c>
      <c r="M18" s="82"/>
      <c r="N18" s="80"/>
      <c r="O18" s="81" t="s">
        <v>67</v>
      </c>
      <c r="P18" s="82"/>
      <c r="Q18" s="21"/>
      <c r="R18" s="138"/>
      <c r="S18" s="139"/>
      <c r="T18" s="55"/>
      <c r="U18" s="49"/>
      <c r="V18" s="140"/>
      <c r="W18" s="39"/>
      <c r="X18" s="141"/>
      <c r="Y18" s="142"/>
      <c r="Z18" s="21"/>
      <c r="AA18" s="21"/>
      <c r="AB18" s="21"/>
    </row>
    <row r="19" ht="20.25" customHeight="1">
      <c r="A19" s="53"/>
      <c r="B19" s="54"/>
      <c r="C19" s="55"/>
      <c r="D19" s="56"/>
      <c r="E19" s="57"/>
      <c r="F19" s="54"/>
      <c r="G19" s="56"/>
      <c r="H19" s="83">
        <f t="shared" ref="H19:H30" si="11">sumifs($X:$X,$U:$U,F19)</f>
        <v>0</v>
      </c>
      <c r="I19" s="27"/>
      <c r="J19" s="84"/>
      <c r="K19" s="85" t="s">
        <v>65</v>
      </c>
      <c r="L19" s="85" t="s">
        <v>46</v>
      </c>
      <c r="M19" s="85" t="s">
        <v>69</v>
      </c>
      <c r="N19" s="86" t="s">
        <v>65</v>
      </c>
      <c r="O19" s="86" t="s">
        <v>46</v>
      </c>
      <c r="P19" s="86" t="s">
        <v>69</v>
      </c>
      <c r="Q19" s="21"/>
      <c r="R19" s="138"/>
      <c r="S19" s="139"/>
      <c r="T19" s="55"/>
      <c r="U19" s="49"/>
      <c r="V19" s="140"/>
      <c r="W19" s="39"/>
      <c r="X19" s="141"/>
      <c r="Y19" s="142"/>
      <c r="Z19" s="21"/>
      <c r="AA19" s="21"/>
      <c r="AB19" s="21"/>
    </row>
    <row r="20" ht="20.25" customHeight="1">
      <c r="A20" s="53"/>
      <c r="B20" s="54"/>
      <c r="C20" s="55"/>
      <c r="D20" s="56"/>
      <c r="E20" s="57"/>
      <c r="F20" s="54"/>
      <c r="G20" s="56"/>
      <c r="H20" s="83">
        <f t="shared" si="11"/>
        <v>0</v>
      </c>
      <c r="I20" s="27"/>
      <c r="J20" s="54"/>
      <c r="K20" s="87"/>
      <c r="L20" s="88">
        <f t="shared" ref="L20:L26" si="12">sumifs($X:$X,$S:$S,$L$18,$U:$U,J20)</f>
        <v>0</v>
      </c>
      <c r="M20" s="88">
        <f t="shared" ref="M20:M27" si="13">K20-L20</f>
        <v>0</v>
      </c>
      <c r="N20" s="87"/>
      <c r="O20" s="88">
        <f t="shared" ref="O20:O26" si="14">sumifs($X:$X,$S:$S,$O$18,$U:$U,J20)</f>
        <v>0</v>
      </c>
      <c r="P20" s="88">
        <f t="shared" ref="P20:P27" si="15">N20-O20</f>
        <v>0</v>
      </c>
      <c r="Q20" s="21"/>
      <c r="R20" s="138"/>
      <c r="S20" s="139"/>
      <c r="T20" s="55"/>
      <c r="U20" s="49"/>
      <c r="V20" s="140"/>
      <c r="W20" s="39"/>
      <c r="X20" s="141"/>
      <c r="Y20" s="142"/>
      <c r="Z20" s="21"/>
      <c r="AA20" s="21"/>
      <c r="AB20" s="21"/>
    </row>
    <row r="21" ht="20.25" customHeight="1">
      <c r="A21" s="53"/>
      <c r="B21" s="54"/>
      <c r="C21" s="55"/>
      <c r="D21" s="56"/>
      <c r="E21" s="57"/>
      <c r="F21" s="54"/>
      <c r="G21" s="56"/>
      <c r="H21" s="83">
        <f t="shared" si="11"/>
        <v>0</v>
      </c>
      <c r="I21" s="27"/>
      <c r="J21" s="54"/>
      <c r="K21" s="87"/>
      <c r="L21" s="88">
        <f t="shared" si="12"/>
        <v>0</v>
      </c>
      <c r="M21" s="88">
        <f t="shared" si="13"/>
        <v>0</v>
      </c>
      <c r="N21" s="87"/>
      <c r="O21" s="88">
        <f t="shared" si="14"/>
        <v>0</v>
      </c>
      <c r="P21" s="88">
        <f t="shared" si="15"/>
        <v>0</v>
      </c>
      <c r="Q21" s="21"/>
      <c r="R21" s="138"/>
      <c r="S21" s="139"/>
      <c r="T21" s="55"/>
      <c r="U21" s="49"/>
      <c r="V21" s="140"/>
      <c r="W21" s="39"/>
      <c r="X21" s="141"/>
      <c r="Y21" s="142"/>
      <c r="Z21" s="21"/>
      <c r="AA21" s="21"/>
      <c r="AB21" s="21"/>
    </row>
    <row r="22" ht="20.25" customHeight="1">
      <c r="A22" s="53"/>
      <c r="B22" s="54"/>
      <c r="C22" s="55"/>
      <c r="D22" s="56"/>
      <c r="E22" s="57"/>
      <c r="F22" s="54"/>
      <c r="G22" s="56"/>
      <c r="H22" s="83">
        <f t="shared" si="11"/>
        <v>0</v>
      </c>
      <c r="I22" s="27"/>
      <c r="J22" s="54"/>
      <c r="K22" s="87"/>
      <c r="L22" s="88">
        <f t="shared" si="12"/>
        <v>0</v>
      </c>
      <c r="M22" s="88">
        <f t="shared" si="13"/>
        <v>0</v>
      </c>
      <c r="N22" s="87"/>
      <c r="O22" s="88">
        <f t="shared" si="14"/>
        <v>0</v>
      </c>
      <c r="P22" s="88">
        <f t="shared" si="15"/>
        <v>0</v>
      </c>
      <c r="Q22" s="21"/>
      <c r="R22" s="138"/>
      <c r="S22" s="139"/>
      <c r="T22" s="55"/>
      <c r="U22" s="49"/>
      <c r="V22" s="140"/>
      <c r="W22" s="39"/>
      <c r="X22" s="141"/>
      <c r="Y22" s="142"/>
      <c r="Z22" s="21"/>
      <c r="AA22" s="21"/>
      <c r="AB22" s="21"/>
    </row>
    <row r="23" ht="20.25" customHeight="1">
      <c r="A23" s="53"/>
      <c r="B23" s="54"/>
      <c r="C23" s="55"/>
      <c r="D23" s="56"/>
      <c r="E23" s="57"/>
      <c r="F23" s="54"/>
      <c r="G23" s="56"/>
      <c r="H23" s="83">
        <f t="shared" si="11"/>
        <v>0</v>
      </c>
      <c r="I23" s="27"/>
      <c r="J23" s="54"/>
      <c r="K23" s="87"/>
      <c r="L23" s="88">
        <f t="shared" si="12"/>
        <v>0</v>
      </c>
      <c r="M23" s="88">
        <f t="shared" si="13"/>
        <v>0</v>
      </c>
      <c r="N23" s="87"/>
      <c r="O23" s="88">
        <f t="shared" si="14"/>
        <v>0</v>
      </c>
      <c r="P23" s="88">
        <f t="shared" si="15"/>
        <v>0</v>
      </c>
      <c r="Q23" s="21"/>
      <c r="R23" s="138"/>
      <c r="S23" s="139"/>
      <c r="T23" s="55"/>
      <c r="U23" s="49"/>
      <c r="V23" s="140"/>
      <c r="W23" s="39"/>
      <c r="X23" s="141"/>
      <c r="Y23" s="142"/>
      <c r="Z23" s="21"/>
      <c r="AA23" s="21"/>
      <c r="AB23" s="21"/>
    </row>
    <row r="24" ht="20.25" customHeight="1">
      <c r="A24" s="53"/>
      <c r="B24" s="54"/>
      <c r="C24" s="55"/>
      <c r="D24" s="56"/>
      <c r="E24" s="57"/>
      <c r="F24" s="54"/>
      <c r="G24" s="56"/>
      <c r="H24" s="83">
        <f t="shared" si="11"/>
        <v>0</v>
      </c>
      <c r="I24" s="27"/>
      <c r="J24" s="54"/>
      <c r="K24" s="87"/>
      <c r="L24" s="88">
        <f t="shared" si="12"/>
        <v>0</v>
      </c>
      <c r="M24" s="88">
        <f t="shared" si="13"/>
        <v>0</v>
      </c>
      <c r="N24" s="87"/>
      <c r="O24" s="88">
        <f t="shared" si="14"/>
        <v>0</v>
      </c>
      <c r="P24" s="88">
        <f t="shared" si="15"/>
        <v>0</v>
      </c>
      <c r="Q24" s="21"/>
      <c r="R24" s="138"/>
      <c r="S24" s="139"/>
      <c r="T24" s="55"/>
      <c r="U24" s="49"/>
      <c r="V24" s="140"/>
      <c r="W24" s="39"/>
      <c r="X24" s="141"/>
      <c r="Y24" s="142"/>
      <c r="Z24" s="21"/>
      <c r="AA24" s="21"/>
      <c r="AB24" s="21"/>
    </row>
    <row r="25" ht="20.25" customHeight="1">
      <c r="A25" s="53"/>
      <c r="B25" s="54"/>
      <c r="C25" s="55"/>
      <c r="D25" s="56"/>
      <c r="E25" s="57"/>
      <c r="F25" s="54"/>
      <c r="G25" s="56"/>
      <c r="H25" s="83">
        <f t="shared" si="11"/>
        <v>0</v>
      </c>
      <c r="I25" s="27"/>
      <c r="J25" s="54"/>
      <c r="K25" s="87"/>
      <c r="L25" s="88">
        <f t="shared" si="12"/>
        <v>0</v>
      </c>
      <c r="M25" s="88">
        <f t="shared" si="13"/>
        <v>0</v>
      </c>
      <c r="N25" s="87"/>
      <c r="O25" s="88">
        <f t="shared" si="14"/>
        <v>0</v>
      </c>
      <c r="P25" s="88">
        <f t="shared" si="15"/>
        <v>0</v>
      </c>
      <c r="Q25" s="21"/>
      <c r="R25" s="138"/>
      <c r="S25" s="139"/>
      <c r="T25" s="55"/>
      <c r="U25" s="49"/>
      <c r="V25" s="140"/>
      <c r="W25" s="39"/>
      <c r="X25" s="141"/>
      <c r="Y25" s="142"/>
      <c r="Z25" s="21"/>
      <c r="AA25" s="21"/>
      <c r="AB25" s="21"/>
    </row>
    <row r="26" ht="20.25" customHeight="1">
      <c r="A26" s="53"/>
      <c r="B26" s="54"/>
      <c r="C26" s="55"/>
      <c r="D26" s="56"/>
      <c r="E26" s="57"/>
      <c r="F26" s="54"/>
      <c r="G26" s="56"/>
      <c r="H26" s="83">
        <f t="shared" si="11"/>
        <v>0</v>
      </c>
      <c r="I26" s="27"/>
      <c r="J26" s="54"/>
      <c r="K26" s="87"/>
      <c r="L26" s="88">
        <f t="shared" si="12"/>
        <v>0</v>
      </c>
      <c r="M26" s="88">
        <f t="shared" si="13"/>
        <v>0</v>
      </c>
      <c r="N26" s="87"/>
      <c r="O26" s="88">
        <f t="shared" si="14"/>
        <v>0</v>
      </c>
      <c r="P26" s="88">
        <f t="shared" si="15"/>
        <v>0</v>
      </c>
      <c r="Q26" s="21"/>
      <c r="R26" s="138"/>
      <c r="S26" s="139"/>
      <c r="T26" s="55"/>
      <c r="U26" s="49"/>
      <c r="V26" s="140"/>
      <c r="W26" s="39"/>
      <c r="X26" s="141"/>
      <c r="Y26" s="142"/>
      <c r="Z26" s="21"/>
      <c r="AA26" s="21"/>
      <c r="AB26" s="21"/>
    </row>
    <row r="27" ht="20.25" customHeight="1">
      <c r="A27" s="53"/>
      <c r="B27" s="54"/>
      <c r="C27" s="55"/>
      <c r="D27" s="56"/>
      <c r="E27" s="57"/>
      <c r="F27" s="54"/>
      <c r="G27" s="56"/>
      <c r="H27" s="83">
        <f t="shared" si="11"/>
        <v>0</v>
      </c>
      <c r="I27" s="27"/>
      <c r="J27" s="89" t="s">
        <v>83</v>
      </c>
      <c r="K27" s="88">
        <f t="shared" ref="K27:L27" si="16">SUM(K20:K26)</f>
        <v>0</v>
      </c>
      <c r="L27" s="88">
        <f t="shared" si="16"/>
        <v>0</v>
      </c>
      <c r="M27" s="88">
        <f t="shared" si="13"/>
        <v>0</v>
      </c>
      <c r="N27" s="88">
        <f t="shared" ref="N27:O27" si="17">SUM(N20:N26)</f>
        <v>0</v>
      </c>
      <c r="O27" s="88">
        <f t="shared" si="17"/>
        <v>0</v>
      </c>
      <c r="P27" s="88">
        <f t="shared" si="15"/>
        <v>0</v>
      </c>
      <c r="Q27" s="21"/>
      <c r="R27" s="138"/>
      <c r="S27" s="139"/>
      <c r="T27" s="55"/>
      <c r="U27" s="49"/>
      <c r="V27" s="140"/>
      <c r="W27" s="39"/>
      <c r="X27" s="141"/>
      <c r="Y27" s="142"/>
      <c r="Z27" s="21"/>
      <c r="AA27" s="21"/>
      <c r="AB27" s="21"/>
    </row>
    <row r="28" ht="20.25" customHeight="1">
      <c r="A28" s="53"/>
      <c r="B28" s="54"/>
      <c r="C28" s="55"/>
      <c r="D28" s="67"/>
      <c r="E28" s="57"/>
      <c r="F28" s="54"/>
      <c r="G28" s="56"/>
      <c r="H28" s="83">
        <f t="shared" si="11"/>
        <v>0</v>
      </c>
      <c r="I28" s="27"/>
      <c r="J28" s="90"/>
      <c r="K28" s="91"/>
      <c r="L28" s="92"/>
      <c r="M28" s="92"/>
      <c r="N28" s="92"/>
      <c r="O28" s="93"/>
      <c r="P28" s="94"/>
      <c r="Q28" s="21"/>
      <c r="R28" s="138"/>
      <c r="S28" s="139"/>
      <c r="T28" s="55"/>
      <c r="U28" s="49"/>
      <c r="V28" s="140"/>
      <c r="W28" s="39"/>
      <c r="X28" s="141"/>
      <c r="Y28" s="142"/>
      <c r="Z28" s="21"/>
      <c r="AA28" s="21"/>
      <c r="AB28" s="21"/>
    </row>
    <row r="29" ht="20.25" customHeight="1">
      <c r="A29" s="53"/>
      <c r="B29" s="54"/>
      <c r="C29" s="55"/>
      <c r="D29" s="67"/>
      <c r="E29" s="57"/>
      <c r="F29" s="54"/>
      <c r="G29" s="56"/>
      <c r="H29" s="83">
        <f t="shared" si="11"/>
        <v>0</v>
      </c>
      <c r="I29" s="27"/>
      <c r="J29" s="95" t="s">
        <v>66</v>
      </c>
      <c r="K29" s="80"/>
      <c r="L29" s="81" t="s">
        <v>84</v>
      </c>
      <c r="M29" s="82"/>
      <c r="N29" s="80"/>
      <c r="O29" s="81" t="s">
        <v>85</v>
      </c>
      <c r="P29" s="82"/>
      <c r="Q29" s="21"/>
      <c r="R29" s="138"/>
      <c r="S29" s="139"/>
      <c r="T29" s="55"/>
      <c r="U29" s="49"/>
      <c r="V29" s="140"/>
      <c r="W29" s="39"/>
      <c r="X29" s="141"/>
      <c r="Y29" s="142"/>
      <c r="Z29" s="21"/>
      <c r="AA29" s="21"/>
      <c r="AB29" s="21"/>
    </row>
    <row r="30" ht="20.25" customHeight="1">
      <c r="A30" s="53"/>
      <c r="B30" s="54"/>
      <c r="C30" s="55"/>
      <c r="D30" s="67"/>
      <c r="E30" s="57"/>
      <c r="F30" s="54"/>
      <c r="G30" s="56"/>
      <c r="H30" s="83">
        <f t="shared" si="11"/>
        <v>0</v>
      </c>
      <c r="I30" s="27"/>
      <c r="J30" s="96"/>
      <c r="K30" s="86" t="s">
        <v>65</v>
      </c>
      <c r="L30" s="86" t="s">
        <v>46</v>
      </c>
      <c r="M30" s="86" t="s">
        <v>69</v>
      </c>
      <c r="N30" s="86" t="s">
        <v>65</v>
      </c>
      <c r="O30" s="86" t="s">
        <v>46</v>
      </c>
      <c r="P30" s="86" t="s">
        <v>69</v>
      </c>
      <c r="Q30" s="21"/>
      <c r="R30" s="138"/>
      <c r="S30" s="143"/>
      <c r="T30" s="55"/>
      <c r="U30" s="49"/>
      <c r="V30" s="140"/>
      <c r="W30" s="39"/>
      <c r="X30" s="141"/>
      <c r="Y30" s="142"/>
      <c r="Z30" s="21"/>
      <c r="AA30" s="21"/>
      <c r="AB30" s="21"/>
    </row>
    <row r="31" ht="20.25" customHeight="1">
      <c r="A31" s="69"/>
      <c r="B31" s="70" t="s">
        <v>60</v>
      </c>
      <c r="C31" s="98"/>
      <c r="D31" s="72">
        <f>SUM(D19:D30)</f>
        <v>0</v>
      </c>
      <c r="E31" s="57"/>
      <c r="F31" s="70" t="s">
        <v>60</v>
      </c>
      <c r="G31" s="72">
        <f t="shared" ref="G31:H31" si="18">SUM(G19:G30)</f>
        <v>0</v>
      </c>
      <c r="H31" s="72">
        <f t="shared" si="18"/>
        <v>0</v>
      </c>
      <c r="I31" s="27"/>
      <c r="J31" s="54"/>
      <c r="K31" s="56"/>
      <c r="L31" s="88">
        <f t="shared" ref="L31:L37" si="19">sumifs($X:$X,$S:$S,$L$29,$U:$U,J31)</f>
        <v>0</v>
      </c>
      <c r="M31" s="88">
        <f t="shared" ref="M31:M38" si="20">K31-L31</f>
        <v>0</v>
      </c>
      <c r="N31" s="56"/>
      <c r="O31" s="88">
        <f t="shared" ref="O31:O37" si="21">sumifs($X:$X,$S:$S,$O$29,$U:$U,J31)</f>
        <v>0</v>
      </c>
      <c r="P31" s="88">
        <f t="shared" ref="P31:P38" si="22">N31-O31</f>
        <v>0</v>
      </c>
      <c r="Q31" s="21"/>
      <c r="R31" s="138"/>
      <c r="S31" s="143"/>
      <c r="T31" s="55"/>
      <c r="U31" s="49"/>
      <c r="V31" s="140"/>
      <c r="W31" s="39"/>
      <c r="X31" s="141"/>
      <c r="Y31" s="142"/>
      <c r="Z31" s="21"/>
      <c r="AA31" s="21"/>
      <c r="AB31" s="21"/>
    </row>
    <row r="32" ht="20.25" customHeight="1">
      <c r="A32" s="20"/>
      <c r="B32" s="24"/>
      <c r="C32" s="32"/>
      <c r="D32" s="32"/>
      <c r="E32" s="32"/>
      <c r="F32" s="32"/>
      <c r="G32" s="24"/>
      <c r="H32" s="24"/>
      <c r="I32" s="27"/>
      <c r="J32" s="54"/>
      <c r="K32" s="56"/>
      <c r="L32" s="88">
        <f t="shared" si="19"/>
        <v>0</v>
      </c>
      <c r="M32" s="88">
        <f t="shared" si="20"/>
        <v>0</v>
      </c>
      <c r="N32" s="56"/>
      <c r="O32" s="88">
        <f t="shared" si="21"/>
        <v>0</v>
      </c>
      <c r="P32" s="88">
        <f t="shared" si="22"/>
        <v>0</v>
      </c>
      <c r="Q32" s="21"/>
      <c r="R32" s="138"/>
      <c r="S32" s="143"/>
      <c r="T32" s="55"/>
      <c r="U32" s="49"/>
      <c r="V32" s="140"/>
      <c r="W32" s="39"/>
      <c r="X32" s="141"/>
      <c r="Y32" s="142"/>
      <c r="Z32" s="21"/>
      <c r="AA32" s="21"/>
      <c r="AB32" s="21"/>
    </row>
    <row r="33" ht="20.25" customHeight="1">
      <c r="A33" s="28"/>
      <c r="B33" s="99" t="s">
        <v>86</v>
      </c>
      <c r="C33" s="30"/>
      <c r="D33" s="31"/>
      <c r="E33" s="32"/>
      <c r="F33" s="29" t="s">
        <v>87</v>
      </c>
      <c r="G33" s="31"/>
      <c r="H33" s="100" t="s">
        <v>46</v>
      </c>
      <c r="I33" s="101"/>
      <c r="J33" s="54"/>
      <c r="K33" s="56"/>
      <c r="L33" s="88">
        <f t="shared" si="19"/>
        <v>0</v>
      </c>
      <c r="M33" s="88">
        <f t="shared" si="20"/>
        <v>0</v>
      </c>
      <c r="N33" s="56"/>
      <c r="O33" s="88">
        <f t="shared" si="21"/>
        <v>0</v>
      </c>
      <c r="P33" s="88">
        <f t="shared" si="22"/>
        <v>0</v>
      </c>
      <c r="Q33" s="21"/>
      <c r="R33" s="138"/>
      <c r="S33" s="143"/>
      <c r="T33" s="55"/>
      <c r="U33" s="49"/>
      <c r="V33" s="140"/>
      <c r="W33" s="39"/>
      <c r="X33" s="141"/>
      <c r="Y33" s="142"/>
      <c r="Z33" s="21"/>
      <c r="AA33" s="21"/>
      <c r="AB33" s="21"/>
    </row>
    <row r="34" ht="20.25" customHeight="1">
      <c r="A34" s="40"/>
      <c r="B34" s="41" t="s">
        <v>44</v>
      </c>
      <c r="C34" s="41" t="s">
        <v>43</v>
      </c>
      <c r="D34" s="41" t="s">
        <v>46</v>
      </c>
      <c r="E34" s="57"/>
      <c r="F34" s="102" t="s">
        <v>88</v>
      </c>
      <c r="G34" s="31"/>
      <c r="H34" s="103">
        <f>D14</f>
        <v>0</v>
      </c>
      <c r="I34" s="104"/>
      <c r="J34" s="54"/>
      <c r="K34" s="56"/>
      <c r="L34" s="88">
        <f t="shared" si="19"/>
        <v>0</v>
      </c>
      <c r="M34" s="88">
        <f t="shared" si="20"/>
        <v>0</v>
      </c>
      <c r="N34" s="56"/>
      <c r="O34" s="88">
        <f t="shared" si="21"/>
        <v>0</v>
      </c>
      <c r="P34" s="88">
        <f t="shared" si="22"/>
        <v>0</v>
      </c>
      <c r="Q34" s="21"/>
      <c r="R34" s="138"/>
      <c r="S34" s="143"/>
      <c r="T34" s="55"/>
      <c r="U34" s="49"/>
      <c r="V34" s="140"/>
      <c r="W34" s="39"/>
      <c r="X34" s="141"/>
      <c r="Y34" s="142"/>
      <c r="Z34" s="21"/>
      <c r="AA34" s="21"/>
      <c r="AB34" s="21"/>
    </row>
    <row r="35" ht="20.25" customHeight="1">
      <c r="A35" s="19"/>
      <c r="B35" s="54"/>
      <c r="C35" s="55"/>
      <c r="D35" s="56"/>
      <c r="E35" s="57"/>
      <c r="F35" s="102" t="s">
        <v>90</v>
      </c>
      <c r="G35" s="31"/>
      <c r="H35" s="103">
        <f>H14</f>
        <v>0</v>
      </c>
      <c r="I35" s="104"/>
      <c r="J35" s="54"/>
      <c r="K35" s="56"/>
      <c r="L35" s="88">
        <f t="shared" si="19"/>
        <v>0</v>
      </c>
      <c r="M35" s="88">
        <f t="shared" si="20"/>
        <v>0</v>
      </c>
      <c r="N35" s="56"/>
      <c r="O35" s="88">
        <f t="shared" si="21"/>
        <v>0</v>
      </c>
      <c r="P35" s="88">
        <f t="shared" si="22"/>
        <v>0</v>
      </c>
      <c r="Q35" s="21"/>
      <c r="R35" s="138"/>
      <c r="S35" s="143"/>
      <c r="T35" s="55"/>
      <c r="U35" s="49"/>
      <c r="V35" s="140"/>
      <c r="W35" s="39"/>
      <c r="X35" s="141"/>
      <c r="Y35" s="142"/>
      <c r="Z35" s="21"/>
      <c r="AA35" s="21"/>
      <c r="AB35" s="21"/>
    </row>
    <row r="36" ht="20.25" customHeight="1">
      <c r="A36" s="19"/>
      <c r="B36" s="54"/>
      <c r="C36" s="55"/>
      <c r="D36" s="59"/>
      <c r="E36" s="57"/>
      <c r="F36" s="102" t="s">
        <v>91</v>
      </c>
      <c r="G36" s="31"/>
      <c r="H36" s="103">
        <f>D31+H31</f>
        <v>0</v>
      </c>
      <c r="I36" s="105"/>
      <c r="J36" s="54"/>
      <c r="K36" s="56"/>
      <c r="L36" s="88">
        <f t="shared" si="19"/>
        <v>0</v>
      </c>
      <c r="M36" s="88">
        <f t="shared" si="20"/>
        <v>0</v>
      </c>
      <c r="N36" s="56"/>
      <c r="O36" s="88">
        <f t="shared" si="21"/>
        <v>0</v>
      </c>
      <c r="P36" s="88">
        <f t="shared" si="22"/>
        <v>0</v>
      </c>
      <c r="Q36" s="21"/>
      <c r="R36" s="138"/>
      <c r="S36" s="143"/>
      <c r="T36" s="55"/>
      <c r="U36" s="49"/>
      <c r="V36" s="140"/>
      <c r="W36" s="39"/>
      <c r="X36" s="141"/>
      <c r="Y36" s="142"/>
      <c r="Z36" s="21"/>
      <c r="AA36" s="21"/>
      <c r="AB36" s="21"/>
    </row>
    <row r="37" ht="20.25" customHeight="1">
      <c r="A37" s="19"/>
      <c r="B37" s="54"/>
      <c r="C37" s="55"/>
      <c r="D37" s="59"/>
      <c r="E37" s="57"/>
      <c r="F37" s="102" t="s">
        <v>92</v>
      </c>
      <c r="G37" s="31"/>
      <c r="H37" s="103">
        <f>H34-H35-H36</f>
        <v>0</v>
      </c>
      <c r="I37" s="104"/>
      <c r="J37" s="54"/>
      <c r="K37" s="56"/>
      <c r="L37" s="88">
        <f t="shared" si="19"/>
        <v>0</v>
      </c>
      <c r="M37" s="88">
        <f t="shared" si="20"/>
        <v>0</v>
      </c>
      <c r="N37" s="56"/>
      <c r="O37" s="88">
        <f t="shared" si="21"/>
        <v>0</v>
      </c>
      <c r="P37" s="88">
        <f t="shared" si="22"/>
        <v>0</v>
      </c>
      <c r="Q37" s="21"/>
      <c r="R37" s="138"/>
      <c r="S37" s="143"/>
      <c r="T37" s="55"/>
      <c r="U37" s="49"/>
      <c r="V37" s="140"/>
      <c r="W37" s="39"/>
      <c r="X37" s="141"/>
      <c r="Y37" s="142"/>
      <c r="Z37" s="21"/>
      <c r="AA37" s="21"/>
      <c r="AB37" s="21"/>
    </row>
    <row r="38" ht="20.25" customHeight="1">
      <c r="A38" s="106"/>
      <c r="B38" s="54"/>
      <c r="C38" s="55"/>
      <c r="D38" s="59"/>
      <c r="E38" s="57"/>
      <c r="F38" s="102" t="s">
        <v>93</v>
      </c>
      <c r="G38" s="31"/>
      <c r="H38" s="103">
        <f>H35+H37</f>
        <v>0</v>
      </c>
      <c r="I38" s="107"/>
      <c r="J38" s="89" t="s">
        <v>83</v>
      </c>
      <c r="K38" s="88">
        <f t="shared" ref="K38:L38" si="23">SUM(K31:K37)</f>
        <v>0</v>
      </c>
      <c r="L38" s="88">
        <f t="shared" si="23"/>
        <v>0</v>
      </c>
      <c r="M38" s="88">
        <f t="shared" si="20"/>
        <v>0</v>
      </c>
      <c r="N38" s="88">
        <f t="shared" ref="N38:O38" si="24">SUM(N31:N37)</f>
        <v>0</v>
      </c>
      <c r="O38" s="88">
        <f t="shared" si="24"/>
        <v>0</v>
      </c>
      <c r="P38" s="88">
        <f t="shared" si="22"/>
        <v>0</v>
      </c>
      <c r="Q38" s="21"/>
      <c r="R38" s="138"/>
      <c r="S38" s="143"/>
      <c r="T38" s="55"/>
      <c r="U38" s="49"/>
      <c r="V38" s="140"/>
      <c r="W38" s="39"/>
      <c r="X38" s="141"/>
      <c r="Y38" s="142"/>
      <c r="Z38" s="21"/>
      <c r="AA38" s="21"/>
      <c r="AB38" s="21"/>
    </row>
    <row r="39" ht="20.25" customHeight="1">
      <c r="A39" s="106"/>
      <c r="B39" s="54"/>
      <c r="C39" s="55"/>
      <c r="D39" s="66"/>
      <c r="E39" s="32"/>
      <c r="F39" s="32"/>
      <c r="G39" s="108"/>
      <c r="H39" s="108"/>
      <c r="I39" s="27"/>
      <c r="J39" s="90"/>
      <c r="K39" s="57"/>
      <c r="L39" s="92"/>
      <c r="M39" s="92"/>
      <c r="N39" s="92"/>
      <c r="O39" s="93"/>
      <c r="P39" s="94"/>
      <c r="Q39" s="21"/>
      <c r="R39" s="138"/>
      <c r="S39" s="143"/>
      <c r="T39" s="55"/>
      <c r="U39" s="49"/>
      <c r="V39" s="140"/>
      <c r="W39" s="39"/>
      <c r="X39" s="141"/>
      <c r="Y39" s="142"/>
      <c r="Z39" s="21"/>
      <c r="AA39" s="21"/>
      <c r="AB39" s="21"/>
    </row>
    <row r="40" ht="20.25" customHeight="1">
      <c r="A40" s="69"/>
      <c r="B40" s="109"/>
      <c r="C40" s="55"/>
      <c r="D40" s="110"/>
      <c r="E40" s="32"/>
      <c r="F40" s="111" t="s">
        <v>111</v>
      </c>
      <c r="G40" s="112" t="s">
        <v>112</v>
      </c>
      <c r="H40" s="113"/>
      <c r="I40" s="27"/>
      <c r="J40" s="95" t="s">
        <v>66</v>
      </c>
      <c r="K40" s="80"/>
      <c r="L40" s="81" t="s">
        <v>96</v>
      </c>
      <c r="M40" s="82"/>
      <c r="N40" s="80"/>
      <c r="O40" s="81" t="s">
        <v>83</v>
      </c>
      <c r="P40" s="82"/>
      <c r="Q40" s="21"/>
      <c r="R40" s="138"/>
      <c r="S40" s="143"/>
      <c r="T40" s="55"/>
      <c r="U40" s="49"/>
      <c r="V40" s="140"/>
      <c r="W40" s="39"/>
      <c r="X40" s="141"/>
      <c r="Y40" s="142"/>
      <c r="Z40" s="21"/>
      <c r="AA40" s="21"/>
      <c r="AB40" s="21"/>
    </row>
    <row r="41" ht="20.25" customHeight="1">
      <c r="B41" s="114"/>
      <c r="C41" s="55"/>
      <c r="D41" s="110"/>
      <c r="E41" s="32"/>
      <c r="F41" s="115" t="str">
        <f>H36/H34</f>
        <v>#DIV/0!</v>
      </c>
      <c r="G41" s="116" t="str">
        <f>H38/H34</f>
        <v>#DIV/0!</v>
      </c>
      <c r="H41" s="117"/>
      <c r="I41" s="27"/>
      <c r="J41" s="96"/>
      <c r="K41" s="86" t="s">
        <v>65</v>
      </c>
      <c r="L41" s="86" t="s">
        <v>46</v>
      </c>
      <c r="M41" s="86" t="s">
        <v>69</v>
      </c>
      <c r="N41" s="86" t="s">
        <v>65</v>
      </c>
      <c r="O41" s="86" t="s">
        <v>46</v>
      </c>
      <c r="P41" s="86" t="s">
        <v>69</v>
      </c>
      <c r="Q41" s="21"/>
      <c r="R41" s="138"/>
      <c r="S41" s="143"/>
      <c r="T41" s="55"/>
      <c r="U41" s="49"/>
      <c r="V41" s="140"/>
      <c r="W41" s="39"/>
      <c r="X41" s="141"/>
      <c r="Y41" s="142"/>
      <c r="Z41" s="21"/>
      <c r="AA41" s="21"/>
      <c r="AB41" s="21"/>
    </row>
    <row r="42" ht="20.25" customHeight="1">
      <c r="B42" s="118" t="s">
        <v>60</v>
      </c>
      <c r="C42" s="119"/>
      <c r="D42" s="119">
        <f>SUM(D35:D41)</f>
        <v>0</v>
      </c>
      <c r="E42" s="32"/>
      <c r="F42" s="120"/>
      <c r="G42" s="121"/>
      <c r="H42" s="122"/>
      <c r="I42" s="27"/>
      <c r="J42" s="54"/>
      <c r="K42" s="56"/>
      <c r="L42" s="88">
        <f t="shared" ref="L42:L48" si="26">sumifs($X:$X,$S:$S,$L$40,$U:$U,J42)</f>
        <v>0</v>
      </c>
      <c r="M42" s="88">
        <f t="shared" ref="M42:M49" si="27">K42-L42</f>
        <v>0</v>
      </c>
      <c r="N42" s="83">
        <f t="shared" ref="N42:O42" si="25">K20+N20+K31+N31+K42</f>
        <v>0</v>
      </c>
      <c r="O42" s="83">
        <f t="shared" si="25"/>
        <v>0</v>
      </c>
      <c r="P42" s="88">
        <f t="shared" ref="P42:P49" si="29">N42-O42</f>
        <v>0</v>
      </c>
      <c r="Q42" s="21"/>
      <c r="R42" s="138"/>
      <c r="S42" s="143"/>
      <c r="T42" s="55"/>
      <c r="U42" s="49"/>
      <c r="V42" s="140"/>
      <c r="W42" s="39"/>
      <c r="X42" s="141"/>
      <c r="Y42" s="142"/>
      <c r="Z42" s="21"/>
      <c r="AA42" s="21"/>
      <c r="AB42" s="21"/>
    </row>
    <row r="43" ht="20.25" customHeight="1">
      <c r="A43" s="69"/>
      <c r="B43" s="123"/>
      <c r="C43" s="124"/>
      <c r="D43" s="124" t="s">
        <v>97</v>
      </c>
      <c r="E43" s="25"/>
      <c r="F43" s="125" t="s">
        <v>98</v>
      </c>
      <c r="G43" s="125"/>
      <c r="H43" s="125" t="s">
        <v>99</v>
      </c>
      <c r="I43" s="27"/>
      <c r="J43" s="54"/>
      <c r="K43" s="56"/>
      <c r="L43" s="88">
        <f t="shared" si="26"/>
        <v>0</v>
      </c>
      <c r="M43" s="88">
        <f t="shared" si="27"/>
        <v>0</v>
      </c>
      <c r="N43" s="83">
        <f t="shared" ref="N43:O43" si="28">K21+N21+K32+N32+K43</f>
        <v>0</v>
      </c>
      <c r="O43" s="83">
        <f t="shared" si="28"/>
        <v>0</v>
      </c>
      <c r="P43" s="88">
        <f t="shared" si="29"/>
        <v>0</v>
      </c>
      <c r="Q43" s="21"/>
      <c r="R43" s="138"/>
      <c r="S43" s="143"/>
      <c r="T43" s="55"/>
      <c r="U43" s="49"/>
      <c r="V43" s="140"/>
      <c r="W43" s="39"/>
      <c r="X43" s="141"/>
      <c r="Y43" s="142"/>
      <c r="Z43" s="21"/>
      <c r="AA43" s="21"/>
      <c r="AB43" s="21"/>
    </row>
    <row r="44" ht="20.25" customHeight="1">
      <c r="A44" s="69"/>
      <c r="B44" s="112" t="s">
        <v>100</v>
      </c>
      <c r="C44" s="126"/>
      <c r="D44" s="126"/>
      <c r="E44" s="126"/>
      <c r="F44" s="126"/>
      <c r="G44" s="126"/>
      <c r="H44" s="113"/>
      <c r="I44" s="27"/>
      <c r="J44" s="54"/>
      <c r="K44" s="56"/>
      <c r="L44" s="88">
        <f t="shared" si="26"/>
        <v>0</v>
      </c>
      <c r="M44" s="88">
        <f t="shared" si="27"/>
        <v>0</v>
      </c>
      <c r="N44" s="83">
        <f t="shared" ref="N44:O44" si="30">K22+N22+K33+N33+K44</f>
        <v>0</v>
      </c>
      <c r="O44" s="83">
        <f t="shared" si="30"/>
        <v>0</v>
      </c>
      <c r="P44" s="88">
        <f t="shared" si="29"/>
        <v>0</v>
      </c>
      <c r="Q44" s="21"/>
      <c r="R44" s="138"/>
      <c r="S44" s="143"/>
      <c r="T44" s="55"/>
      <c r="U44" s="49"/>
      <c r="V44" s="140"/>
      <c r="W44" s="39"/>
      <c r="X44" s="141"/>
      <c r="Y44" s="142"/>
      <c r="Z44" s="21"/>
      <c r="AA44" s="21"/>
      <c r="AB44" s="21"/>
    </row>
    <row r="45" ht="20.25" customHeight="1">
      <c r="A45" s="20"/>
      <c r="B45" s="127"/>
      <c r="C45" s="128"/>
      <c r="D45" s="128"/>
      <c r="E45" s="128"/>
      <c r="F45" s="128"/>
      <c r="G45" s="128"/>
      <c r="H45" s="117"/>
      <c r="I45" s="27"/>
      <c r="J45" s="54"/>
      <c r="K45" s="56"/>
      <c r="L45" s="88">
        <f t="shared" si="26"/>
        <v>0</v>
      </c>
      <c r="M45" s="88">
        <f t="shared" si="27"/>
        <v>0</v>
      </c>
      <c r="N45" s="83">
        <f t="shared" ref="N45:O45" si="31">K23+N23+K34+N34+K45</f>
        <v>0</v>
      </c>
      <c r="O45" s="83">
        <f t="shared" si="31"/>
        <v>0</v>
      </c>
      <c r="P45" s="88">
        <f t="shared" si="29"/>
        <v>0</v>
      </c>
      <c r="Q45" s="21"/>
      <c r="R45" s="138"/>
      <c r="S45" s="143"/>
      <c r="T45" s="55"/>
      <c r="U45" s="49"/>
      <c r="V45" s="140"/>
      <c r="W45" s="39"/>
      <c r="X45" s="141"/>
      <c r="Y45" s="142"/>
      <c r="Z45" s="21"/>
      <c r="AA45" s="21"/>
      <c r="AB45" s="21"/>
    </row>
    <row r="46" ht="20.25" customHeight="1">
      <c r="A46" s="20"/>
      <c r="B46" s="129"/>
      <c r="H46" s="130"/>
      <c r="I46" s="27"/>
      <c r="J46" s="54"/>
      <c r="K46" s="56"/>
      <c r="L46" s="88">
        <f t="shared" si="26"/>
        <v>0</v>
      </c>
      <c r="M46" s="88">
        <f t="shared" si="27"/>
        <v>0</v>
      </c>
      <c r="N46" s="83">
        <f t="shared" ref="N46:O46" si="32">K24+N24+K35+N35+K46</f>
        <v>0</v>
      </c>
      <c r="O46" s="83">
        <f t="shared" si="32"/>
        <v>0</v>
      </c>
      <c r="P46" s="88">
        <f t="shared" si="29"/>
        <v>0</v>
      </c>
      <c r="Q46" s="21"/>
      <c r="R46" s="138"/>
      <c r="S46" s="143"/>
      <c r="T46" s="55"/>
      <c r="U46" s="49"/>
      <c r="V46" s="140"/>
      <c r="W46" s="39"/>
      <c r="X46" s="141"/>
      <c r="Y46" s="142"/>
      <c r="Z46" s="21"/>
      <c r="AA46" s="21"/>
      <c r="AB46" s="21"/>
    </row>
    <row r="47" ht="20.25" customHeight="1">
      <c r="A47" s="20"/>
      <c r="B47" s="129"/>
      <c r="H47" s="130"/>
      <c r="I47" s="27"/>
      <c r="J47" s="54"/>
      <c r="K47" s="56"/>
      <c r="L47" s="88">
        <f t="shared" si="26"/>
        <v>0</v>
      </c>
      <c r="M47" s="88">
        <f t="shared" si="27"/>
        <v>0</v>
      </c>
      <c r="N47" s="83">
        <f t="shared" ref="N47:O47" si="33">K25+N25+K36+N36+K47</f>
        <v>0</v>
      </c>
      <c r="O47" s="83">
        <f t="shared" si="33"/>
        <v>0</v>
      </c>
      <c r="P47" s="88">
        <f t="shared" si="29"/>
        <v>0</v>
      </c>
      <c r="Q47" s="21"/>
      <c r="R47" s="138"/>
      <c r="S47" s="143"/>
      <c r="T47" s="55"/>
      <c r="U47" s="49"/>
      <c r="V47" s="140"/>
      <c r="W47" s="39"/>
      <c r="X47" s="141"/>
      <c r="Y47" s="142"/>
      <c r="Z47" s="21"/>
      <c r="AA47" s="21"/>
      <c r="AB47" s="21"/>
    </row>
    <row r="48" ht="20.25" customHeight="1">
      <c r="A48" s="20"/>
      <c r="B48" s="129"/>
      <c r="H48" s="130"/>
      <c r="I48" s="27"/>
      <c r="J48" s="54"/>
      <c r="K48" s="56"/>
      <c r="L48" s="88">
        <f t="shared" si="26"/>
        <v>0</v>
      </c>
      <c r="M48" s="88">
        <f t="shared" si="27"/>
        <v>0</v>
      </c>
      <c r="N48" s="83">
        <f t="shared" ref="N48:O48" si="34">K26+N26+K37+N37+K48</f>
        <v>0</v>
      </c>
      <c r="O48" s="83">
        <f t="shared" si="34"/>
        <v>0</v>
      </c>
      <c r="P48" s="88">
        <f t="shared" si="29"/>
        <v>0</v>
      </c>
      <c r="Q48" s="21"/>
      <c r="R48" s="138"/>
      <c r="S48" s="143"/>
      <c r="T48" s="55"/>
      <c r="U48" s="49"/>
      <c r="V48" s="140"/>
      <c r="W48" s="39"/>
      <c r="X48" s="141"/>
      <c r="Y48" s="142"/>
      <c r="Z48" s="21"/>
      <c r="AA48" s="21"/>
      <c r="AB48" s="21"/>
    </row>
    <row r="49" ht="20.25" customHeight="1">
      <c r="A49" s="20"/>
      <c r="B49" s="121"/>
      <c r="C49" s="131"/>
      <c r="D49" s="131"/>
      <c r="E49" s="131"/>
      <c r="F49" s="131"/>
      <c r="G49" s="131"/>
      <c r="H49" s="122"/>
      <c r="I49" s="27"/>
      <c r="J49" s="89" t="s">
        <v>83</v>
      </c>
      <c r="K49" s="88">
        <f t="shared" ref="K49:L49" si="35">SUM(K42:K48)</f>
        <v>0</v>
      </c>
      <c r="L49" s="88">
        <f t="shared" si="35"/>
        <v>0</v>
      </c>
      <c r="M49" s="88">
        <f t="shared" si="27"/>
        <v>0</v>
      </c>
      <c r="N49" s="88">
        <f t="shared" ref="N49:O49" si="36">SUM(N42:N48)</f>
        <v>0</v>
      </c>
      <c r="O49" s="88">
        <f t="shared" si="36"/>
        <v>0</v>
      </c>
      <c r="P49" s="88">
        <f t="shared" si="29"/>
        <v>0</v>
      </c>
      <c r="Q49" s="21"/>
      <c r="R49" s="138"/>
      <c r="S49" s="143"/>
      <c r="T49" s="55"/>
      <c r="U49" s="49"/>
      <c r="V49" s="140"/>
      <c r="W49" s="39"/>
      <c r="X49" s="141"/>
      <c r="Y49" s="142"/>
      <c r="Z49" s="21"/>
      <c r="AA49" s="21"/>
      <c r="AB49" s="21"/>
    </row>
    <row r="50" ht="6.75" customHeight="1">
      <c r="A50" s="20"/>
      <c r="E50" s="25"/>
      <c r="F50" s="132"/>
      <c r="G50" s="125"/>
      <c r="H50" s="125"/>
      <c r="I50" s="27"/>
      <c r="J50" s="133"/>
      <c r="K50" s="19"/>
      <c r="L50" s="78"/>
      <c r="M50" s="78"/>
      <c r="N50" s="78"/>
      <c r="O50" s="134"/>
      <c r="P50" s="94"/>
      <c r="Q50" s="21"/>
      <c r="R50" s="135"/>
      <c r="S50" s="135"/>
      <c r="T50" s="135"/>
      <c r="U50" s="137"/>
      <c r="V50" s="135"/>
      <c r="W50" s="135"/>
      <c r="X50" s="135"/>
      <c r="Y50" s="135"/>
      <c r="Z50" s="21"/>
      <c r="AA50" s="21"/>
      <c r="AB50" s="21"/>
    </row>
    <row r="51" hidden="1">
      <c r="F51" s="19"/>
      <c r="G51" s="106"/>
      <c r="H51" s="10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</row>
  </sheetData>
  <mergeCells count="67">
    <mergeCell ref="V32:W32"/>
    <mergeCell ref="V37:W37"/>
    <mergeCell ref="G40:H40"/>
    <mergeCell ref="J40:J41"/>
    <mergeCell ref="F41:F42"/>
    <mergeCell ref="G41:H42"/>
    <mergeCell ref="B44:H44"/>
    <mergeCell ref="B45:H49"/>
    <mergeCell ref="B33:D33"/>
    <mergeCell ref="F33:G33"/>
    <mergeCell ref="F34:G34"/>
    <mergeCell ref="F35:G35"/>
    <mergeCell ref="F36:G36"/>
    <mergeCell ref="F37:G37"/>
    <mergeCell ref="F38:G38"/>
    <mergeCell ref="V44:W44"/>
    <mergeCell ref="V45:W45"/>
    <mergeCell ref="V46:W46"/>
    <mergeCell ref="V47:W47"/>
    <mergeCell ref="V48:W48"/>
    <mergeCell ref="V49:W49"/>
    <mergeCell ref="V31:W31"/>
    <mergeCell ref="V38:W38"/>
    <mergeCell ref="V39:W39"/>
    <mergeCell ref="V40:W40"/>
    <mergeCell ref="V41:W41"/>
    <mergeCell ref="V42:W42"/>
    <mergeCell ref="V43:W43"/>
    <mergeCell ref="R2:Y2"/>
    <mergeCell ref="B4:D4"/>
    <mergeCell ref="F4:H4"/>
    <mergeCell ref="V4:W4"/>
    <mergeCell ref="V5:W5"/>
    <mergeCell ref="V6:W6"/>
    <mergeCell ref="V7:W7"/>
    <mergeCell ref="V15:W15"/>
    <mergeCell ref="B16:D16"/>
    <mergeCell ref="F16:H16"/>
    <mergeCell ref="J16:P16"/>
    <mergeCell ref="V16:W16"/>
    <mergeCell ref="J18:J19"/>
    <mergeCell ref="V18:W18"/>
    <mergeCell ref="V19:W19"/>
    <mergeCell ref="V8:W8"/>
    <mergeCell ref="V9:W9"/>
    <mergeCell ref="V10:W10"/>
    <mergeCell ref="V11:W11"/>
    <mergeCell ref="V12:W12"/>
    <mergeCell ref="V13:W13"/>
    <mergeCell ref="V14:W14"/>
    <mergeCell ref="V26:W26"/>
    <mergeCell ref="V27:W27"/>
    <mergeCell ref="V28:W28"/>
    <mergeCell ref="J29:J30"/>
    <mergeCell ref="V29:W29"/>
    <mergeCell ref="V30:W30"/>
    <mergeCell ref="V17:W17"/>
    <mergeCell ref="V20:W20"/>
    <mergeCell ref="V21:W21"/>
    <mergeCell ref="V22:W22"/>
    <mergeCell ref="V23:W23"/>
    <mergeCell ref="V24:W24"/>
    <mergeCell ref="V25:W25"/>
    <mergeCell ref="V34:W34"/>
    <mergeCell ref="V35:W35"/>
    <mergeCell ref="V33:W33"/>
    <mergeCell ref="V36:W36"/>
  </mergeCells>
  <conditionalFormatting sqref="J5:P5 J7:P7 J9:P9 J11:P11 J13:P13">
    <cfRule type="expression" dxfId="4" priority="1">
      <formula>MONTH(J5)&lt;&gt;$B$1</formula>
    </cfRule>
  </conditionalFormatting>
  <dataValidations>
    <dataValidation type="list" allowBlank="1" sqref="B6:B13">
      <formula1>list!$A$2:$A51</formula1>
    </dataValidation>
    <dataValidation type="list" allowBlank="1" sqref="F6:F13">
      <formula1>list!$B$2:$B51</formula1>
    </dataValidation>
    <dataValidation type="list" allowBlank="1" sqref="J20:J26 B19:B30 F19:F30 J31:J37 J42:J48">
      <formula1>list!$C$2:$C51</formula1>
    </dataValidation>
    <dataValidation type="list" allowBlank="1" sqref="C6:C13 G6:G13 C19:C30 C35:C41 T5:T49">
      <formula1>list!$F$2:$F51</formula1>
    </dataValidation>
    <dataValidation type="list" allowBlank="1" sqref="U5:U49">
      <formula1>list!$C$2:$C51</formula1>
    </dataValidation>
    <dataValidation type="list" allowBlank="1" sqref="B35:B41">
      <formula1>list!$D$2:$D51</formula1>
    </dataValidation>
    <dataValidation type="list" allowBlank="1" showErrorMessage="1" sqref="S5:S49">
      <formula1>"1week,2week,3week,4week,5week"</formula1>
    </dataValidation>
    <dataValidation type="custom" allowBlank="1" showDropDown="1" showErrorMessage="1" sqref="J28 J39 R5:R49 J50 R50:Y50">
      <formula1>OR(NOT(ISERROR(DATEVALUE(J5))), AND(ISNUMBER(J5), LEFT(CELL("format", J5))="D"))</formula1>
    </dataValidation>
    <dataValidation type="list" allowBlank="1" showErrorMessage="1" sqref="Y5:Y49">
      <formula1>"〇,△,✕"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8CC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.0"/>
    <col customWidth="1" min="2" max="2" width="18.0"/>
    <col customWidth="1" min="3" max="4" width="11.63"/>
    <col customWidth="1" min="5" max="5" width="2.0"/>
    <col customWidth="1" min="6" max="6" width="18.0"/>
    <col customWidth="1" min="7" max="8" width="11.63"/>
    <col customWidth="1" min="9" max="9" width="2.63"/>
    <col customWidth="1" min="10" max="16" width="13.88"/>
    <col customWidth="1" min="17" max="17" width="2.63"/>
    <col customWidth="1" min="18" max="25" width="12.75"/>
    <col customWidth="1" min="26" max="26" width="2.0"/>
    <col customWidth="1" hidden="1" min="27" max="28" width="11.0"/>
  </cols>
  <sheetData>
    <row r="1" ht="42.0" customHeight="1">
      <c r="A1" s="10"/>
      <c r="B1" s="11">
        <v>8.0</v>
      </c>
      <c r="C1" s="12"/>
      <c r="D1" s="12" t="s">
        <v>29</v>
      </c>
      <c r="E1" s="13"/>
      <c r="F1" s="12"/>
      <c r="G1" s="14"/>
      <c r="H1" s="14"/>
      <c r="I1" s="15"/>
      <c r="J1" s="12" t="s">
        <v>30</v>
      </c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6"/>
      <c r="AB1" s="16"/>
    </row>
    <row r="2" ht="21.75" customHeight="1">
      <c r="A2" s="17"/>
      <c r="B2" s="18">
        <v>2025.0</v>
      </c>
      <c r="C2" s="19"/>
      <c r="D2" s="19"/>
      <c r="G2" s="20"/>
      <c r="H2" s="20"/>
      <c r="I2" s="21"/>
      <c r="J2" s="22">
        <f>DATE(B2,B1,1)</f>
        <v>45870</v>
      </c>
      <c r="K2" s="21"/>
      <c r="L2" s="21"/>
      <c r="M2" s="21"/>
      <c r="N2" s="21"/>
      <c r="O2" s="21"/>
      <c r="P2" s="21"/>
      <c r="Q2" s="21"/>
      <c r="R2" s="23" t="s">
        <v>31</v>
      </c>
      <c r="Z2" s="21"/>
      <c r="AA2" s="21"/>
      <c r="AB2" s="21"/>
    </row>
    <row r="3" ht="7.5" customHeight="1">
      <c r="A3" s="20"/>
      <c r="B3" s="24"/>
      <c r="C3" s="25"/>
      <c r="D3" s="25"/>
      <c r="E3" s="25"/>
      <c r="F3" s="26"/>
      <c r="G3" s="26"/>
      <c r="H3" s="26"/>
      <c r="I3" s="27"/>
      <c r="J3" s="25"/>
      <c r="K3" s="25"/>
      <c r="L3" s="25"/>
      <c r="M3" s="27"/>
      <c r="N3" s="27"/>
      <c r="O3" s="27"/>
      <c r="P3" s="27"/>
      <c r="Q3" s="21"/>
      <c r="Z3" s="21"/>
      <c r="AA3" s="21"/>
      <c r="AB3" s="21"/>
    </row>
    <row r="4" ht="20.25" customHeight="1">
      <c r="A4" s="28"/>
      <c r="B4" s="29" t="s">
        <v>32</v>
      </c>
      <c r="C4" s="30"/>
      <c r="D4" s="31"/>
      <c r="E4" s="32"/>
      <c r="F4" s="29" t="s">
        <v>33</v>
      </c>
      <c r="G4" s="30"/>
      <c r="H4" s="31"/>
      <c r="I4" s="27"/>
      <c r="J4" s="33" t="s">
        <v>34</v>
      </c>
      <c r="K4" s="33" t="s">
        <v>35</v>
      </c>
      <c r="L4" s="33" t="s">
        <v>36</v>
      </c>
      <c r="M4" s="33" t="s">
        <v>37</v>
      </c>
      <c r="N4" s="33" t="s">
        <v>38</v>
      </c>
      <c r="O4" s="34" t="s">
        <v>39</v>
      </c>
      <c r="P4" s="35" t="s">
        <v>40</v>
      </c>
      <c r="Q4" s="21"/>
      <c r="R4" s="36" t="s">
        <v>41</v>
      </c>
      <c r="S4" s="37" t="s">
        <v>42</v>
      </c>
      <c r="T4" s="37" t="s">
        <v>43</v>
      </c>
      <c r="U4" s="37" t="s">
        <v>44</v>
      </c>
      <c r="V4" s="38" t="s">
        <v>45</v>
      </c>
      <c r="W4" s="39"/>
      <c r="X4" s="37" t="s">
        <v>46</v>
      </c>
      <c r="Y4" s="37" t="s">
        <v>47</v>
      </c>
      <c r="Z4" s="21"/>
      <c r="AA4" s="21"/>
      <c r="AB4" s="21"/>
    </row>
    <row r="5" ht="20.25" customHeight="1">
      <c r="A5" s="40"/>
      <c r="B5" s="41" t="s">
        <v>44</v>
      </c>
      <c r="C5" s="42" t="s">
        <v>48</v>
      </c>
      <c r="D5" s="41" t="s">
        <v>46</v>
      </c>
      <c r="E5" s="32"/>
      <c r="F5" s="41" t="s">
        <v>44</v>
      </c>
      <c r="G5" s="41" t="s">
        <v>43</v>
      </c>
      <c r="H5" s="41" t="s">
        <v>46</v>
      </c>
      <c r="I5" s="27"/>
      <c r="J5" s="43">
        <f>$J$2-weekday($J$2)+2</f>
        <v>45866</v>
      </c>
      <c r="K5" s="43">
        <f t="shared" ref="K5:P5" si="1">J5+1</f>
        <v>45867</v>
      </c>
      <c r="L5" s="43">
        <f t="shared" si="1"/>
        <v>45868</v>
      </c>
      <c r="M5" s="43">
        <f t="shared" si="1"/>
        <v>45869</v>
      </c>
      <c r="N5" s="43">
        <f t="shared" si="1"/>
        <v>45870</v>
      </c>
      <c r="O5" s="44">
        <f t="shared" si="1"/>
        <v>45871</v>
      </c>
      <c r="P5" s="45">
        <f t="shared" si="1"/>
        <v>45872</v>
      </c>
      <c r="Q5" s="21"/>
      <c r="R5" s="138">
        <v>45870.0</v>
      </c>
      <c r="S5" s="139"/>
      <c r="T5" s="55"/>
      <c r="U5" s="49"/>
      <c r="V5" s="140"/>
      <c r="W5" s="39"/>
      <c r="X5" s="141"/>
      <c r="Y5" s="142"/>
      <c r="Z5" s="21"/>
      <c r="AA5" s="21"/>
      <c r="AB5" s="21"/>
    </row>
    <row r="6" ht="20.25" customHeight="1">
      <c r="A6" s="53"/>
      <c r="B6" s="54"/>
      <c r="C6" s="55"/>
      <c r="D6" s="56"/>
      <c r="E6" s="57"/>
      <c r="F6" s="58"/>
      <c r="G6" s="55"/>
      <c r="H6" s="56"/>
      <c r="I6" s="27"/>
      <c r="J6" s="60">
        <f t="shared" ref="J6:P6" si="2">sumifs($X:$X,$R:$R,J5)</f>
        <v>0</v>
      </c>
      <c r="K6" s="60">
        <f t="shared" si="2"/>
        <v>0</v>
      </c>
      <c r="L6" s="60">
        <f t="shared" si="2"/>
        <v>0</v>
      </c>
      <c r="M6" s="60">
        <f t="shared" si="2"/>
        <v>0</v>
      </c>
      <c r="N6" s="60">
        <f t="shared" si="2"/>
        <v>0</v>
      </c>
      <c r="O6" s="60">
        <f t="shared" si="2"/>
        <v>0</v>
      </c>
      <c r="P6" s="60">
        <f t="shared" si="2"/>
        <v>0</v>
      </c>
      <c r="Q6" s="21"/>
      <c r="R6" s="138"/>
      <c r="S6" s="139"/>
      <c r="T6" s="55"/>
      <c r="U6" s="49"/>
      <c r="V6" s="140"/>
      <c r="W6" s="39"/>
      <c r="X6" s="141"/>
      <c r="Y6" s="142"/>
      <c r="Z6" s="21"/>
      <c r="AA6" s="21"/>
      <c r="AB6" s="21"/>
    </row>
    <row r="7" ht="20.25" customHeight="1">
      <c r="A7" s="53"/>
      <c r="B7" s="54"/>
      <c r="C7" s="55"/>
      <c r="D7" s="56"/>
      <c r="E7" s="57"/>
      <c r="F7" s="58"/>
      <c r="G7" s="55"/>
      <c r="H7" s="56"/>
      <c r="I7" s="27"/>
      <c r="J7" s="61">
        <f t="shared" ref="J7:P7" si="3">J5+7</f>
        <v>45873</v>
      </c>
      <c r="K7" s="61">
        <f t="shared" si="3"/>
        <v>45874</v>
      </c>
      <c r="L7" s="61">
        <f t="shared" si="3"/>
        <v>45875</v>
      </c>
      <c r="M7" s="61">
        <f t="shared" si="3"/>
        <v>45876</v>
      </c>
      <c r="N7" s="61">
        <f t="shared" si="3"/>
        <v>45877</v>
      </c>
      <c r="O7" s="62">
        <f t="shared" si="3"/>
        <v>45878</v>
      </c>
      <c r="P7" s="63">
        <f t="shared" si="3"/>
        <v>45879</v>
      </c>
      <c r="Q7" s="21"/>
      <c r="R7" s="138"/>
      <c r="S7" s="139"/>
      <c r="T7" s="55"/>
      <c r="U7" s="49"/>
      <c r="V7" s="140"/>
      <c r="W7" s="39"/>
      <c r="X7" s="141"/>
      <c r="Y7" s="142"/>
      <c r="Z7" s="21"/>
      <c r="AA7" s="21"/>
      <c r="AB7" s="21"/>
    </row>
    <row r="8" ht="20.25" customHeight="1">
      <c r="A8" s="53"/>
      <c r="B8" s="54"/>
      <c r="C8" s="55"/>
      <c r="D8" s="56"/>
      <c r="E8" s="57"/>
      <c r="F8" s="58"/>
      <c r="G8" s="55"/>
      <c r="H8" s="59"/>
      <c r="I8" s="27"/>
      <c r="J8" s="60">
        <f t="shared" ref="J8:P8" si="4">sumifs($X:$X,$R:$R,J7)</f>
        <v>0</v>
      </c>
      <c r="K8" s="60">
        <f t="shared" si="4"/>
        <v>0</v>
      </c>
      <c r="L8" s="60">
        <f t="shared" si="4"/>
        <v>0</v>
      </c>
      <c r="M8" s="60">
        <f t="shared" si="4"/>
        <v>0</v>
      </c>
      <c r="N8" s="60">
        <f t="shared" si="4"/>
        <v>0</v>
      </c>
      <c r="O8" s="60">
        <f t="shared" si="4"/>
        <v>0</v>
      </c>
      <c r="P8" s="60">
        <f t="shared" si="4"/>
        <v>0</v>
      </c>
      <c r="Q8" s="21"/>
      <c r="R8" s="138"/>
      <c r="S8" s="139"/>
      <c r="T8" s="55"/>
      <c r="U8" s="49"/>
      <c r="V8" s="140"/>
      <c r="W8" s="39"/>
      <c r="X8" s="141"/>
      <c r="Y8" s="142"/>
      <c r="Z8" s="21"/>
      <c r="AA8" s="21"/>
      <c r="AB8" s="21"/>
    </row>
    <row r="9" ht="20.25" customHeight="1">
      <c r="A9" s="64"/>
      <c r="B9" s="54"/>
      <c r="C9" s="55"/>
      <c r="D9" s="59"/>
      <c r="E9" s="57"/>
      <c r="F9" s="58"/>
      <c r="G9" s="55"/>
      <c r="H9" s="59"/>
      <c r="I9" s="27"/>
      <c r="J9" s="43">
        <f t="shared" ref="J9:P9" si="5">J7+7</f>
        <v>45880</v>
      </c>
      <c r="K9" s="43">
        <f t="shared" si="5"/>
        <v>45881</v>
      </c>
      <c r="L9" s="43">
        <f t="shared" si="5"/>
        <v>45882</v>
      </c>
      <c r="M9" s="43">
        <f t="shared" si="5"/>
        <v>45883</v>
      </c>
      <c r="N9" s="43">
        <f t="shared" si="5"/>
        <v>45884</v>
      </c>
      <c r="O9" s="44">
        <f t="shared" si="5"/>
        <v>45885</v>
      </c>
      <c r="P9" s="45">
        <f t="shared" si="5"/>
        <v>45886</v>
      </c>
      <c r="Q9" s="21"/>
      <c r="R9" s="138"/>
      <c r="S9" s="139"/>
      <c r="T9" s="55"/>
      <c r="U9" s="49"/>
      <c r="V9" s="140"/>
      <c r="W9" s="39"/>
      <c r="X9" s="141"/>
      <c r="Y9" s="142"/>
      <c r="Z9" s="21"/>
      <c r="AA9" s="21"/>
      <c r="AB9" s="21"/>
    </row>
    <row r="10" ht="20.25" customHeight="1">
      <c r="A10" s="64"/>
      <c r="B10" s="54"/>
      <c r="C10" s="55"/>
      <c r="D10" s="56"/>
      <c r="E10" s="57"/>
      <c r="F10" s="65"/>
      <c r="G10" s="55"/>
      <c r="H10" s="66"/>
      <c r="I10" s="27"/>
      <c r="J10" s="60">
        <f t="shared" ref="J10:P10" si="6">sumifs($X:$X,$R:$R,J9)</f>
        <v>0</v>
      </c>
      <c r="K10" s="60">
        <f t="shared" si="6"/>
        <v>0</v>
      </c>
      <c r="L10" s="60">
        <f t="shared" si="6"/>
        <v>0</v>
      </c>
      <c r="M10" s="60">
        <f t="shared" si="6"/>
        <v>0</v>
      </c>
      <c r="N10" s="60">
        <f t="shared" si="6"/>
        <v>0</v>
      </c>
      <c r="O10" s="60">
        <f t="shared" si="6"/>
        <v>0</v>
      </c>
      <c r="P10" s="60">
        <f t="shared" si="6"/>
        <v>0</v>
      </c>
      <c r="Q10" s="21"/>
      <c r="R10" s="138"/>
      <c r="S10" s="139"/>
      <c r="T10" s="55"/>
      <c r="U10" s="49"/>
      <c r="V10" s="140"/>
      <c r="W10" s="39"/>
      <c r="X10" s="141"/>
      <c r="Y10" s="142"/>
      <c r="Z10" s="21"/>
      <c r="AA10" s="21"/>
      <c r="AB10" s="21"/>
    </row>
    <row r="11" ht="20.25" customHeight="1">
      <c r="A11" s="64"/>
      <c r="B11" s="54"/>
      <c r="C11" s="55"/>
      <c r="D11" s="67"/>
      <c r="E11" s="57"/>
      <c r="F11" s="65"/>
      <c r="G11" s="55"/>
      <c r="H11" s="66"/>
      <c r="I11" s="27"/>
      <c r="J11" s="61">
        <f t="shared" ref="J11:P11" si="7">J9+7</f>
        <v>45887</v>
      </c>
      <c r="K11" s="61">
        <f t="shared" si="7"/>
        <v>45888</v>
      </c>
      <c r="L11" s="61">
        <f t="shared" si="7"/>
        <v>45889</v>
      </c>
      <c r="M11" s="61">
        <f t="shared" si="7"/>
        <v>45890</v>
      </c>
      <c r="N11" s="61">
        <f t="shared" si="7"/>
        <v>45891</v>
      </c>
      <c r="O11" s="62">
        <f t="shared" si="7"/>
        <v>45892</v>
      </c>
      <c r="P11" s="63">
        <f t="shared" si="7"/>
        <v>45893</v>
      </c>
      <c r="Q11" s="21"/>
      <c r="R11" s="138"/>
      <c r="S11" s="139"/>
      <c r="T11" s="55"/>
      <c r="U11" s="49"/>
      <c r="V11" s="140"/>
      <c r="W11" s="39"/>
      <c r="X11" s="141"/>
      <c r="Y11" s="142"/>
      <c r="Z11" s="21"/>
      <c r="AA11" s="21"/>
      <c r="AB11" s="21"/>
    </row>
    <row r="12" ht="20.25" customHeight="1">
      <c r="A12" s="64"/>
      <c r="B12" s="68"/>
      <c r="C12" s="55"/>
      <c r="D12" s="67"/>
      <c r="E12" s="57"/>
      <c r="F12" s="65"/>
      <c r="G12" s="55"/>
      <c r="H12" s="66"/>
      <c r="I12" s="27"/>
      <c r="J12" s="60">
        <f t="shared" ref="J12:P12" si="8">sumifs($X:$X,$R:$R,J11)</f>
        <v>0</v>
      </c>
      <c r="K12" s="60">
        <f t="shared" si="8"/>
        <v>0</v>
      </c>
      <c r="L12" s="60">
        <f t="shared" si="8"/>
        <v>0</v>
      </c>
      <c r="M12" s="60">
        <f t="shared" si="8"/>
        <v>0</v>
      </c>
      <c r="N12" s="60">
        <f t="shared" si="8"/>
        <v>0</v>
      </c>
      <c r="O12" s="60">
        <f t="shared" si="8"/>
        <v>0</v>
      </c>
      <c r="P12" s="60">
        <f t="shared" si="8"/>
        <v>0</v>
      </c>
      <c r="Q12" s="21"/>
      <c r="R12" s="138"/>
      <c r="S12" s="139"/>
      <c r="T12" s="55"/>
      <c r="U12" s="49"/>
      <c r="V12" s="140"/>
      <c r="W12" s="39"/>
      <c r="X12" s="141"/>
      <c r="Y12" s="142"/>
      <c r="Z12" s="21"/>
      <c r="AA12" s="21"/>
      <c r="AB12" s="21"/>
    </row>
    <row r="13" ht="20.25" customHeight="1">
      <c r="A13" s="64"/>
      <c r="B13" s="68"/>
      <c r="C13" s="55"/>
      <c r="D13" s="67"/>
      <c r="E13" s="57"/>
      <c r="F13" s="65"/>
      <c r="G13" s="55"/>
      <c r="H13" s="66"/>
      <c r="I13" s="27"/>
      <c r="J13" s="43">
        <f t="shared" ref="J13:P13" si="9">J11+7</f>
        <v>45894</v>
      </c>
      <c r="K13" s="43">
        <f t="shared" si="9"/>
        <v>45895</v>
      </c>
      <c r="L13" s="43">
        <f t="shared" si="9"/>
        <v>45896</v>
      </c>
      <c r="M13" s="43">
        <f t="shared" si="9"/>
        <v>45897</v>
      </c>
      <c r="N13" s="43">
        <f t="shared" si="9"/>
        <v>45898</v>
      </c>
      <c r="O13" s="44">
        <f t="shared" si="9"/>
        <v>45899</v>
      </c>
      <c r="P13" s="45">
        <f t="shared" si="9"/>
        <v>45900</v>
      </c>
      <c r="Q13" s="21"/>
      <c r="R13" s="138"/>
      <c r="S13" s="139"/>
      <c r="T13" s="55"/>
      <c r="U13" s="49"/>
      <c r="V13" s="140"/>
      <c r="W13" s="39"/>
      <c r="X13" s="141"/>
      <c r="Y13" s="142"/>
      <c r="Z13" s="21"/>
      <c r="AA13" s="21"/>
      <c r="AB13" s="21"/>
    </row>
    <row r="14" ht="20.25" customHeight="1">
      <c r="A14" s="69"/>
      <c r="B14" s="70" t="s">
        <v>60</v>
      </c>
      <c r="C14" s="72"/>
      <c r="D14" s="72">
        <f>SUM(D6:D13)</f>
        <v>0</v>
      </c>
      <c r="E14" s="57"/>
      <c r="F14" s="70" t="s">
        <v>60</v>
      </c>
      <c r="G14" s="72"/>
      <c r="H14" s="72">
        <f>SUM(H6:H13)</f>
        <v>0</v>
      </c>
      <c r="I14" s="27"/>
      <c r="J14" s="60">
        <f t="shared" ref="J14:P14" si="10">sumifs($X:$X,$R:$R,J13)</f>
        <v>0</v>
      </c>
      <c r="K14" s="60">
        <f t="shared" si="10"/>
        <v>0</v>
      </c>
      <c r="L14" s="60">
        <f t="shared" si="10"/>
        <v>0</v>
      </c>
      <c r="M14" s="60">
        <f t="shared" si="10"/>
        <v>0</v>
      </c>
      <c r="N14" s="60">
        <f t="shared" si="10"/>
        <v>0</v>
      </c>
      <c r="O14" s="60">
        <f t="shared" si="10"/>
        <v>0</v>
      </c>
      <c r="P14" s="60">
        <f t="shared" si="10"/>
        <v>0</v>
      </c>
      <c r="Q14" s="21"/>
      <c r="R14" s="138"/>
      <c r="S14" s="139"/>
      <c r="T14" s="55"/>
      <c r="U14" s="49"/>
      <c r="V14" s="140"/>
      <c r="W14" s="39"/>
      <c r="X14" s="141"/>
      <c r="Y14" s="142"/>
      <c r="Z14" s="21"/>
      <c r="AA14" s="21"/>
      <c r="AB14" s="21"/>
    </row>
    <row r="15" ht="20.25" customHeight="1">
      <c r="A15" s="20"/>
      <c r="B15" s="24"/>
      <c r="C15" s="32"/>
      <c r="D15" s="32"/>
      <c r="E15" s="32"/>
      <c r="F15" s="32"/>
      <c r="G15" s="24"/>
      <c r="H15" s="24"/>
      <c r="I15" s="27"/>
      <c r="J15" s="25"/>
      <c r="K15" s="25"/>
      <c r="L15" s="25"/>
      <c r="M15" s="25"/>
      <c r="N15" s="25"/>
      <c r="O15" s="25"/>
      <c r="P15" s="25"/>
      <c r="Q15" s="21"/>
      <c r="R15" s="138"/>
      <c r="S15" s="139"/>
      <c r="T15" s="55"/>
      <c r="U15" s="49"/>
      <c r="V15" s="140"/>
      <c r="W15" s="39"/>
      <c r="X15" s="141"/>
      <c r="Y15" s="142"/>
      <c r="Z15" s="21"/>
      <c r="AA15" s="21"/>
      <c r="AB15" s="21"/>
    </row>
    <row r="16" ht="20.25" customHeight="1">
      <c r="A16" s="28"/>
      <c r="B16" s="73" t="s">
        <v>61</v>
      </c>
      <c r="E16" s="27"/>
      <c r="F16" s="73" t="s">
        <v>61</v>
      </c>
      <c r="I16" s="27"/>
      <c r="J16" s="74" t="s">
        <v>62</v>
      </c>
      <c r="Q16" s="21"/>
      <c r="R16" s="138"/>
      <c r="S16" s="139"/>
      <c r="T16" s="55"/>
      <c r="U16" s="49"/>
      <c r="V16" s="140"/>
      <c r="W16" s="39"/>
      <c r="X16" s="141"/>
      <c r="Y16" s="142"/>
      <c r="Z16" s="21"/>
      <c r="AA16" s="21"/>
      <c r="AB16" s="21"/>
    </row>
    <row r="17" ht="20.25" customHeight="1">
      <c r="A17" s="40"/>
      <c r="B17" s="69" t="s">
        <v>63</v>
      </c>
      <c r="C17" s="75"/>
      <c r="D17" s="75"/>
      <c r="E17" s="53"/>
      <c r="F17" s="69" t="s">
        <v>64</v>
      </c>
      <c r="G17" s="76"/>
      <c r="H17" s="76"/>
      <c r="I17" s="27"/>
      <c r="J17" s="77"/>
      <c r="K17" s="78"/>
      <c r="L17" s="78"/>
      <c r="M17" s="78"/>
      <c r="N17" s="78"/>
      <c r="O17" s="78"/>
      <c r="P17" s="78"/>
      <c r="Q17" s="21"/>
      <c r="R17" s="138"/>
      <c r="S17" s="139"/>
      <c r="T17" s="55"/>
      <c r="U17" s="49"/>
      <c r="V17" s="140"/>
      <c r="W17" s="39"/>
      <c r="X17" s="141"/>
      <c r="Y17" s="142"/>
      <c r="Z17" s="21"/>
      <c r="AA17" s="21"/>
      <c r="AB17" s="21"/>
    </row>
    <row r="18" ht="20.25" customHeight="1">
      <c r="A18" s="40"/>
      <c r="B18" s="41" t="s">
        <v>44</v>
      </c>
      <c r="C18" s="41" t="s">
        <v>43</v>
      </c>
      <c r="D18" s="41" t="s">
        <v>46</v>
      </c>
      <c r="E18" s="57"/>
      <c r="F18" s="41" t="s">
        <v>44</v>
      </c>
      <c r="G18" s="41" t="s">
        <v>65</v>
      </c>
      <c r="H18" s="41" t="s">
        <v>46</v>
      </c>
      <c r="I18" s="27"/>
      <c r="J18" s="79" t="s">
        <v>66</v>
      </c>
      <c r="K18" s="80"/>
      <c r="L18" s="81" t="s">
        <v>49</v>
      </c>
      <c r="M18" s="82"/>
      <c r="N18" s="80"/>
      <c r="O18" s="81" t="s">
        <v>67</v>
      </c>
      <c r="P18" s="82"/>
      <c r="Q18" s="21"/>
      <c r="R18" s="138"/>
      <c r="S18" s="139"/>
      <c r="T18" s="55"/>
      <c r="U18" s="49"/>
      <c r="V18" s="140"/>
      <c r="W18" s="39"/>
      <c r="X18" s="141"/>
      <c r="Y18" s="142"/>
      <c r="Z18" s="21"/>
      <c r="AA18" s="21"/>
      <c r="AB18" s="21"/>
    </row>
    <row r="19" ht="20.25" customHeight="1">
      <c r="A19" s="53"/>
      <c r="B19" s="54"/>
      <c r="C19" s="55"/>
      <c r="D19" s="56"/>
      <c r="E19" s="57"/>
      <c r="F19" s="54"/>
      <c r="G19" s="56"/>
      <c r="H19" s="83">
        <f t="shared" ref="H19:H30" si="11">sumifs($X:$X,$U:$U,F19)</f>
        <v>0</v>
      </c>
      <c r="I19" s="27"/>
      <c r="J19" s="84"/>
      <c r="K19" s="85" t="s">
        <v>65</v>
      </c>
      <c r="L19" s="85" t="s">
        <v>46</v>
      </c>
      <c r="M19" s="85" t="s">
        <v>69</v>
      </c>
      <c r="N19" s="86" t="s">
        <v>65</v>
      </c>
      <c r="O19" s="86" t="s">
        <v>46</v>
      </c>
      <c r="P19" s="86" t="s">
        <v>69</v>
      </c>
      <c r="Q19" s="21"/>
      <c r="R19" s="138"/>
      <c r="S19" s="139"/>
      <c r="T19" s="55"/>
      <c r="U19" s="49"/>
      <c r="V19" s="140"/>
      <c r="W19" s="39"/>
      <c r="X19" s="141"/>
      <c r="Y19" s="142"/>
      <c r="Z19" s="21"/>
      <c r="AA19" s="21"/>
      <c r="AB19" s="21"/>
    </row>
    <row r="20" ht="20.25" customHeight="1">
      <c r="A20" s="53"/>
      <c r="B20" s="54"/>
      <c r="C20" s="55"/>
      <c r="D20" s="56"/>
      <c r="E20" s="57"/>
      <c r="F20" s="54"/>
      <c r="G20" s="56"/>
      <c r="H20" s="83">
        <f t="shared" si="11"/>
        <v>0</v>
      </c>
      <c r="I20" s="27"/>
      <c r="J20" s="54"/>
      <c r="K20" s="87"/>
      <c r="L20" s="88">
        <f t="shared" ref="L20:L26" si="12">sumifs($X:$X,$S:$S,$L$18,$U:$U,J20)</f>
        <v>0</v>
      </c>
      <c r="M20" s="88">
        <f t="shared" ref="M20:M27" si="13">K20-L20</f>
        <v>0</v>
      </c>
      <c r="N20" s="87"/>
      <c r="O20" s="88">
        <f t="shared" ref="O20:O26" si="14">sumifs($X:$X,$S:$S,$O$18,$U:$U,J20)</f>
        <v>0</v>
      </c>
      <c r="P20" s="88">
        <f t="shared" ref="P20:P27" si="15">N20-O20</f>
        <v>0</v>
      </c>
      <c r="Q20" s="21"/>
      <c r="R20" s="138"/>
      <c r="S20" s="139"/>
      <c r="T20" s="55"/>
      <c r="U20" s="49"/>
      <c r="V20" s="140"/>
      <c r="W20" s="39"/>
      <c r="X20" s="141"/>
      <c r="Y20" s="142"/>
      <c r="Z20" s="21"/>
      <c r="AA20" s="21"/>
      <c r="AB20" s="21"/>
    </row>
    <row r="21" ht="20.25" customHeight="1">
      <c r="A21" s="53"/>
      <c r="B21" s="54"/>
      <c r="C21" s="55"/>
      <c r="D21" s="56"/>
      <c r="E21" s="57"/>
      <c r="F21" s="54"/>
      <c r="G21" s="56"/>
      <c r="H21" s="83">
        <f t="shared" si="11"/>
        <v>0</v>
      </c>
      <c r="I21" s="27"/>
      <c r="J21" s="54"/>
      <c r="K21" s="87"/>
      <c r="L21" s="88">
        <f t="shared" si="12"/>
        <v>0</v>
      </c>
      <c r="M21" s="88">
        <f t="shared" si="13"/>
        <v>0</v>
      </c>
      <c r="N21" s="87"/>
      <c r="O21" s="88">
        <f t="shared" si="14"/>
        <v>0</v>
      </c>
      <c r="P21" s="88">
        <f t="shared" si="15"/>
        <v>0</v>
      </c>
      <c r="Q21" s="21"/>
      <c r="R21" s="138"/>
      <c r="S21" s="139"/>
      <c r="T21" s="55"/>
      <c r="U21" s="49"/>
      <c r="V21" s="140"/>
      <c r="W21" s="39"/>
      <c r="X21" s="141"/>
      <c r="Y21" s="142"/>
      <c r="Z21" s="21"/>
      <c r="AA21" s="21"/>
      <c r="AB21" s="21"/>
    </row>
    <row r="22" ht="20.25" customHeight="1">
      <c r="A22" s="53"/>
      <c r="B22" s="54"/>
      <c r="C22" s="55"/>
      <c r="D22" s="56"/>
      <c r="E22" s="57"/>
      <c r="F22" s="54"/>
      <c r="G22" s="56"/>
      <c r="H22" s="83">
        <f t="shared" si="11"/>
        <v>0</v>
      </c>
      <c r="I22" s="27"/>
      <c r="J22" s="54"/>
      <c r="K22" s="87"/>
      <c r="L22" s="88">
        <f t="shared" si="12"/>
        <v>0</v>
      </c>
      <c r="M22" s="88">
        <f t="shared" si="13"/>
        <v>0</v>
      </c>
      <c r="N22" s="87"/>
      <c r="O22" s="88">
        <f t="shared" si="14"/>
        <v>0</v>
      </c>
      <c r="P22" s="88">
        <f t="shared" si="15"/>
        <v>0</v>
      </c>
      <c r="Q22" s="21"/>
      <c r="R22" s="138"/>
      <c r="S22" s="139"/>
      <c r="T22" s="55"/>
      <c r="U22" s="49"/>
      <c r="V22" s="140"/>
      <c r="W22" s="39"/>
      <c r="X22" s="141"/>
      <c r="Y22" s="142"/>
      <c r="Z22" s="21"/>
      <c r="AA22" s="21"/>
      <c r="AB22" s="21"/>
    </row>
    <row r="23" ht="20.25" customHeight="1">
      <c r="A23" s="53"/>
      <c r="B23" s="54"/>
      <c r="C23" s="55"/>
      <c r="D23" s="56"/>
      <c r="E23" s="57"/>
      <c r="F23" s="54"/>
      <c r="G23" s="56"/>
      <c r="H23" s="83">
        <f t="shared" si="11"/>
        <v>0</v>
      </c>
      <c r="I23" s="27"/>
      <c r="J23" s="54"/>
      <c r="K23" s="87"/>
      <c r="L23" s="88">
        <f t="shared" si="12"/>
        <v>0</v>
      </c>
      <c r="M23" s="88">
        <f t="shared" si="13"/>
        <v>0</v>
      </c>
      <c r="N23" s="87"/>
      <c r="O23" s="88">
        <f t="shared" si="14"/>
        <v>0</v>
      </c>
      <c r="P23" s="88">
        <f t="shared" si="15"/>
        <v>0</v>
      </c>
      <c r="Q23" s="21"/>
      <c r="R23" s="138"/>
      <c r="S23" s="139"/>
      <c r="T23" s="55"/>
      <c r="U23" s="49"/>
      <c r="V23" s="140"/>
      <c r="W23" s="39"/>
      <c r="X23" s="141"/>
      <c r="Y23" s="142"/>
      <c r="Z23" s="21"/>
      <c r="AA23" s="21"/>
      <c r="AB23" s="21"/>
    </row>
    <row r="24" ht="20.25" customHeight="1">
      <c r="A24" s="53"/>
      <c r="B24" s="54"/>
      <c r="C24" s="55"/>
      <c r="D24" s="56"/>
      <c r="E24" s="57"/>
      <c r="F24" s="54"/>
      <c r="G24" s="56"/>
      <c r="H24" s="83">
        <f t="shared" si="11"/>
        <v>0</v>
      </c>
      <c r="I24" s="27"/>
      <c r="J24" s="54"/>
      <c r="K24" s="87"/>
      <c r="L24" s="88">
        <f t="shared" si="12"/>
        <v>0</v>
      </c>
      <c r="M24" s="88">
        <f t="shared" si="13"/>
        <v>0</v>
      </c>
      <c r="N24" s="87"/>
      <c r="O24" s="88">
        <f t="shared" si="14"/>
        <v>0</v>
      </c>
      <c r="P24" s="88">
        <f t="shared" si="15"/>
        <v>0</v>
      </c>
      <c r="Q24" s="21"/>
      <c r="R24" s="138"/>
      <c r="S24" s="139"/>
      <c r="T24" s="55"/>
      <c r="U24" s="49"/>
      <c r="V24" s="140"/>
      <c r="W24" s="39"/>
      <c r="X24" s="141"/>
      <c r="Y24" s="142"/>
      <c r="Z24" s="21"/>
      <c r="AA24" s="21"/>
      <c r="AB24" s="21"/>
    </row>
    <row r="25" ht="20.25" customHeight="1">
      <c r="A25" s="53"/>
      <c r="B25" s="54"/>
      <c r="C25" s="55"/>
      <c r="D25" s="56"/>
      <c r="E25" s="57"/>
      <c r="F25" s="54"/>
      <c r="G25" s="56"/>
      <c r="H25" s="83">
        <f t="shared" si="11"/>
        <v>0</v>
      </c>
      <c r="I25" s="27"/>
      <c r="J25" s="54"/>
      <c r="K25" s="87"/>
      <c r="L25" s="88">
        <f t="shared" si="12"/>
        <v>0</v>
      </c>
      <c r="M25" s="88">
        <f t="shared" si="13"/>
        <v>0</v>
      </c>
      <c r="N25" s="87"/>
      <c r="O25" s="88">
        <f t="shared" si="14"/>
        <v>0</v>
      </c>
      <c r="P25" s="88">
        <f t="shared" si="15"/>
        <v>0</v>
      </c>
      <c r="Q25" s="21"/>
      <c r="R25" s="138"/>
      <c r="S25" s="139"/>
      <c r="T25" s="55"/>
      <c r="U25" s="49"/>
      <c r="V25" s="140"/>
      <c r="W25" s="39"/>
      <c r="X25" s="141"/>
      <c r="Y25" s="142"/>
      <c r="Z25" s="21"/>
      <c r="AA25" s="21"/>
      <c r="AB25" s="21"/>
    </row>
    <row r="26" ht="20.25" customHeight="1">
      <c r="A26" s="53"/>
      <c r="B26" s="54"/>
      <c r="C26" s="55"/>
      <c r="D26" s="56"/>
      <c r="E26" s="57"/>
      <c r="F26" s="54"/>
      <c r="G26" s="56"/>
      <c r="H26" s="83">
        <f t="shared" si="11"/>
        <v>0</v>
      </c>
      <c r="I26" s="27"/>
      <c r="J26" s="54"/>
      <c r="K26" s="87"/>
      <c r="L26" s="88">
        <f t="shared" si="12"/>
        <v>0</v>
      </c>
      <c r="M26" s="88">
        <f t="shared" si="13"/>
        <v>0</v>
      </c>
      <c r="N26" s="87"/>
      <c r="O26" s="88">
        <f t="shared" si="14"/>
        <v>0</v>
      </c>
      <c r="P26" s="88">
        <f t="shared" si="15"/>
        <v>0</v>
      </c>
      <c r="Q26" s="21"/>
      <c r="R26" s="138"/>
      <c r="S26" s="139"/>
      <c r="T26" s="55"/>
      <c r="U26" s="49"/>
      <c r="V26" s="140"/>
      <c r="W26" s="39"/>
      <c r="X26" s="141"/>
      <c r="Y26" s="142"/>
      <c r="Z26" s="21"/>
      <c r="AA26" s="21"/>
      <c r="AB26" s="21"/>
    </row>
    <row r="27" ht="20.25" customHeight="1">
      <c r="A27" s="53"/>
      <c r="B27" s="54"/>
      <c r="C27" s="55"/>
      <c r="D27" s="56"/>
      <c r="E27" s="57"/>
      <c r="F27" s="54"/>
      <c r="G27" s="56"/>
      <c r="H27" s="83">
        <f t="shared" si="11"/>
        <v>0</v>
      </c>
      <c r="I27" s="27"/>
      <c r="J27" s="89" t="s">
        <v>83</v>
      </c>
      <c r="K27" s="88">
        <f t="shared" ref="K27:L27" si="16">SUM(K20:K26)</f>
        <v>0</v>
      </c>
      <c r="L27" s="88">
        <f t="shared" si="16"/>
        <v>0</v>
      </c>
      <c r="M27" s="88">
        <f t="shared" si="13"/>
        <v>0</v>
      </c>
      <c r="N27" s="88">
        <f t="shared" ref="N27:O27" si="17">SUM(N20:N26)</f>
        <v>0</v>
      </c>
      <c r="O27" s="88">
        <f t="shared" si="17"/>
        <v>0</v>
      </c>
      <c r="P27" s="88">
        <f t="shared" si="15"/>
        <v>0</v>
      </c>
      <c r="Q27" s="21"/>
      <c r="R27" s="138"/>
      <c r="S27" s="139"/>
      <c r="T27" s="55"/>
      <c r="U27" s="49"/>
      <c r="V27" s="140"/>
      <c r="W27" s="39"/>
      <c r="X27" s="141"/>
      <c r="Y27" s="142"/>
      <c r="Z27" s="21"/>
      <c r="AA27" s="21"/>
      <c r="AB27" s="21"/>
    </row>
    <row r="28" ht="20.25" customHeight="1">
      <c r="A28" s="53"/>
      <c r="B28" s="54"/>
      <c r="C28" s="55"/>
      <c r="D28" s="67"/>
      <c r="E28" s="57"/>
      <c r="F28" s="54"/>
      <c r="G28" s="56"/>
      <c r="H28" s="83">
        <f t="shared" si="11"/>
        <v>0</v>
      </c>
      <c r="I28" s="27"/>
      <c r="J28" s="90"/>
      <c r="K28" s="91"/>
      <c r="L28" s="92"/>
      <c r="M28" s="92"/>
      <c r="N28" s="92"/>
      <c r="O28" s="93"/>
      <c r="P28" s="94"/>
      <c r="Q28" s="21"/>
      <c r="R28" s="138"/>
      <c r="S28" s="139"/>
      <c r="T28" s="55"/>
      <c r="U28" s="49"/>
      <c r="V28" s="140"/>
      <c r="W28" s="39"/>
      <c r="X28" s="141"/>
      <c r="Y28" s="142"/>
      <c r="Z28" s="21"/>
      <c r="AA28" s="21"/>
      <c r="AB28" s="21"/>
    </row>
    <row r="29" ht="20.25" customHeight="1">
      <c r="A29" s="53"/>
      <c r="B29" s="54"/>
      <c r="C29" s="55"/>
      <c r="D29" s="67"/>
      <c r="E29" s="57"/>
      <c r="F29" s="54"/>
      <c r="G29" s="56"/>
      <c r="H29" s="83">
        <f t="shared" si="11"/>
        <v>0</v>
      </c>
      <c r="I29" s="27"/>
      <c r="J29" s="95" t="s">
        <v>66</v>
      </c>
      <c r="K29" s="80"/>
      <c r="L29" s="81" t="s">
        <v>84</v>
      </c>
      <c r="M29" s="82"/>
      <c r="N29" s="80"/>
      <c r="O29" s="81" t="s">
        <v>85</v>
      </c>
      <c r="P29" s="82"/>
      <c r="Q29" s="21"/>
      <c r="R29" s="138"/>
      <c r="S29" s="139"/>
      <c r="T29" s="55"/>
      <c r="U29" s="49"/>
      <c r="V29" s="140"/>
      <c r="W29" s="39"/>
      <c r="X29" s="141"/>
      <c r="Y29" s="142"/>
      <c r="Z29" s="21"/>
      <c r="AA29" s="21"/>
      <c r="AB29" s="21"/>
    </row>
    <row r="30" ht="20.25" customHeight="1">
      <c r="A30" s="53"/>
      <c r="B30" s="54"/>
      <c r="C30" s="55"/>
      <c r="D30" s="67"/>
      <c r="E30" s="57"/>
      <c r="F30" s="54"/>
      <c r="G30" s="56"/>
      <c r="H30" s="83">
        <f t="shared" si="11"/>
        <v>0</v>
      </c>
      <c r="I30" s="27"/>
      <c r="J30" s="96"/>
      <c r="K30" s="86" t="s">
        <v>65</v>
      </c>
      <c r="L30" s="86" t="s">
        <v>46</v>
      </c>
      <c r="M30" s="86" t="s">
        <v>69</v>
      </c>
      <c r="N30" s="86" t="s">
        <v>65</v>
      </c>
      <c r="O30" s="86" t="s">
        <v>46</v>
      </c>
      <c r="P30" s="86" t="s">
        <v>69</v>
      </c>
      <c r="Q30" s="21"/>
      <c r="R30" s="138"/>
      <c r="S30" s="139"/>
      <c r="T30" s="55"/>
      <c r="U30" s="49"/>
      <c r="V30" s="140"/>
      <c r="W30" s="39"/>
      <c r="X30" s="141"/>
      <c r="Y30" s="142"/>
      <c r="Z30" s="21"/>
      <c r="AA30" s="21"/>
      <c r="AB30" s="21"/>
    </row>
    <row r="31" ht="20.25" customHeight="1">
      <c r="A31" s="69"/>
      <c r="B31" s="70" t="s">
        <v>60</v>
      </c>
      <c r="C31" s="98"/>
      <c r="D31" s="72">
        <f>SUM(D19:D30)</f>
        <v>0</v>
      </c>
      <c r="E31" s="57"/>
      <c r="F31" s="70" t="s">
        <v>60</v>
      </c>
      <c r="G31" s="72">
        <f t="shared" ref="G31:H31" si="18">SUM(G19:G30)</f>
        <v>0</v>
      </c>
      <c r="H31" s="72">
        <f t="shared" si="18"/>
        <v>0</v>
      </c>
      <c r="I31" s="27"/>
      <c r="J31" s="54"/>
      <c r="K31" s="56"/>
      <c r="L31" s="88">
        <f t="shared" ref="L31:L37" si="19">sumifs($X:$X,$S:$S,$L$29,$U:$U,J31)</f>
        <v>0</v>
      </c>
      <c r="M31" s="88">
        <f t="shared" ref="M31:M38" si="20">K31-L31</f>
        <v>0</v>
      </c>
      <c r="N31" s="56"/>
      <c r="O31" s="88">
        <f t="shared" ref="O31:O37" si="21">sumifs($X:$X,$S:$S,$O$29,$U:$U,J31)</f>
        <v>0</v>
      </c>
      <c r="P31" s="88">
        <f t="shared" ref="P31:P38" si="22">N31-O31</f>
        <v>0</v>
      </c>
      <c r="Q31" s="21"/>
      <c r="R31" s="138"/>
      <c r="S31" s="143"/>
      <c r="T31" s="55"/>
      <c r="U31" s="49"/>
      <c r="V31" s="140"/>
      <c r="W31" s="39"/>
      <c r="X31" s="141"/>
      <c r="Y31" s="142"/>
      <c r="Z31" s="21"/>
      <c r="AA31" s="21"/>
      <c r="AB31" s="21"/>
    </row>
    <row r="32" ht="20.25" customHeight="1">
      <c r="A32" s="20"/>
      <c r="B32" s="24"/>
      <c r="C32" s="32"/>
      <c r="D32" s="32"/>
      <c r="E32" s="32"/>
      <c r="F32" s="32"/>
      <c r="G32" s="24"/>
      <c r="H32" s="24"/>
      <c r="I32" s="27"/>
      <c r="J32" s="54"/>
      <c r="K32" s="56"/>
      <c r="L32" s="88">
        <f t="shared" si="19"/>
        <v>0</v>
      </c>
      <c r="M32" s="88">
        <f t="shared" si="20"/>
        <v>0</v>
      </c>
      <c r="N32" s="56"/>
      <c r="O32" s="88">
        <f t="shared" si="21"/>
        <v>0</v>
      </c>
      <c r="P32" s="88">
        <f t="shared" si="22"/>
        <v>0</v>
      </c>
      <c r="Q32" s="21"/>
      <c r="R32" s="138"/>
      <c r="S32" s="143"/>
      <c r="T32" s="55"/>
      <c r="U32" s="49"/>
      <c r="V32" s="140"/>
      <c r="W32" s="39"/>
      <c r="X32" s="141"/>
      <c r="Y32" s="142"/>
      <c r="Z32" s="21"/>
      <c r="AA32" s="21"/>
      <c r="AB32" s="21"/>
    </row>
    <row r="33" ht="20.25" customHeight="1">
      <c r="A33" s="28"/>
      <c r="B33" s="99" t="s">
        <v>86</v>
      </c>
      <c r="C33" s="30"/>
      <c r="D33" s="31"/>
      <c r="E33" s="32"/>
      <c r="F33" s="29" t="s">
        <v>87</v>
      </c>
      <c r="G33" s="31"/>
      <c r="H33" s="100" t="s">
        <v>46</v>
      </c>
      <c r="I33" s="101"/>
      <c r="J33" s="54"/>
      <c r="K33" s="56"/>
      <c r="L33" s="88">
        <f t="shared" si="19"/>
        <v>0</v>
      </c>
      <c r="M33" s="88">
        <f t="shared" si="20"/>
        <v>0</v>
      </c>
      <c r="N33" s="56"/>
      <c r="O33" s="88">
        <f t="shared" si="21"/>
        <v>0</v>
      </c>
      <c r="P33" s="88">
        <f t="shared" si="22"/>
        <v>0</v>
      </c>
      <c r="Q33" s="21"/>
      <c r="R33" s="138"/>
      <c r="S33" s="143"/>
      <c r="T33" s="55"/>
      <c r="U33" s="49"/>
      <c r="V33" s="140"/>
      <c r="W33" s="39"/>
      <c r="X33" s="141"/>
      <c r="Y33" s="142"/>
      <c r="Z33" s="21"/>
      <c r="AA33" s="21"/>
      <c r="AB33" s="21"/>
    </row>
    <row r="34" ht="20.25" customHeight="1">
      <c r="A34" s="40"/>
      <c r="B34" s="41" t="s">
        <v>44</v>
      </c>
      <c r="C34" s="41" t="s">
        <v>43</v>
      </c>
      <c r="D34" s="41" t="s">
        <v>46</v>
      </c>
      <c r="E34" s="57"/>
      <c r="F34" s="102" t="s">
        <v>88</v>
      </c>
      <c r="G34" s="31"/>
      <c r="H34" s="103">
        <f>D14</f>
        <v>0</v>
      </c>
      <c r="I34" s="104"/>
      <c r="J34" s="54"/>
      <c r="K34" s="56"/>
      <c r="L34" s="88">
        <f t="shared" si="19"/>
        <v>0</v>
      </c>
      <c r="M34" s="88">
        <f t="shared" si="20"/>
        <v>0</v>
      </c>
      <c r="N34" s="56"/>
      <c r="O34" s="88">
        <f t="shared" si="21"/>
        <v>0</v>
      </c>
      <c r="P34" s="88">
        <f t="shared" si="22"/>
        <v>0</v>
      </c>
      <c r="Q34" s="21"/>
      <c r="R34" s="138"/>
      <c r="S34" s="143"/>
      <c r="T34" s="55"/>
      <c r="U34" s="49"/>
      <c r="V34" s="140"/>
      <c r="W34" s="39"/>
      <c r="X34" s="141"/>
      <c r="Y34" s="142"/>
      <c r="Z34" s="21"/>
      <c r="AA34" s="21"/>
      <c r="AB34" s="21"/>
    </row>
    <row r="35" ht="20.25" customHeight="1">
      <c r="A35" s="19"/>
      <c r="B35" s="54"/>
      <c r="C35" s="55"/>
      <c r="D35" s="56"/>
      <c r="E35" s="57"/>
      <c r="F35" s="102" t="s">
        <v>90</v>
      </c>
      <c r="G35" s="31"/>
      <c r="H35" s="103">
        <f>H14</f>
        <v>0</v>
      </c>
      <c r="I35" s="104"/>
      <c r="J35" s="54"/>
      <c r="K35" s="56"/>
      <c r="L35" s="88">
        <f t="shared" si="19"/>
        <v>0</v>
      </c>
      <c r="M35" s="88">
        <f t="shared" si="20"/>
        <v>0</v>
      </c>
      <c r="N35" s="56"/>
      <c r="O35" s="88">
        <f t="shared" si="21"/>
        <v>0</v>
      </c>
      <c r="P35" s="88">
        <f t="shared" si="22"/>
        <v>0</v>
      </c>
      <c r="Q35" s="21"/>
      <c r="R35" s="138"/>
      <c r="S35" s="143"/>
      <c r="T35" s="55"/>
      <c r="U35" s="49"/>
      <c r="V35" s="140"/>
      <c r="W35" s="39"/>
      <c r="X35" s="141"/>
      <c r="Y35" s="142"/>
      <c r="Z35" s="21"/>
      <c r="AA35" s="21"/>
      <c r="AB35" s="21"/>
    </row>
    <row r="36" ht="20.25" customHeight="1">
      <c r="A36" s="19"/>
      <c r="B36" s="54"/>
      <c r="C36" s="55"/>
      <c r="D36" s="59"/>
      <c r="E36" s="57"/>
      <c r="F36" s="102" t="s">
        <v>91</v>
      </c>
      <c r="G36" s="31"/>
      <c r="H36" s="103">
        <f>D31+H31</f>
        <v>0</v>
      </c>
      <c r="I36" s="105"/>
      <c r="J36" s="54"/>
      <c r="K36" s="56"/>
      <c r="L36" s="88">
        <f t="shared" si="19"/>
        <v>0</v>
      </c>
      <c r="M36" s="88">
        <f t="shared" si="20"/>
        <v>0</v>
      </c>
      <c r="N36" s="56"/>
      <c r="O36" s="88">
        <f t="shared" si="21"/>
        <v>0</v>
      </c>
      <c r="P36" s="88">
        <f t="shared" si="22"/>
        <v>0</v>
      </c>
      <c r="Q36" s="21"/>
      <c r="R36" s="138"/>
      <c r="S36" s="143"/>
      <c r="T36" s="55"/>
      <c r="U36" s="49"/>
      <c r="V36" s="140"/>
      <c r="W36" s="39"/>
      <c r="X36" s="141"/>
      <c r="Y36" s="142"/>
      <c r="Z36" s="21"/>
      <c r="AA36" s="21"/>
      <c r="AB36" s="21"/>
    </row>
    <row r="37" ht="20.25" customHeight="1">
      <c r="A37" s="19"/>
      <c r="B37" s="54"/>
      <c r="C37" s="55"/>
      <c r="D37" s="59"/>
      <c r="E37" s="57"/>
      <c r="F37" s="102" t="s">
        <v>92</v>
      </c>
      <c r="G37" s="31"/>
      <c r="H37" s="103">
        <f>H34-H35-H36</f>
        <v>0</v>
      </c>
      <c r="I37" s="104"/>
      <c r="J37" s="54"/>
      <c r="K37" s="56"/>
      <c r="L37" s="88">
        <f t="shared" si="19"/>
        <v>0</v>
      </c>
      <c r="M37" s="88">
        <f t="shared" si="20"/>
        <v>0</v>
      </c>
      <c r="N37" s="56"/>
      <c r="O37" s="88">
        <f t="shared" si="21"/>
        <v>0</v>
      </c>
      <c r="P37" s="88">
        <f t="shared" si="22"/>
        <v>0</v>
      </c>
      <c r="Q37" s="21"/>
      <c r="R37" s="138"/>
      <c r="S37" s="143"/>
      <c r="T37" s="55"/>
      <c r="U37" s="49"/>
      <c r="V37" s="140"/>
      <c r="W37" s="39"/>
      <c r="X37" s="141"/>
      <c r="Y37" s="142"/>
      <c r="Z37" s="21"/>
      <c r="AA37" s="21"/>
      <c r="AB37" s="21"/>
    </row>
    <row r="38" ht="20.25" customHeight="1">
      <c r="A38" s="106"/>
      <c r="B38" s="54"/>
      <c r="C38" s="55"/>
      <c r="D38" s="59"/>
      <c r="E38" s="57"/>
      <c r="F38" s="102" t="s">
        <v>93</v>
      </c>
      <c r="G38" s="31"/>
      <c r="H38" s="103">
        <f>H35+H37</f>
        <v>0</v>
      </c>
      <c r="I38" s="107"/>
      <c r="J38" s="89" t="s">
        <v>83</v>
      </c>
      <c r="K38" s="88">
        <f t="shared" ref="K38:L38" si="23">SUM(K31:K37)</f>
        <v>0</v>
      </c>
      <c r="L38" s="88">
        <f t="shared" si="23"/>
        <v>0</v>
      </c>
      <c r="M38" s="88">
        <f t="shared" si="20"/>
        <v>0</v>
      </c>
      <c r="N38" s="88">
        <f t="shared" ref="N38:O38" si="24">SUM(N31:N37)</f>
        <v>0</v>
      </c>
      <c r="O38" s="88">
        <f t="shared" si="24"/>
        <v>0</v>
      </c>
      <c r="P38" s="88">
        <f t="shared" si="22"/>
        <v>0</v>
      </c>
      <c r="Q38" s="21"/>
      <c r="R38" s="138"/>
      <c r="S38" s="143"/>
      <c r="T38" s="55"/>
      <c r="U38" s="49"/>
      <c r="V38" s="140"/>
      <c r="W38" s="39"/>
      <c r="X38" s="141"/>
      <c r="Y38" s="142"/>
      <c r="Z38" s="21"/>
      <c r="AA38" s="21"/>
      <c r="AB38" s="21"/>
    </row>
    <row r="39" ht="20.25" customHeight="1">
      <c r="A39" s="106"/>
      <c r="B39" s="54"/>
      <c r="C39" s="55"/>
      <c r="D39" s="66"/>
      <c r="E39" s="32"/>
      <c r="F39" s="32"/>
      <c r="G39" s="108"/>
      <c r="H39" s="108"/>
      <c r="I39" s="27"/>
      <c r="J39" s="90"/>
      <c r="K39" s="57"/>
      <c r="L39" s="92"/>
      <c r="M39" s="92"/>
      <c r="N39" s="92"/>
      <c r="O39" s="93"/>
      <c r="P39" s="94"/>
      <c r="Q39" s="21"/>
      <c r="R39" s="138"/>
      <c r="S39" s="143"/>
      <c r="T39" s="55"/>
      <c r="U39" s="49"/>
      <c r="V39" s="140"/>
      <c r="W39" s="39"/>
      <c r="X39" s="141"/>
      <c r="Y39" s="142"/>
      <c r="Z39" s="21"/>
      <c r="AA39" s="21"/>
      <c r="AB39" s="21"/>
    </row>
    <row r="40" ht="20.25" customHeight="1">
      <c r="A40" s="69"/>
      <c r="B40" s="109"/>
      <c r="C40" s="55"/>
      <c r="D40" s="110"/>
      <c r="E40" s="32"/>
      <c r="F40" s="111" t="s">
        <v>113</v>
      </c>
      <c r="G40" s="112" t="s">
        <v>114</v>
      </c>
      <c r="H40" s="113"/>
      <c r="I40" s="27"/>
      <c r="J40" s="95" t="s">
        <v>66</v>
      </c>
      <c r="K40" s="80"/>
      <c r="L40" s="81" t="s">
        <v>96</v>
      </c>
      <c r="M40" s="82"/>
      <c r="N40" s="80"/>
      <c r="O40" s="81" t="s">
        <v>83</v>
      </c>
      <c r="P40" s="82"/>
      <c r="Q40" s="21"/>
      <c r="R40" s="138"/>
      <c r="S40" s="143"/>
      <c r="T40" s="55"/>
      <c r="U40" s="49"/>
      <c r="V40" s="140"/>
      <c r="W40" s="39"/>
      <c r="X40" s="141"/>
      <c r="Y40" s="142"/>
      <c r="Z40" s="21"/>
      <c r="AA40" s="21"/>
      <c r="AB40" s="21"/>
    </row>
    <row r="41" ht="20.25" customHeight="1">
      <c r="B41" s="114"/>
      <c r="C41" s="55"/>
      <c r="D41" s="110"/>
      <c r="E41" s="32"/>
      <c r="F41" s="115" t="str">
        <f>H36/H34</f>
        <v>#DIV/0!</v>
      </c>
      <c r="G41" s="116" t="str">
        <f>H38/H34</f>
        <v>#DIV/0!</v>
      </c>
      <c r="H41" s="117"/>
      <c r="I41" s="27"/>
      <c r="J41" s="96"/>
      <c r="K41" s="86" t="s">
        <v>65</v>
      </c>
      <c r="L41" s="86" t="s">
        <v>46</v>
      </c>
      <c r="M41" s="86" t="s">
        <v>69</v>
      </c>
      <c r="N41" s="86" t="s">
        <v>65</v>
      </c>
      <c r="O41" s="86" t="s">
        <v>46</v>
      </c>
      <c r="P41" s="86" t="s">
        <v>69</v>
      </c>
      <c r="Q41" s="21"/>
      <c r="R41" s="138"/>
      <c r="S41" s="143"/>
      <c r="T41" s="55"/>
      <c r="U41" s="49"/>
      <c r="V41" s="140"/>
      <c r="W41" s="39"/>
      <c r="X41" s="141"/>
      <c r="Y41" s="142"/>
      <c r="Z41" s="21"/>
      <c r="AA41" s="21"/>
      <c r="AB41" s="21"/>
    </row>
    <row r="42" ht="20.25" customHeight="1">
      <c r="B42" s="118" t="s">
        <v>60</v>
      </c>
      <c r="C42" s="119"/>
      <c r="D42" s="119">
        <f>SUM(D35:D41)</f>
        <v>0</v>
      </c>
      <c r="E42" s="32"/>
      <c r="F42" s="120"/>
      <c r="G42" s="121"/>
      <c r="H42" s="122"/>
      <c r="I42" s="27"/>
      <c r="J42" s="54"/>
      <c r="K42" s="56"/>
      <c r="L42" s="88">
        <f t="shared" ref="L42:L48" si="26">sumifs($X:$X,$S:$S,$L$40,$U:$U,J42)</f>
        <v>0</v>
      </c>
      <c r="M42" s="88">
        <f t="shared" ref="M42:M49" si="27">K42-L42</f>
        <v>0</v>
      </c>
      <c r="N42" s="83">
        <f t="shared" ref="N42:O42" si="25">K20+N20+K31+N31+K42</f>
        <v>0</v>
      </c>
      <c r="O42" s="83">
        <f t="shared" si="25"/>
        <v>0</v>
      </c>
      <c r="P42" s="88">
        <f t="shared" ref="P42:P49" si="29">N42-O42</f>
        <v>0</v>
      </c>
      <c r="Q42" s="21"/>
      <c r="R42" s="138"/>
      <c r="S42" s="143"/>
      <c r="T42" s="55"/>
      <c r="U42" s="49"/>
      <c r="V42" s="140"/>
      <c r="W42" s="39"/>
      <c r="X42" s="141"/>
      <c r="Y42" s="142"/>
      <c r="Z42" s="21"/>
      <c r="AA42" s="21"/>
      <c r="AB42" s="21"/>
    </row>
    <row r="43" ht="20.25" customHeight="1">
      <c r="A43" s="69"/>
      <c r="B43" s="123"/>
      <c r="C43" s="124"/>
      <c r="D43" s="124" t="s">
        <v>97</v>
      </c>
      <c r="E43" s="25"/>
      <c r="F43" s="125" t="s">
        <v>98</v>
      </c>
      <c r="G43" s="125"/>
      <c r="H43" s="125" t="s">
        <v>99</v>
      </c>
      <c r="I43" s="27"/>
      <c r="J43" s="54"/>
      <c r="K43" s="56"/>
      <c r="L43" s="88">
        <f t="shared" si="26"/>
        <v>0</v>
      </c>
      <c r="M43" s="88">
        <f t="shared" si="27"/>
        <v>0</v>
      </c>
      <c r="N43" s="83">
        <f t="shared" ref="N43:O43" si="28">K21+N21+K32+N32+K43</f>
        <v>0</v>
      </c>
      <c r="O43" s="83">
        <f t="shared" si="28"/>
        <v>0</v>
      </c>
      <c r="P43" s="88">
        <f t="shared" si="29"/>
        <v>0</v>
      </c>
      <c r="Q43" s="21"/>
      <c r="R43" s="138"/>
      <c r="S43" s="143"/>
      <c r="T43" s="55"/>
      <c r="U43" s="49"/>
      <c r="V43" s="140"/>
      <c r="W43" s="39"/>
      <c r="X43" s="141"/>
      <c r="Y43" s="142"/>
      <c r="Z43" s="21"/>
      <c r="AA43" s="21"/>
      <c r="AB43" s="21"/>
    </row>
    <row r="44" ht="20.25" customHeight="1">
      <c r="A44" s="69"/>
      <c r="B44" s="112" t="s">
        <v>100</v>
      </c>
      <c r="C44" s="126"/>
      <c r="D44" s="126"/>
      <c r="E44" s="126"/>
      <c r="F44" s="126"/>
      <c r="G44" s="126"/>
      <c r="H44" s="113"/>
      <c r="I44" s="27"/>
      <c r="J44" s="54"/>
      <c r="K44" s="56"/>
      <c r="L44" s="88">
        <f t="shared" si="26"/>
        <v>0</v>
      </c>
      <c r="M44" s="88">
        <f t="shared" si="27"/>
        <v>0</v>
      </c>
      <c r="N44" s="83">
        <f t="shared" ref="N44:O44" si="30">K22+N22+K33+N33+K44</f>
        <v>0</v>
      </c>
      <c r="O44" s="83">
        <f t="shared" si="30"/>
        <v>0</v>
      </c>
      <c r="P44" s="88">
        <f t="shared" si="29"/>
        <v>0</v>
      </c>
      <c r="Q44" s="21"/>
      <c r="R44" s="138"/>
      <c r="S44" s="143"/>
      <c r="T44" s="55"/>
      <c r="U44" s="49"/>
      <c r="V44" s="140"/>
      <c r="W44" s="39"/>
      <c r="X44" s="141"/>
      <c r="Y44" s="142"/>
      <c r="Z44" s="21"/>
      <c r="AA44" s="21"/>
      <c r="AB44" s="21"/>
    </row>
    <row r="45" ht="20.25" customHeight="1">
      <c r="A45" s="20"/>
      <c r="B45" s="127"/>
      <c r="C45" s="128"/>
      <c r="D45" s="128"/>
      <c r="E45" s="128"/>
      <c r="F45" s="128"/>
      <c r="G45" s="128"/>
      <c r="H45" s="117"/>
      <c r="I45" s="27"/>
      <c r="J45" s="54"/>
      <c r="K45" s="56"/>
      <c r="L45" s="88">
        <f t="shared" si="26"/>
        <v>0</v>
      </c>
      <c r="M45" s="88">
        <f t="shared" si="27"/>
        <v>0</v>
      </c>
      <c r="N45" s="83">
        <f t="shared" ref="N45:O45" si="31">K23+N23+K34+N34+K45</f>
        <v>0</v>
      </c>
      <c r="O45" s="83">
        <f t="shared" si="31"/>
        <v>0</v>
      </c>
      <c r="P45" s="88">
        <f t="shared" si="29"/>
        <v>0</v>
      </c>
      <c r="Q45" s="21"/>
      <c r="R45" s="138"/>
      <c r="S45" s="143"/>
      <c r="T45" s="55"/>
      <c r="U45" s="49"/>
      <c r="V45" s="140"/>
      <c r="W45" s="39"/>
      <c r="X45" s="141"/>
      <c r="Y45" s="142"/>
      <c r="Z45" s="21"/>
      <c r="AA45" s="21"/>
      <c r="AB45" s="21"/>
    </row>
    <row r="46" ht="20.25" customHeight="1">
      <c r="A46" s="20"/>
      <c r="B46" s="129"/>
      <c r="H46" s="130"/>
      <c r="I46" s="27"/>
      <c r="J46" s="54"/>
      <c r="K46" s="56"/>
      <c r="L46" s="88">
        <f t="shared" si="26"/>
        <v>0</v>
      </c>
      <c r="M46" s="88">
        <f t="shared" si="27"/>
        <v>0</v>
      </c>
      <c r="N46" s="83">
        <f t="shared" ref="N46:O46" si="32">K24+N24+K35+N35+K46</f>
        <v>0</v>
      </c>
      <c r="O46" s="83">
        <f t="shared" si="32"/>
        <v>0</v>
      </c>
      <c r="P46" s="88">
        <f t="shared" si="29"/>
        <v>0</v>
      </c>
      <c r="Q46" s="21"/>
      <c r="R46" s="138"/>
      <c r="S46" s="143"/>
      <c r="T46" s="55"/>
      <c r="U46" s="49"/>
      <c r="V46" s="140"/>
      <c r="W46" s="39"/>
      <c r="X46" s="141"/>
      <c r="Y46" s="142"/>
      <c r="Z46" s="21"/>
      <c r="AA46" s="21"/>
      <c r="AB46" s="21"/>
    </row>
    <row r="47" ht="20.25" customHeight="1">
      <c r="A47" s="20"/>
      <c r="B47" s="129"/>
      <c r="H47" s="130"/>
      <c r="I47" s="27"/>
      <c r="J47" s="54"/>
      <c r="K47" s="56"/>
      <c r="L47" s="88">
        <f t="shared" si="26"/>
        <v>0</v>
      </c>
      <c r="M47" s="88">
        <f t="shared" si="27"/>
        <v>0</v>
      </c>
      <c r="N47" s="83">
        <f t="shared" ref="N47:O47" si="33">K25+N25+K36+N36+K47</f>
        <v>0</v>
      </c>
      <c r="O47" s="83">
        <f t="shared" si="33"/>
        <v>0</v>
      </c>
      <c r="P47" s="88">
        <f t="shared" si="29"/>
        <v>0</v>
      </c>
      <c r="Q47" s="21"/>
      <c r="R47" s="138"/>
      <c r="S47" s="143"/>
      <c r="T47" s="55"/>
      <c r="U47" s="49"/>
      <c r="V47" s="140"/>
      <c r="W47" s="39"/>
      <c r="X47" s="141"/>
      <c r="Y47" s="142"/>
      <c r="Z47" s="21"/>
      <c r="AA47" s="21"/>
      <c r="AB47" s="21"/>
    </row>
    <row r="48" ht="20.25" customHeight="1">
      <c r="A48" s="20"/>
      <c r="B48" s="129"/>
      <c r="H48" s="130"/>
      <c r="I48" s="27"/>
      <c r="J48" s="54"/>
      <c r="K48" s="56"/>
      <c r="L48" s="88">
        <f t="shared" si="26"/>
        <v>0</v>
      </c>
      <c r="M48" s="88">
        <f t="shared" si="27"/>
        <v>0</v>
      </c>
      <c r="N48" s="83">
        <f t="shared" ref="N48:O48" si="34">K26+N26+K37+N37+K48</f>
        <v>0</v>
      </c>
      <c r="O48" s="83">
        <f t="shared" si="34"/>
        <v>0</v>
      </c>
      <c r="P48" s="88">
        <f t="shared" si="29"/>
        <v>0</v>
      </c>
      <c r="Q48" s="21"/>
      <c r="R48" s="138"/>
      <c r="S48" s="143"/>
      <c r="T48" s="55"/>
      <c r="U48" s="49"/>
      <c r="V48" s="140"/>
      <c r="W48" s="39"/>
      <c r="X48" s="141"/>
      <c r="Y48" s="142"/>
      <c r="Z48" s="21"/>
      <c r="AA48" s="21"/>
      <c r="AB48" s="21"/>
    </row>
    <row r="49" ht="20.25" customHeight="1">
      <c r="A49" s="20"/>
      <c r="B49" s="121"/>
      <c r="C49" s="131"/>
      <c r="D49" s="131"/>
      <c r="E49" s="131"/>
      <c r="F49" s="131"/>
      <c r="G49" s="131"/>
      <c r="H49" s="122"/>
      <c r="I49" s="27"/>
      <c r="J49" s="89" t="s">
        <v>83</v>
      </c>
      <c r="K49" s="88">
        <f t="shared" ref="K49:L49" si="35">SUM(K42:K48)</f>
        <v>0</v>
      </c>
      <c r="L49" s="88">
        <f t="shared" si="35"/>
        <v>0</v>
      </c>
      <c r="M49" s="88">
        <f t="shared" si="27"/>
        <v>0</v>
      </c>
      <c r="N49" s="88">
        <f t="shared" ref="N49:O49" si="36">SUM(N42:N48)</f>
        <v>0</v>
      </c>
      <c r="O49" s="88">
        <f t="shared" si="36"/>
        <v>0</v>
      </c>
      <c r="P49" s="88">
        <f t="shared" si="29"/>
        <v>0</v>
      </c>
      <c r="Q49" s="21"/>
      <c r="R49" s="138"/>
      <c r="S49" s="143"/>
      <c r="T49" s="55"/>
      <c r="U49" s="49"/>
      <c r="V49" s="140"/>
      <c r="W49" s="39"/>
      <c r="X49" s="141"/>
      <c r="Y49" s="142"/>
      <c r="Z49" s="21"/>
      <c r="AA49" s="21"/>
      <c r="AB49" s="21"/>
    </row>
    <row r="50" ht="6.75" customHeight="1">
      <c r="A50" s="20"/>
      <c r="E50" s="25"/>
      <c r="F50" s="132"/>
      <c r="G50" s="125"/>
      <c r="H50" s="125"/>
      <c r="I50" s="27"/>
      <c r="J50" s="133"/>
      <c r="K50" s="19"/>
      <c r="L50" s="78"/>
      <c r="M50" s="78"/>
      <c r="N50" s="78"/>
      <c r="O50" s="134"/>
      <c r="P50" s="94"/>
      <c r="Q50" s="21"/>
      <c r="R50" s="135"/>
      <c r="S50" s="135"/>
      <c r="T50" s="135"/>
      <c r="U50" s="137"/>
      <c r="V50" s="135"/>
      <c r="W50" s="135"/>
      <c r="X50" s="135"/>
      <c r="Y50" s="135"/>
      <c r="Z50" s="21"/>
      <c r="AA50" s="21"/>
      <c r="AB50" s="21"/>
    </row>
    <row r="51" hidden="1">
      <c r="F51" s="19"/>
      <c r="G51" s="106"/>
      <c r="H51" s="10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</row>
  </sheetData>
  <mergeCells count="67">
    <mergeCell ref="V32:W32"/>
    <mergeCell ref="V37:W37"/>
    <mergeCell ref="G40:H40"/>
    <mergeCell ref="J40:J41"/>
    <mergeCell ref="F41:F42"/>
    <mergeCell ref="G41:H42"/>
    <mergeCell ref="B44:H44"/>
    <mergeCell ref="B45:H49"/>
    <mergeCell ref="B33:D33"/>
    <mergeCell ref="F33:G33"/>
    <mergeCell ref="F34:G34"/>
    <mergeCell ref="F35:G35"/>
    <mergeCell ref="F36:G36"/>
    <mergeCell ref="F37:G37"/>
    <mergeCell ref="F38:G38"/>
    <mergeCell ref="V44:W44"/>
    <mergeCell ref="V45:W45"/>
    <mergeCell ref="V46:W46"/>
    <mergeCell ref="V47:W47"/>
    <mergeCell ref="V48:W48"/>
    <mergeCell ref="V49:W49"/>
    <mergeCell ref="V31:W31"/>
    <mergeCell ref="V38:W38"/>
    <mergeCell ref="V39:W39"/>
    <mergeCell ref="V40:W40"/>
    <mergeCell ref="V41:W41"/>
    <mergeCell ref="V42:W42"/>
    <mergeCell ref="V43:W43"/>
    <mergeCell ref="R2:Y2"/>
    <mergeCell ref="B4:D4"/>
    <mergeCell ref="F4:H4"/>
    <mergeCell ref="V4:W4"/>
    <mergeCell ref="V5:W5"/>
    <mergeCell ref="V6:W6"/>
    <mergeCell ref="V7:W7"/>
    <mergeCell ref="V15:W15"/>
    <mergeCell ref="B16:D16"/>
    <mergeCell ref="F16:H16"/>
    <mergeCell ref="J16:P16"/>
    <mergeCell ref="V16:W16"/>
    <mergeCell ref="J18:J19"/>
    <mergeCell ref="V18:W18"/>
    <mergeCell ref="V19:W19"/>
    <mergeCell ref="V8:W8"/>
    <mergeCell ref="V9:W9"/>
    <mergeCell ref="V10:W10"/>
    <mergeCell ref="V11:W11"/>
    <mergeCell ref="V12:W12"/>
    <mergeCell ref="V13:W13"/>
    <mergeCell ref="V14:W14"/>
    <mergeCell ref="V26:W26"/>
    <mergeCell ref="V27:W27"/>
    <mergeCell ref="V28:W28"/>
    <mergeCell ref="J29:J30"/>
    <mergeCell ref="V29:W29"/>
    <mergeCell ref="V30:W30"/>
    <mergeCell ref="V17:W17"/>
    <mergeCell ref="V20:W20"/>
    <mergeCell ref="V21:W21"/>
    <mergeCell ref="V22:W22"/>
    <mergeCell ref="V23:W23"/>
    <mergeCell ref="V24:W24"/>
    <mergeCell ref="V25:W25"/>
    <mergeCell ref="V34:W34"/>
    <mergeCell ref="V35:W35"/>
    <mergeCell ref="V33:W33"/>
    <mergeCell ref="V36:W36"/>
  </mergeCells>
  <conditionalFormatting sqref="J5:P5 J7:P7 J9:P9 J11:P11 J13:P13">
    <cfRule type="expression" dxfId="4" priority="1">
      <formula>MONTH(J5)&lt;&gt;$B$1</formula>
    </cfRule>
  </conditionalFormatting>
  <dataValidations>
    <dataValidation type="list" allowBlank="1" sqref="B6:B13">
      <formula1>list!$A$2:$A51</formula1>
    </dataValidation>
    <dataValidation type="list" allowBlank="1" sqref="F6:F13">
      <formula1>list!$B$2:$B51</formula1>
    </dataValidation>
    <dataValidation type="list" allowBlank="1" sqref="J20:J26 B19:B30 F19:F30 J31:J37 J42:J48">
      <formula1>list!$C$2:$C51</formula1>
    </dataValidation>
    <dataValidation type="list" allowBlank="1" sqref="C6:C13 G6:G13 C19:C30 C35:C41 T5:T49">
      <formula1>list!$F$2:$F51</formula1>
    </dataValidation>
    <dataValidation type="list" allowBlank="1" sqref="U5:U49">
      <formula1>list!$C$2:$C51</formula1>
    </dataValidation>
    <dataValidation type="list" allowBlank="1" sqref="B35:B41">
      <formula1>list!$D$2:$D51</formula1>
    </dataValidation>
    <dataValidation type="list" allowBlank="1" showErrorMessage="1" sqref="S5:S49">
      <formula1>"1week,2week,3week,4week,5week"</formula1>
    </dataValidation>
    <dataValidation type="custom" allowBlank="1" showDropDown="1" showErrorMessage="1" sqref="J28 J39 R5:R49 J50 R50:Y50">
      <formula1>OR(NOT(ISERROR(DATEVALUE(J5))), AND(ISNUMBER(J5), LEFT(CELL("format", J5))="D"))</formula1>
    </dataValidation>
    <dataValidation type="list" allowBlank="1" showErrorMessage="1" sqref="Y5:Y49">
      <formula1>"〇,△,✕"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8CC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.0"/>
    <col customWidth="1" min="2" max="2" width="18.0"/>
    <col customWidth="1" min="3" max="4" width="11.63"/>
    <col customWidth="1" min="5" max="5" width="2.0"/>
    <col customWidth="1" min="6" max="6" width="18.0"/>
    <col customWidth="1" min="7" max="8" width="11.63"/>
    <col customWidth="1" min="9" max="9" width="2.63"/>
    <col customWidth="1" min="10" max="16" width="13.88"/>
    <col customWidth="1" min="17" max="17" width="2.63"/>
    <col customWidth="1" min="18" max="25" width="12.75"/>
    <col customWidth="1" min="26" max="26" width="2.0"/>
    <col customWidth="1" hidden="1" min="27" max="28" width="11.0"/>
  </cols>
  <sheetData>
    <row r="1" ht="42.0" customHeight="1">
      <c r="A1" s="10"/>
      <c r="B1" s="11">
        <v>9.0</v>
      </c>
      <c r="C1" s="12"/>
      <c r="D1" s="12" t="s">
        <v>29</v>
      </c>
      <c r="E1" s="13"/>
      <c r="F1" s="12"/>
      <c r="G1" s="14"/>
      <c r="H1" s="14"/>
      <c r="I1" s="15"/>
      <c r="J1" s="12" t="s">
        <v>30</v>
      </c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6"/>
      <c r="AB1" s="16"/>
    </row>
    <row r="2" ht="21.75" customHeight="1">
      <c r="A2" s="17"/>
      <c r="B2" s="18">
        <v>2025.0</v>
      </c>
      <c r="C2" s="19"/>
      <c r="D2" s="19"/>
      <c r="G2" s="20"/>
      <c r="H2" s="20"/>
      <c r="I2" s="21"/>
      <c r="J2" s="22">
        <f>DATE(B2,B1,1)</f>
        <v>45901</v>
      </c>
      <c r="K2" s="21"/>
      <c r="L2" s="21"/>
      <c r="M2" s="21"/>
      <c r="N2" s="21"/>
      <c r="O2" s="21"/>
      <c r="P2" s="21"/>
      <c r="Q2" s="21"/>
      <c r="R2" s="23" t="s">
        <v>31</v>
      </c>
      <c r="Z2" s="21"/>
      <c r="AA2" s="21"/>
      <c r="AB2" s="21"/>
    </row>
    <row r="3" ht="7.5" customHeight="1">
      <c r="A3" s="20"/>
      <c r="B3" s="24"/>
      <c r="C3" s="25"/>
      <c r="D3" s="25"/>
      <c r="E3" s="25"/>
      <c r="F3" s="26"/>
      <c r="G3" s="26"/>
      <c r="H3" s="26"/>
      <c r="I3" s="27"/>
      <c r="J3" s="25"/>
      <c r="K3" s="25"/>
      <c r="L3" s="25"/>
      <c r="M3" s="27"/>
      <c r="N3" s="27"/>
      <c r="O3" s="27"/>
      <c r="P3" s="27"/>
      <c r="Q3" s="21"/>
      <c r="Z3" s="21"/>
      <c r="AA3" s="21"/>
      <c r="AB3" s="21"/>
    </row>
    <row r="4" ht="20.25" customHeight="1">
      <c r="A4" s="28"/>
      <c r="B4" s="29" t="s">
        <v>32</v>
      </c>
      <c r="C4" s="30"/>
      <c r="D4" s="31"/>
      <c r="E4" s="32"/>
      <c r="F4" s="29" t="s">
        <v>33</v>
      </c>
      <c r="G4" s="30"/>
      <c r="H4" s="31"/>
      <c r="I4" s="27"/>
      <c r="J4" s="33" t="s">
        <v>34</v>
      </c>
      <c r="K4" s="33" t="s">
        <v>35</v>
      </c>
      <c r="L4" s="33" t="s">
        <v>36</v>
      </c>
      <c r="M4" s="33" t="s">
        <v>37</v>
      </c>
      <c r="N4" s="33" t="s">
        <v>38</v>
      </c>
      <c r="O4" s="34" t="s">
        <v>39</v>
      </c>
      <c r="P4" s="35" t="s">
        <v>40</v>
      </c>
      <c r="Q4" s="21"/>
      <c r="R4" s="36" t="s">
        <v>41</v>
      </c>
      <c r="S4" s="37" t="s">
        <v>42</v>
      </c>
      <c r="T4" s="37" t="s">
        <v>43</v>
      </c>
      <c r="U4" s="37" t="s">
        <v>44</v>
      </c>
      <c r="V4" s="38" t="s">
        <v>45</v>
      </c>
      <c r="W4" s="39"/>
      <c r="X4" s="37" t="s">
        <v>46</v>
      </c>
      <c r="Y4" s="37" t="s">
        <v>47</v>
      </c>
      <c r="Z4" s="21"/>
      <c r="AA4" s="21"/>
      <c r="AB4" s="21"/>
    </row>
    <row r="5" ht="20.25" customHeight="1">
      <c r="A5" s="40"/>
      <c r="B5" s="41" t="s">
        <v>44</v>
      </c>
      <c r="C5" s="42" t="s">
        <v>48</v>
      </c>
      <c r="D5" s="41" t="s">
        <v>46</v>
      </c>
      <c r="E5" s="32"/>
      <c r="F5" s="41" t="s">
        <v>44</v>
      </c>
      <c r="G5" s="41" t="s">
        <v>43</v>
      </c>
      <c r="H5" s="41" t="s">
        <v>46</v>
      </c>
      <c r="I5" s="27"/>
      <c r="J5" s="43">
        <f>$J$2-weekday($J$2)+2</f>
        <v>45901</v>
      </c>
      <c r="K5" s="43">
        <f t="shared" ref="K5:P5" si="1">J5+1</f>
        <v>45902</v>
      </c>
      <c r="L5" s="43">
        <f t="shared" si="1"/>
        <v>45903</v>
      </c>
      <c r="M5" s="43">
        <f t="shared" si="1"/>
        <v>45904</v>
      </c>
      <c r="N5" s="43">
        <f t="shared" si="1"/>
        <v>45905</v>
      </c>
      <c r="O5" s="44">
        <f t="shared" si="1"/>
        <v>45906</v>
      </c>
      <c r="P5" s="45">
        <f t="shared" si="1"/>
        <v>45907</v>
      </c>
      <c r="Q5" s="21"/>
      <c r="R5" s="138">
        <v>45903.0</v>
      </c>
      <c r="S5" s="139"/>
      <c r="T5" s="55"/>
      <c r="U5" s="49"/>
      <c r="V5" s="140"/>
      <c r="W5" s="39"/>
      <c r="X5" s="141"/>
      <c r="Y5" s="142"/>
      <c r="Z5" s="21"/>
      <c r="AA5" s="21"/>
      <c r="AB5" s="21"/>
    </row>
    <row r="6" ht="20.25" customHeight="1">
      <c r="A6" s="53"/>
      <c r="B6" s="54"/>
      <c r="C6" s="55"/>
      <c r="D6" s="56"/>
      <c r="E6" s="57"/>
      <c r="F6" s="58"/>
      <c r="G6" s="55"/>
      <c r="H6" s="56"/>
      <c r="I6" s="27"/>
      <c r="J6" s="60">
        <f t="shared" ref="J6:P6" si="2">sumifs($X:$X,$R:$R,J5)</f>
        <v>0</v>
      </c>
      <c r="K6" s="60">
        <f t="shared" si="2"/>
        <v>0</v>
      </c>
      <c r="L6" s="60">
        <f t="shared" si="2"/>
        <v>0</v>
      </c>
      <c r="M6" s="60">
        <f t="shared" si="2"/>
        <v>0</v>
      </c>
      <c r="N6" s="60">
        <f t="shared" si="2"/>
        <v>0</v>
      </c>
      <c r="O6" s="60">
        <f t="shared" si="2"/>
        <v>0</v>
      </c>
      <c r="P6" s="60">
        <f t="shared" si="2"/>
        <v>0</v>
      </c>
      <c r="Q6" s="21"/>
      <c r="R6" s="138"/>
      <c r="S6" s="139"/>
      <c r="T6" s="55"/>
      <c r="U6" s="49"/>
      <c r="V6" s="140"/>
      <c r="W6" s="39"/>
      <c r="X6" s="141"/>
      <c r="Y6" s="142"/>
      <c r="Z6" s="21"/>
      <c r="AA6" s="21"/>
      <c r="AB6" s="21"/>
    </row>
    <row r="7" ht="20.25" customHeight="1">
      <c r="A7" s="53"/>
      <c r="B7" s="54"/>
      <c r="C7" s="55"/>
      <c r="D7" s="56"/>
      <c r="E7" s="57"/>
      <c r="F7" s="58"/>
      <c r="G7" s="55"/>
      <c r="H7" s="56"/>
      <c r="I7" s="27"/>
      <c r="J7" s="61">
        <f t="shared" ref="J7:P7" si="3">J5+7</f>
        <v>45908</v>
      </c>
      <c r="K7" s="61">
        <f t="shared" si="3"/>
        <v>45909</v>
      </c>
      <c r="L7" s="61">
        <f t="shared" si="3"/>
        <v>45910</v>
      </c>
      <c r="M7" s="61">
        <f t="shared" si="3"/>
        <v>45911</v>
      </c>
      <c r="N7" s="61">
        <f t="shared" si="3"/>
        <v>45912</v>
      </c>
      <c r="O7" s="62">
        <f t="shared" si="3"/>
        <v>45913</v>
      </c>
      <c r="P7" s="63">
        <f t="shared" si="3"/>
        <v>45914</v>
      </c>
      <c r="Q7" s="21"/>
      <c r="R7" s="138"/>
      <c r="S7" s="139"/>
      <c r="T7" s="55"/>
      <c r="U7" s="49"/>
      <c r="V7" s="140"/>
      <c r="W7" s="39"/>
      <c r="X7" s="141"/>
      <c r="Y7" s="142"/>
      <c r="Z7" s="21"/>
      <c r="AA7" s="21"/>
      <c r="AB7" s="21"/>
    </row>
    <row r="8" ht="20.25" customHeight="1">
      <c r="A8" s="53"/>
      <c r="B8" s="54"/>
      <c r="C8" s="55"/>
      <c r="D8" s="56"/>
      <c r="E8" s="57"/>
      <c r="F8" s="58"/>
      <c r="G8" s="55"/>
      <c r="H8" s="59"/>
      <c r="I8" s="27"/>
      <c r="J8" s="60">
        <f t="shared" ref="J8:P8" si="4">sumifs($X:$X,$R:$R,J7)</f>
        <v>0</v>
      </c>
      <c r="K8" s="60">
        <f t="shared" si="4"/>
        <v>0</v>
      </c>
      <c r="L8" s="60">
        <f t="shared" si="4"/>
        <v>0</v>
      </c>
      <c r="M8" s="60">
        <f t="shared" si="4"/>
        <v>0</v>
      </c>
      <c r="N8" s="60">
        <f t="shared" si="4"/>
        <v>0</v>
      </c>
      <c r="O8" s="60">
        <f t="shared" si="4"/>
        <v>0</v>
      </c>
      <c r="P8" s="60">
        <f t="shared" si="4"/>
        <v>0</v>
      </c>
      <c r="Q8" s="21"/>
      <c r="R8" s="138"/>
      <c r="S8" s="139"/>
      <c r="T8" s="55"/>
      <c r="U8" s="49"/>
      <c r="V8" s="140"/>
      <c r="W8" s="39"/>
      <c r="X8" s="141"/>
      <c r="Y8" s="142"/>
      <c r="Z8" s="21"/>
      <c r="AA8" s="21"/>
      <c r="AB8" s="21"/>
    </row>
    <row r="9" ht="20.25" customHeight="1">
      <c r="A9" s="64"/>
      <c r="B9" s="54"/>
      <c r="C9" s="55"/>
      <c r="D9" s="59"/>
      <c r="E9" s="57"/>
      <c r="F9" s="58"/>
      <c r="G9" s="55"/>
      <c r="H9" s="59"/>
      <c r="I9" s="27"/>
      <c r="J9" s="43">
        <f t="shared" ref="J9:P9" si="5">J7+7</f>
        <v>45915</v>
      </c>
      <c r="K9" s="43">
        <f t="shared" si="5"/>
        <v>45916</v>
      </c>
      <c r="L9" s="43">
        <f t="shared" si="5"/>
        <v>45917</v>
      </c>
      <c r="M9" s="43">
        <f t="shared" si="5"/>
        <v>45918</v>
      </c>
      <c r="N9" s="43">
        <f t="shared" si="5"/>
        <v>45919</v>
      </c>
      <c r="O9" s="44">
        <f t="shared" si="5"/>
        <v>45920</v>
      </c>
      <c r="P9" s="45">
        <f t="shared" si="5"/>
        <v>45921</v>
      </c>
      <c r="Q9" s="21"/>
      <c r="R9" s="138"/>
      <c r="S9" s="139"/>
      <c r="T9" s="55"/>
      <c r="U9" s="49"/>
      <c r="V9" s="140"/>
      <c r="W9" s="39"/>
      <c r="X9" s="141"/>
      <c r="Y9" s="142"/>
      <c r="Z9" s="21"/>
      <c r="AA9" s="21"/>
      <c r="AB9" s="21"/>
    </row>
    <row r="10" ht="20.25" customHeight="1">
      <c r="A10" s="64"/>
      <c r="B10" s="54"/>
      <c r="C10" s="55"/>
      <c r="D10" s="56"/>
      <c r="E10" s="57"/>
      <c r="F10" s="65"/>
      <c r="G10" s="55"/>
      <c r="H10" s="66"/>
      <c r="I10" s="27"/>
      <c r="J10" s="60">
        <f t="shared" ref="J10:P10" si="6">sumifs($X:$X,$R:$R,J9)</f>
        <v>0</v>
      </c>
      <c r="K10" s="60">
        <f t="shared" si="6"/>
        <v>0</v>
      </c>
      <c r="L10" s="60">
        <f t="shared" si="6"/>
        <v>0</v>
      </c>
      <c r="M10" s="60">
        <f t="shared" si="6"/>
        <v>0</v>
      </c>
      <c r="N10" s="60">
        <f t="shared" si="6"/>
        <v>0</v>
      </c>
      <c r="O10" s="60">
        <f t="shared" si="6"/>
        <v>0</v>
      </c>
      <c r="P10" s="60">
        <f t="shared" si="6"/>
        <v>0</v>
      </c>
      <c r="Q10" s="21"/>
      <c r="R10" s="138"/>
      <c r="S10" s="139"/>
      <c r="T10" s="55"/>
      <c r="U10" s="49"/>
      <c r="V10" s="140"/>
      <c r="W10" s="39"/>
      <c r="X10" s="141"/>
      <c r="Y10" s="142"/>
      <c r="Z10" s="21"/>
      <c r="AA10" s="21"/>
      <c r="AB10" s="21"/>
    </row>
    <row r="11" ht="20.25" customHeight="1">
      <c r="A11" s="64"/>
      <c r="B11" s="54"/>
      <c r="C11" s="55"/>
      <c r="D11" s="67"/>
      <c r="E11" s="57"/>
      <c r="F11" s="65"/>
      <c r="G11" s="55"/>
      <c r="H11" s="66"/>
      <c r="I11" s="27"/>
      <c r="J11" s="61">
        <f t="shared" ref="J11:P11" si="7">J9+7</f>
        <v>45922</v>
      </c>
      <c r="K11" s="61">
        <f t="shared" si="7"/>
        <v>45923</v>
      </c>
      <c r="L11" s="61">
        <f t="shared" si="7"/>
        <v>45924</v>
      </c>
      <c r="M11" s="61">
        <f t="shared" si="7"/>
        <v>45925</v>
      </c>
      <c r="N11" s="61">
        <f t="shared" si="7"/>
        <v>45926</v>
      </c>
      <c r="O11" s="62">
        <f t="shared" si="7"/>
        <v>45927</v>
      </c>
      <c r="P11" s="63">
        <f t="shared" si="7"/>
        <v>45928</v>
      </c>
      <c r="Q11" s="21"/>
      <c r="R11" s="138"/>
      <c r="S11" s="139"/>
      <c r="T11" s="55"/>
      <c r="U11" s="49"/>
      <c r="V11" s="140"/>
      <c r="W11" s="39"/>
      <c r="X11" s="141"/>
      <c r="Y11" s="142"/>
      <c r="Z11" s="21"/>
      <c r="AA11" s="21"/>
      <c r="AB11" s="21"/>
    </row>
    <row r="12" ht="20.25" customHeight="1">
      <c r="A12" s="64"/>
      <c r="B12" s="68"/>
      <c r="C12" s="55"/>
      <c r="D12" s="67"/>
      <c r="E12" s="57"/>
      <c r="F12" s="65"/>
      <c r="G12" s="55"/>
      <c r="H12" s="66"/>
      <c r="I12" s="27"/>
      <c r="J12" s="60">
        <f t="shared" ref="J12:P12" si="8">sumifs($X:$X,$R:$R,J11)</f>
        <v>0</v>
      </c>
      <c r="K12" s="60">
        <f t="shared" si="8"/>
        <v>0</v>
      </c>
      <c r="L12" s="60">
        <f t="shared" si="8"/>
        <v>0</v>
      </c>
      <c r="M12" s="60">
        <f t="shared" si="8"/>
        <v>0</v>
      </c>
      <c r="N12" s="60">
        <f t="shared" si="8"/>
        <v>0</v>
      </c>
      <c r="O12" s="60">
        <f t="shared" si="8"/>
        <v>0</v>
      </c>
      <c r="P12" s="60">
        <f t="shared" si="8"/>
        <v>0</v>
      </c>
      <c r="Q12" s="21"/>
      <c r="R12" s="138"/>
      <c r="S12" s="139"/>
      <c r="T12" s="55"/>
      <c r="U12" s="49"/>
      <c r="V12" s="140"/>
      <c r="W12" s="39"/>
      <c r="X12" s="141"/>
      <c r="Y12" s="142"/>
      <c r="Z12" s="21"/>
      <c r="AA12" s="21"/>
      <c r="AB12" s="21"/>
    </row>
    <row r="13" ht="20.25" customHeight="1">
      <c r="A13" s="64"/>
      <c r="B13" s="68"/>
      <c r="C13" s="55"/>
      <c r="D13" s="67"/>
      <c r="E13" s="57"/>
      <c r="F13" s="65"/>
      <c r="G13" s="55"/>
      <c r="H13" s="66"/>
      <c r="I13" s="27"/>
      <c r="J13" s="43">
        <f t="shared" ref="J13:P13" si="9">J11+7</f>
        <v>45929</v>
      </c>
      <c r="K13" s="43">
        <f t="shared" si="9"/>
        <v>45930</v>
      </c>
      <c r="L13" s="43">
        <f t="shared" si="9"/>
        <v>45931</v>
      </c>
      <c r="M13" s="43">
        <f t="shared" si="9"/>
        <v>45932</v>
      </c>
      <c r="N13" s="43">
        <f t="shared" si="9"/>
        <v>45933</v>
      </c>
      <c r="O13" s="44">
        <f t="shared" si="9"/>
        <v>45934</v>
      </c>
      <c r="P13" s="45">
        <f t="shared" si="9"/>
        <v>45935</v>
      </c>
      <c r="Q13" s="21"/>
      <c r="R13" s="138"/>
      <c r="S13" s="139"/>
      <c r="T13" s="55"/>
      <c r="U13" s="49"/>
      <c r="V13" s="140"/>
      <c r="W13" s="39"/>
      <c r="X13" s="141"/>
      <c r="Y13" s="142"/>
      <c r="Z13" s="21"/>
      <c r="AA13" s="21"/>
      <c r="AB13" s="21"/>
    </row>
    <row r="14" ht="20.25" customHeight="1">
      <c r="A14" s="69"/>
      <c r="B14" s="70" t="s">
        <v>60</v>
      </c>
      <c r="C14" s="72"/>
      <c r="D14" s="72">
        <f>SUM(D6:D13)</f>
        <v>0</v>
      </c>
      <c r="E14" s="57"/>
      <c r="F14" s="70" t="s">
        <v>60</v>
      </c>
      <c r="G14" s="72"/>
      <c r="H14" s="72">
        <f>SUM(H6:H13)</f>
        <v>0</v>
      </c>
      <c r="I14" s="27"/>
      <c r="J14" s="60">
        <f t="shared" ref="J14:P14" si="10">sumifs($X:$X,$R:$R,J13)</f>
        <v>0</v>
      </c>
      <c r="K14" s="60">
        <f t="shared" si="10"/>
        <v>0</v>
      </c>
      <c r="L14" s="60">
        <f t="shared" si="10"/>
        <v>0</v>
      </c>
      <c r="M14" s="60">
        <f t="shared" si="10"/>
        <v>0</v>
      </c>
      <c r="N14" s="60">
        <f t="shared" si="10"/>
        <v>0</v>
      </c>
      <c r="O14" s="60">
        <f t="shared" si="10"/>
        <v>0</v>
      </c>
      <c r="P14" s="60">
        <f t="shared" si="10"/>
        <v>0</v>
      </c>
      <c r="Q14" s="21"/>
      <c r="R14" s="138"/>
      <c r="S14" s="139"/>
      <c r="T14" s="55"/>
      <c r="U14" s="49"/>
      <c r="V14" s="140"/>
      <c r="W14" s="39"/>
      <c r="X14" s="141"/>
      <c r="Y14" s="142"/>
      <c r="Z14" s="21"/>
      <c r="AA14" s="21"/>
      <c r="AB14" s="21"/>
    </row>
    <row r="15" ht="20.25" customHeight="1">
      <c r="A15" s="20"/>
      <c r="B15" s="24"/>
      <c r="C15" s="32"/>
      <c r="D15" s="32"/>
      <c r="E15" s="32"/>
      <c r="F15" s="32"/>
      <c r="G15" s="24"/>
      <c r="H15" s="24"/>
      <c r="I15" s="27"/>
      <c r="J15" s="25"/>
      <c r="K15" s="25"/>
      <c r="L15" s="25"/>
      <c r="M15" s="25"/>
      <c r="N15" s="25"/>
      <c r="O15" s="25"/>
      <c r="P15" s="25"/>
      <c r="Q15" s="21"/>
      <c r="R15" s="138"/>
      <c r="S15" s="139"/>
      <c r="T15" s="55"/>
      <c r="U15" s="49"/>
      <c r="V15" s="140"/>
      <c r="W15" s="39"/>
      <c r="X15" s="141"/>
      <c r="Y15" s="142"/>
      <c r="Z15" s="21"/>
      <c r="AA15" s="21"/>
      <c r="AB15" s="21"/>
    </row>
    <row r="16" ht="20.25" customHeight="1">
      <c r="A16" s="28"/>
      <c r="B16" s="73" t="s">
        <v>61</v>
      </c>
      <c r="E16" s="27"/>
      <c r="F16" s="73" t="s">
        <v>61</v>
      </c>
      <c r="I16" s="27"/>
      <c r="J16" s="74" t="s">
        <v>62</v>
      </c>
      <c r="Q16" s="21"/>
      <c r="R16" s="138"/>
      <c r="S16" s="139"/>
      <c r="T16" s="55"/>
      <c r="U16" s="49"/>
      <c r="V16" s="140"/>
      <c r="W16" s="39"/>
      <c r="X16" s="141"/>
      <c r="Y16" s="142"/>
      <c r="Z16" s="21"/>
      <c r="AA16" s="21"/>
      <c r="AB16" s="21"/>
    </row>
    <row r="17" ht="20.25" customHeight="1">
      <c r="A17" s="40"/>
      <c r="B17" s="69" t="s">
        <v>63</v>
      </c>
      <c r="C17" s="75"/>
      <c r="D17" s="75"/>
      <c r="E17" s="53"/>
      <c r="F17" s="69" t="s">
        <v>64</v>
      </c>
      <c r="G17" s="76"/>
      <c r="H17" s="76"/>
      <c r="I17" s="27"/>
      <c r="J17" s="77"/>
      <c r="K17" s="78"/>
      <c r="L17" s="78"/>
      <c r="M17" s="78"/>
      <c r="N17" s="78"/>
      <c r="O17" s="78"/>
      <c r="P17" s="78"/>
      <c r="Q17" s="21"/>
      <c r="R17" s="138"/>
      <c r="S17" s="139"/>
      <c r="T17" s="55"/>
      <c r="U17" s="49"/>
      <c r="V17" s="140"/>
      <c r="W17" s="39"/>
      <c r="X17" s="141"/>
      <c r="Y17" s="142"/>
      <c r="Z17" s="21"/>
      <c r="AA17" s="21"/>
      <c r="AB17" s="21"/>
    </row>
    <row r="18" ht="20.25" customHeight="1">
      <c r="A18" s="40"/>
      <c r="B18" s="41" t="s">
        <v>44</v>
      </c>
      <c r="C18" s="41" t="s">
        <v>43</v>
      </c>
      <c r="D18" s="41" t="s">
        <v>46</v>
      </c>
      <c r="E18" s="57"/>
      <c r="F18" s="41" t="s">
        <v>44</v>
      </c>
      <c r="G18" s="41" t="s">
        <v>65</v>
      </c>
      <c r="H18" s="41" t="s">
        <v>46</v>
      </c>
      <c r="I18" s="27"/>
      <c r="J18" s="79" t="s">
        <v>66</v>
      </c>
      <c r="K18" s="80"/>
      <c r="L18" s="81" t="s">
        <v>49</v>
      </c>
      <c r="M18" s="82"/>
      <c r="N18" s="80"/>
      <c r="O18" s="81" t="s">
        <v>67</v>
      </c>
      <c r="P18" s="82"/>
      <c r="Q18" s="21"/>
      <c r="R18" s="138"/>
      <c r="S18" s="139"/>
      <c r="T18" s="55"/>
      <c r="U18" s="49"/>
      <c r="V18" s="140"/>
      <c r="W18" s="39"/>
      <c r="X18" s="141"/>
      <c r="Y18" s="142"/>
      <c r="Z18" s="21"/>
      <c r="AA18" s="21"/>
      <c r="AB18" s="21"/>
    </row>
    <row r="19" ht="20.25" customHeight="1">
      <c r="A19" s="53"/>
      <c r="B19" s="54"/>
      <c r="C19" s="55"/>
      <c r="D19" s="56"/>
      <c r="E19" s="57"/>
      <c r="F19" s="54"/>
      <c r="G19" s="56"/>
      <c r="H19" s="83">
        <f t="shared" ref="H19:H30" si="11">sumifs($X:$X,$U:$U,F19)</f>
        <v>0</v>
      </c>
      <c r="I19" s="27"/>
      <c r="J19" s="84"/>
      <c r="K19" s="85" t="s">
        <v>65</v>
      </c>
      <c r="L19" s="85" t="s">
        <v>46</v>
      </c>
      <c r="M19" s="85" t="s">
        <v>69</v>
      </c>
      <c r="N19" s="86" t="s">
        <v>65</v>
      </c>
      <c r="O19" s="86" t="s">
        <v>46</v>
      </c>
      <c r="P19" s="86" t="s">
        <v>69</v>
      </c>
      <c r="Q19" s="21"/>
      <c r="R19" s="138"/>
      <c r="S19" s="139"/>
      <c r="T19" s="55"/>
      <c r="U19" s="49"/>
      <c r="V19" s="140"/>
      <c r="W19" s="39"/>
      <c r="X19" s="141"/>
      <c r="Y19" s="142"/>
      <c r="Z19" s="21"/>
      <c r="AA19" s="21"/>
      <c r="AB19" s="21"/>
    </row>
    <row r="20" ht="20.25" customHeight="1">
      <c r="A20" s="53"/>
      <c r="B20" s="54"/>
      <c r="C20" s="55"/>
      <c r="D20" s="56"/>
      <c r="E20" s="57"/>
      <c r="F20" s="54"/>
      <c r="G20" s="56"/>
      <c r="H20" s="83">
        <f t="shared" si="11"/>
        <v>0</v>
      </c>
      <c r="I20" s="27"/>
      <c r="J20" s="54"/>
      <c r="K20" s="87"/>
      <c r="L20" s="88">
        <f t="shared" ref="L20:L26" si="12">sumifs($X:$X,$S:$S,$L$18,$U:$U,J20)</f>
        <v>0</v>
      </c>
      <c r="M20" s="88">
        <f t="shared" ref="M20:M27" si="13">K20-L20</f>
        <v>0</v>
      </c>
      <c r="N20" s="87"/>
      <c r="O20" s="88">
        <f t="shared" ref="O20:O26" si="14">sumifs($X:$X,$S:$S,$O$18,$U:$U,J20)</f>
        <v>0</v>
      </c>
      <c r="P20" s="88">
        <f t="shared" ref="P20:P27" si="15">N20-O20</f>
        <v>0</v>
      </c>
      <c r="Q20" s="21"/>
      <c r="R20" s="138"/>
      <c r="S20" s="139"/>
      <c r="T20" s="55"/>
      <c r="U20" s="49"/>
      <c r="V20" s="140"/>
      <c r="W20" s="39"/>
      <c r="X20" s="141"/>
      <c r="Y20" s="142"/>
      <c r="Z20" s="21"/>
      <c r="AA20" s="21"/>
      <c r="AB20" s="21"/>
    </row>
    <row r="21" ht="20.25" customHeight="1">
      <c r="A21" s="53"/>
      <c r="B21" s="54"/>
      <c r="C21" s="55"/>
      <c r="D21" s="56"/>
      <c r="E21" s="57"/>
      <c r="F21" s="54"/>
      <c r="G21" s="56"/>
      <c r="H21" s="83">
        <f t="shared" si="11"/>
        <v>0</v>
      </c>
      <c r="I21" s="27"/>
      <c r="J21" s="54"/>
      <c r="K21" s="87"/>
      <c r="L21" s="88">
        <f t="shared" si="12"/>
        <v>0</v>
      </c>
      <c r="M21" s="88">
        <f t="shared" si="13"/>
        <v>0</v>
      </c>
      <c r="N21" s="87"/>
      <c r="O21" s="88">
        <f t="shared" si="14"/>
        <v>0</v>
      </c>
      <c r="P21" s="88">
        <f t="shared" si="15"/>
        <v>0</v>
      </c>
      <c r="Q21" s="21"/>
      <c r="R21" s="138"/>
      <c r="S21" s="139"/>
      <c r="T21" s="55"/>
      <c r="U21" s="49"/>
      <c r="V21" s="140"/>
      <c r="W21" s="39"/>
      <c r="X21" s="141"/>
      <c r="Y21" s="142"/>
      <c r="Z21" s="21"/>
      <c r="AA21" s="21"/>
      <c r="AB21" s="21"/>
    </row>
    <row r="22" ht="20.25" customHeight="1">
      <c r="A22" s="53"/>
      <c r="B22" s="54"/>
      <c r="C22" s="55"/>
      <c r="D22" s="56"/>
      <c r="E22" s="57"/>
      <c r="F22" s="54"/>
      <c r="G22" s="56"/>
      <c r="H22" s="83">
        <f t="shared" si="11"/>
        <v>0</v>
      </c>
      <c r="I22" s="27"/>
      <c r="J22" s="54"/>
      <c r="K22" s="87"/>
      <c r="L22" s="88">
        <f t="shared" si="12"/>
        <v>0</v>
      </c>
      <c r="M22" s="88">
        <f t="shared" si="13"/>
        <v>0</v>
      </c>
      <c r="N22" s="87"/>
      <c r="O22" s="88">
        <f t="shared" si="14"/>
        <v>0</v>
      </c>
      <c r="P22" s="88">
        <f t="shared" si="15"/>
        <v>0</v>
      </c>
      <c r="Q22" s="21"/>
      <c r="R22" s="138"/>
      <c r="S22" s="139"/>
      <c r="T22" s="55"/>
      <c r="U22" s="49"/>
      <c r="V22" s="140"/>
      <c r="W22" s="39"/>
      <c r="X22" s="141"/>
      <c r="Y22" s="142"/>
      <c r="Z22" s="21"/>
      <c r="AA22" s="21"/>
      <c r="AB22" s="21"/>
    </row>
    <row r="23" ht="20.25" customHeight="1">
      <c r="A23" s="53"/>
      <c r="B23" s="54"/>
      <c r="C23" s="55"/>
      <c r="D23" s="56"/>
      <c r="E23" s="57"/>
      <c r="F23" s="54"/>
      <c r="G23" s="56"/>
      <c r="H23" s="83">
        <f t="shared" si="11"/>
        <v>0</v>
      </c>
      <c r="I23" s="27"/>
      <c r="J23" s="54"/>
      <c r="K23" s="87"/>
      <c r="L23" s="88">
        <f t="shared" si="12"/>
        <v>0</v>
      </c>
      <c r="M23" s="88">
        <f t="shared" si="13"/>
        <v>0</v>
      </c>
      <c r="N23" s="87"/>
      <c r="O23" s="88">
        <f t="shared" si="14"/>
        <v>0</v>
      </c>
      <c r="P23" s="88">
        <f t="shared" si="15"/>
        <v>0</v>
      </c>
      <c r="Q23" s="21"/>
      <c r="R23" s="138"/>
      <c r="S23" s="139"/>
      <c r="T23" s="55"/>
      <c r="U23" s="49"/>
      <c r="V23" s="140"/>
      <c r="W23" s="39"/>
      <c r="X23" s="141"/>
      <c r="Y23" s="142"/>
      <c r="Z23" s="21"/>
      <c r="AA23" s="21"/>
      <c r="AB23" s="21"/>
    </row>
    <row r="24" ht="20.25" customHeight="1">
      <c r="A24" s="53"/>
      <c r="B24" s="54"/>
      <c r="C24" s="55"/>
      <c r="D24" s="56"/>
      <c r="E24" s="57"/>
      <c r="F24" s="54"/>
      <c r="G24" s="56"/>
      <c r="H24" s="83">
        <f t="shared" si="11"/>
        <v>0</v>
      </c>
      <c r="I24" s="27"/>
      <c r="J24" s="54"/>
      <c r="K24" s="87"/>
      <c r="L24" s="88">
        <f t="shared" si="12"/>
        <v>0</v>
      </c>
      <c r="M24" s="88">
        <f t="shared" si="13"/>
        <v>0</v>
      </c>
      <c r="N24" s="87"/>
      <c r="O24" s="88">
        <f t="shared" si="14"/>
        <v>0</v>
      </c>
      <c r="P24" s="88">
        <f t="shared" si="15"/>
        <v>0</v>
      </c>
      <c r="Q24" s="21"/>
      <c r="R24" s="138"/>
      <c r="S24" s="139"/>
      <c r="T24" s="55"/>
      <c r="U24" s="49"/>
      <c r="V24" s="140"/>
      <c r="W24" s="39"/>
      <c r="X24" s="141"/>
      <c r="Y24" s="142"/>
      <c r="Z24" s="21"/>
      <c r="AA24" s="21"/>
      <c r="AB24" s="21"/>
    </row>
    <row r="25" ht="20.25" customHeight="1">
      <c r="A25" s="53"/>
      <c r="B25" s="54"/>
      <c r="C25" s="55"/>
      <c r="D25" s="56"/>
      <c r="E25" s="57"/>
      <c r="F25" s="54"/>
      <c r="G25" s="56"/>
      <c r="H25" s="83">
        <f t="shared" si="11"/>
        <v>0</v>
      </c>
      <c r="I25" s="27"/>
      <c r="J25" s="54"/>
      <c r="K25" s="87"/>
      <c r="L25" s="88">
        <f t="shared" si="12"/>
        <v>0</v>
      </c>
      <c r="M25" s="88">
        <f t="shared" si="13"/>
        <v>0</v>
      </c>
      <c r="N25" s="87"/>
      <c r="O25" s="88">
        <f t="shared" si="14"/>
        <v>0</v>
      </c>
      <c r="P25" s="88">
        <f t="shared" si="15"/>
        <v>0</v>
      </c>
      <c r="Q25" s="21"/>
      <c r="R25" s="138"/>
      <c r="S25" s="139"/>
      <c r="T25" s="55"/>
      <c r="U25" s="49"/>
      <c r="V25" s="140"/>
      <c r="W25" s="39"/>
      <c r="X25" s="141"/>
      <c r="Y25" s="142"/>
      <c r="Z25" s="21"/>
      <c r="AA25" s="21"/>
      <c r="AB25" s="21"/>
    </row>
    <row r="26" ht="20.25" customHeight="1">
      <c r="A26" s="53"/>
      <c r="B26" s="54"/>
      <c r="C26" s="55"/>
      <c r="D26" s="56"/>
      <c r="E26" s="57"/>
      <c r="F26" s="54"/>
      <c r="G26" s="56"/>
      <c r="H26" s="83">
        <f t="shared" si="11"/>
        <v>0</v>
      </c>
      <c r="I26" s="27"/>
      <c r="J26" s="54"/>
      <c r="K26" s="87"/>
      <c r="L26" s="88">
        <f t="shared" si="12"/>
        <v>0</v>
      </c>
      <c r="M26" s="88">
        <f t="shared" si="13"/>
        <v>0</v>
      </c>
      <c r="N26" s="87"/>
      <c r="O26" s="88">
        <f t="shared" si="14"/>
        <v>0</v>
      </c>
      <c r="P26" s="88">
        <f t="shared" si="15"/>
        <v>0</v>
      </c>
      <c r="Q26" s="21"/>
      <c r="R26" s="138"/>
      <c r="S26" s="139"/>
      <c r="T26" s="55"/>
      <c r="U26" s="49"/>
      <c r="V26" s="140"/>
      <c r="W26" s="39"/>
      <c r="X26" s="141"/>
      <c r="Y26" s="142"/>
      <c r="Z26" s="21"/>
      <c r="AA26" s="21"/>
      <c r="AB26" s="21"/>
    </row>
    <row r="27" ht="20.25" customHeight="1">
      <c r="A27" s="53"/>
      <c r="B27" s="54"/>
      <c r="C27" s="55"/>
      <c r="D27" s="56"/>
      <c r="E27" s="57"/>
      <c r="F27" s="54"/>
      <c r="G27" s="56"/>
      <c r="H27" s="83">
        <f t="shared" si="11"/>
        <v>0</v>
      </c>
      <c r="I27" s="27"/>
      <c r="J27" s="89" t="s">
        <v>83</v>
      </c>
      <c r="K27" s="88">
        <f t="shared" ref="K27:L27" si="16">SUM(K20:K26)</f>
        <v>0</v>
      </c>
      <c r="L27" s="88">
        <f t="shared" si="16"/>
        <v>0</v>
      </c>
      <c r="M27" s="88">
        <f t="shared" si="13"/>
        <v>0</v>
      </c>
      <c r="N27" s="88">
        <f t="shared" ref="N27:O27" si="17">SUM(N20:N26)</f>
        <v>0</v>
      </c>
      <c r="O27" s="88">
        <f t="shared" si="17"/>
        <v>0</v>
      </c>
      <c r="P27" s="88">
        <f t="shared" si="15"/>
        <v>0</v>
      </c>
      <c r="Q27" s="21"/>
      <c r="R27" s="138"/>
      <c r="S27" s="139"/>
      <c r="T27" s="55"/>
      <c r="U27" s="49"/>
      <c r="V27" s="140"/>
      <c r="W27" s="39"/>
      <c r="X27" s="141"/>
      <c r="Y27" s="142"/>
      <c r="Z27" s="21"/>
      <c r="AA27" s="21"/>
      <c r="AB27" s="21"/>
    </row>
    <row r="28" ht="20.25" customHeight="1">
      <c r="A28" s="53"/>
      <c r="B28" s="54"/>
      <c r="C28" s="55"/>
      <c r="D28" s="67"/>
      <c r="E28" s="57"/>
      <c r="F28" s="54"/>
      <c r="G28" s="56"/>
      <c r="H28" s="83">
        <f t="shared" si="11"/>
        <v>0</v>
      </c>
      <c r="I28" s="27"/>
      <c r="J28" s="90"/>
      <c r="K28" s="91"/>
      <c r="L28" s="92"/>
      <c r="M28" s="92"/>
      <c r="N28" s="92"/>
      <c r="O28" s="93"/>
      <c r="P28" s="94"/>
      <c r="Q28" s="21"/>
      <c r="R28" s="138"/>
      <c r="S28" s="139"/>
      <c r="T28" s="55"/>
      <c r="U28" s="49"/>
      <c r="V28" s="140"/>
      <c r="W28" s="39"/>
      <c r="X28" s="141"/>
      <c r="Y28" s="142"/>
      <c r="Z28" s="21"/>
      <c r="AA28" s="21"/>
      <c r="AB28" s="21"/>
    </row>
    <row r="29" ht="20.25" customHeight="1">
      <c r="A29" s="53"/>
      <c r="B29" s="54"/>
      <c r="C29" s="55"/>
      <c r="D29" s="67"/>
      <c r="E29" s="57"/>
      <c r="F29" s="54"/>
      <c r="G29" s="56"/>
      <c r="H29" s="83">
        <f t="shared" si="11"/>
        <v>0</v>
      </c>
      <c r="I29" s="27"/>
      <c r="J29" s="95" t="s">
        <v>66</v>
      </c>
      <c r="K29" s="80"/>
      <c r="L29" s="81" t="s">
        <v>84</v>
      </c>
      <c r="M29" s="82"/>
      <c r="N29" s="80"/>
      <c r="O29" s="81" t="s">
        <v>85</v>
      </c>
      <c r="P29" s="82"/>
      <c r="Q29" s="21"/>
      <c r="R29" s="138"/>
      <c r="S29" s="139"/>
      <c r="T29" s="55"/>
      <c r="U29" s="49"/>
      <c r="V29" s="140"/>
      <c r="W29" s="39"/>
      <c r="X29" s="141"/>
      <c r="Y29" s="142"/>
      <c r="Z29" s="21"/>
      <c r="AA29" s="21"/>
      <c r="AB29" s="21"/>
    </row>
    <row r="30" ht="20.25" customHeight="1">
      <c r="A30" s="53"/>
      <c r="B30" s="54"/>
      <c r="C30" s="55"/>
      <c r="D30" s="67"/>
      <c r="E30" s="57"/>
      <c r="F30" s="54"/>
      <c r="G30" s="56"/>
      <c r="H30" s="83">
        <f t="shared" si="11"/>
        <v>0</v>
      </c>
      <c r="I30" s="27"/>
      <c r="J30" s="96"/>
      <c r="K30" s="86" t="s">
        <v>65</v>
      </c>
      <c r="L30" s="86" t="s">
        <v>46</v>
      </c>
      <c r="M30" s="86" t="s">
        <v>69</v>
      </c>
      <c r="N30" s="86" t="s">
        <v>65</v>
      </c>
      <c r="O30" s="86" t="s">
        <v>46</v>
      </c>
      <c r="P30" s="86" t="s">
        <v>69</v>
      </c>
      <c r="Q30" s="21"/>
      <c r="R30" s="138"/>
      <c r="S30" s="143"/>
      <c r="T30" s="55"/>
      <c r="U30" s="49"/>
      <c r="V30" s="140"/>
      <c r="W30" s="39"/>
      <c r="X30" s="141"/>
      <c r="Y30" s="142"/>
      <c r="Z30" s="21"/>
      <c r="AA30" s="21"/>
      <c r="AB30" s="21"/>
    </row>
    <row r="31" ht="20.25" customHeight="1">
      <c r="A31" s="69"/>
      <c r="B31" s="70" t="s">
        <v>60</v>
      </c>
      <c r="C31" s="98"/>
      <c r="D31" s="72">
        <f>SUM(D19:D30)</f>
        <v>0</v>
      </c>
      <c r="E31" s="57"/>
      <c r="F31" s="70" t="s">
        <v>60</v>
      </c>
      <c r="G31" s="72">
        <f t="shared" ref="G31:H31" si="18">SUM(G19:G30)</f>
        <v>0</v>
      </c>
      <c r="H31" s="72">
        <f t="shared" si="18"/>
        <v>0</v>
      </c>
      <c r="I31" s="27"/>
      <c r="J31" s="54"/>
      <c r="K31" s="56"/>
      <c r="L31" s="88">
        <f t="shared" ref="L31:L37" si="19">sumifs($X:$X,$S:$S,$L$29,$U:$U,J31)</f>
        <v>0</v>
      </c>
      <c r="M31" s="88">
        <f t="shared" ref="M31:M38" si="20">K31-L31</f>
        <v>0</v>
      </c>
      <c r="N31" s="56"/>
      <c r="O31" s="88">
        <f t="shared" ref="O31:O37" si="21">sumifs($X:$X,$S:$S,$O$29,$U:$U,J31)</f>
        <v>0</v>
      </c>
      <c r="P31" s="88">
        <f t="shared" ref="P31:P38" si="22">N31-O31</f>
        <v>0</v>
      </c>
      <c r="Q31" s="21"/>
      <c r="R31" s="138"/>
      <c r="S31" s="143"/>
      <c r="T31" s="55"/>
      <c r="U31" s="49"/>
      <c r="V31" s="140"/>
      <c r="W31" s="39"/>
      <c r="X31" s="141"/>
      <c r="Y31" s="142"/>
      <c r="Z31" s="21"/>
      <c r="AA31" s="21"/>
      <c r="AB31" s="21"/>
    </row>
    <row r="32" ht="20.25" customHeight="1">
      <c r="A32" s="20"/>
      <c r="B32" s="24"/>
      <c r="C32" s="32"/>
      <c r="D32" s="32"/>
      <c r="E32" s="32"/>
      <c r="F32" s="32"/>
      <c r="G32" s="24"/>
      <c r="H32" s="24"/>
      <c r="I32" s="27"/>
      <c r="J32" s="54"/>
      <c r="K32" s="56"/>
      <c r="L32" s="88">
        <f t="shared" si="19"/>
        <v>0</v>
      </c>
      <c r="M32" s="88">
        <f t="shared" si="20"/>
        <v>0</v>
      </c>
      <c r="N32" s="56"/>
      <c r="O32" s="88">
        <f t="shared" si="21"/>
        <v>0</v>
      </c>
      <c r="P32" s="88">
        <f t="shared" si="22"/>
        <v>0</v>
      </c>
      <c r="Q32" s="21"/>
      <c r="R32" s="138"/>
      <c r="S32" s="143"/>
      <c r="T32" s="55"/>
      <c r="U32" s="49"/>
      <c r="V32" s="140"/>
      <c r="W32" s="39"/>
      <c r="X32" s="141"/>
      <c r="Y32" s="142"/>
      <c r="Z32" s="21"/>
      <c r="AA32" s="21"/>
      <c r="AB32" s="21"/>
    </row>
    <row r="33" ht="20.25" customHeight="1">
      <c r="A33" s="28"/>
      <c r="B33" s="99" t="s">
        <v>86</v>
      </c>
      <c r="C33" s="30"/>
      <c r="D33" s="31"/>
      <c r="E33" s="32"/>
      <c r="F33" s="29" t="s">
        <v>87</v>
      </c>
      <c r="G33" s="31"/>
      <c r="H33" s="100" t="s">
        <v>46</v>
      </c>
      <c r="I33" s="101"/>
      <c r="J33" s="54"/>
      <c r="K33" s="56"/>
      <c r="L33" s="88">
        <f t="shared" si="19"/>
        <v>0</v>
      </c>
      <c r="M33" s="88">
        <f t="shared" si="20"/>
        <v>0</v>
      </c>
      <c r="N33" s="56"/>
      <c r="O33" s="88">
        <f t="shared" si="21"/>
        <v>0</v>
      </c>
      <c r="P33" s="88">
        <f t="shared" si="22"/>
        <v>0</v>
      </c>
      <c r="Q33" s="21"/>
      <c r="R33" s="138"/>
      <c r="S33" s="143"/>
      <c r="T33" s="55"/>
      <c r="U33" s="49"/>
      <c r="V33" s="140"/>
      <c r="W33" s="39"/>
      <c r="X33" s="141"/>
      <c r="Y33" s="142"/>
      <c r="Z33" s="21"/>
      <c r="AA33" s="21"/>
      <c r="AB33" s="21"/>
    </row>
    <row r="34" ht="20.25" customHeight="1">
      <c r="A34" s="40"/>
      <c r="B34" s="41" t="s">
        <v>44</v>
      </c>
      <c r="C34" s="41" t="s">
        <v>43</v>
      </c>
      <c r="D34" s="41" t="s">
        <v>46</v>
      </c>
      <c r="E34" s="57"/>
      <c r="F34" s="102" t="s">
        <v>88</v>
      </c>
      <c r="G34" s="31"/>
      <c r="H34" s="103">
        <f>D14</f>
        <v>0</v>
      </c>
      <c r="I34" s="104"/>
      <c r="J34" s="54"/>
      <c r="K34" s="56"/>
      <c r="L34" s="88">
        <f t="shared" si="19"/>
        <v>0</v>
      </c>
      <c r="M34" s="88">
        <f t="shared" si="20"/>
        <v>0</v>
      </c>
      <c r="N34" s="56"/>
      <c r="O34" s="88">
        <f t="shared" si="21"/>
        <v>0</v>
      </c>
      <c r="P34" s="88">
        <f t="shared" si="22"/>
        <v>0</v>
      </c>
      <c r="Q34" s="21"/>
      <c r="R34" s="138"/>
      <c r="S34" s="143"/>
      <c r="T34" s="55"/>
      <c r="U34" s="49"/>
      <c r="V34" s="140"/>
      <c r="W34" s="39"/>
      <c r="X34" s="141"/>
      <c r="Y34" s="142"/>
      <c r="Z34" s="21"/>
      <c r="AA34" s="21"/>
      <c r="AB34" s="21"/>
    </row>
    <row r="35" ht="20.25" customHeight="1">
      <c r="A35" s="19"/>
      <c r="B35" s="54"/>
      <c r="C35" s="55"/>
      <c r="D35" s="56"/>
      <c r="E35" s="57"/>
      <c r="F35" s="102" t="s">
        <v>90</v>
      </c>
      <c r="G35" s="31"/>
      <c r="H35" s="103">
        <f>H14</f>
        <v>0</v>
      </c>
      <c r="I35" s="104"/>
      <c r="J35" s="54"/>
      <c r="K35" s="56"/>
      <c r="L35" s="88">
        <f t="shared" si="19"/>
        <v>0</v>
      </c>
      <c r="M35" s="88">
        <f t="shared" si="20"/>
        <v>0</v>
      </c>
      <c r="N35" s="56"/>
      <c r="O35" s="88">
        <f t="shared" si="21"/>
        <v>0</v>
      </c>
      <c r="P35" s="88">
        <f t="shared" si="22"/>
        <v>0</v>
      </c>
      <c r="Q35" s="21"/>
      <c r="R35" s="138"/>
      <c r="S35" s="143"/>
      <c r="T35" s="55"/>
      <c r="U35" s="49"/>
      <c r="V35" s="140"/>
      <c r="W35" s="39"/>
      <c r="X35" s="141"/>
      <c r="Y35" s="142"/>
      <c r="Z35" s="21"/>
      <c r="AA35" s="21"/>
      <c r="AB35" s="21"/>
    </row>
    <row r="36" ht="20.25" customHeight="1">
      <c r="A36" s="19"/>
      <c r="B36" s="54"/>
      <c r="C36" s="55"/>
      <c r="D36" s="59"/>
      <c r="E36" s="57"/>
      <c r="F36" s="102" t="s">
        <v>91</v>
      </c>
      <c r="G36" s="31"/>
      <c r="H36" s="103">
        <f>D31+H31</f>
        <v>0</v>
      </c>
      <c r="I36" s="105"/>
      <c r="J36" s="54"/>
      <c r="K36" s="56"/>
      <c r="L36" s="88">
        <f t="shared" si="19"/>
        <v>0</v>
      </c>
      <c r="M36" s="88">
        <f t="shared" si="20"/>
        <v>0</v>
      </c>
      <c r="N36" s="56"/>
      <c r="O36" s="88">
        <f t="shared" si="21"/>
        <v>0</v>
      </c>
      <c r="P36" s="88">
        <f t="shared" si="22"/>
        <v>0</v>
      </c>
      <c r="Q36" s="21"/>
      <c r="R36" s="138"/>
      <c r="S36" s="143"/>
      <c r="T36" s="55"/>
      <c r="U36" s="49"/>
      <c r="V36" s="140"/>
      <c r="W36" s="39"/>
      <c r="X36" s="141"/>
      <c r="Y36" s="142"/>
      <c r="Z36" s="21"/>
      <c r="AA36" s="21"/>
      <c r="AB36" s="21"/>
    </row>
    <row r="37" ht="20.25" customHeight="1">
      <c r="A37" s="19"/>
      <c r="B37" s="54"/>
      <c r="C37" s="55"/>
      <c r="D37" s="59"/>
      <c r="E37" s="57"/>
      <c r="F37" s="102" t="s">
        <v>92</v>
      </c>
      <c r="G37" s="31"/>
      <c r="H37" s="103">
        <f>H34-H35-H36</f>
        <v>0</v>
      </c>
      <c r="I37" s="104"/>
      <c r="J37" s="54"/>
      <c r="K37" s="56"/>
      <c r="L37" s="88">
        <f t="shared" si="19"/>
        <v>0</v>
      </c>
      <c r="M37" s="88">
        <f t="shared" si="20"/>
        <v>0</v>
      </c>
      <c r="N37" s="56"/>
      <c r="O37" s="88">
        <f t="shared" si="21"/>
        <v>0</v>
      </c>
      <c r="P37" s="88">
        <f t="shared" si="22"/>
        <v>0</v>
      </c>
      <c r="Q37" s="21"/>
      <c r="R37" s="138"/>
      <c r="S37" s="143"/>
      <c r="T37" s="55"/>
      <c r="U37" s="49"/>
      <c r="V37" s="140"/>
      <c r="W37" s="39"/>
      <c r="X37" s="141"/>
      <c r="Y37" s="142"/>
      <c r="Z37" s="21"/>
      <c r="AA37" s="21"/>
      <c r="AB37" s="21"/>
    </row>
    <row r="38" ht="20.25" customHeight="1">
      <c r="A38" s="106"/>
      <c r="B38" s="54"/>
      <c r="C38" s="55"/>
      <c r="D38" s="59"/>
      <c r="E38" s="57"/>
      <c r="F38" s="102" t="s">
        <v>93</v>
      </c>
      <c r="G38" s="31"/>
      <c r="H38" s="103">
        <f>H35+H37</f>
        <v>0</v>
      </c>
      <c r="I38" s="107"/>
      <c r="J38" s="89" t="s">
        <v>83</v>
      </c>
      <c r="K38" s="88">
        <f t="shared" ref="K38:L38" si="23">SUM(K31:K37)</f>
        <v>0</v>
      </c>
      <c r="L38" s="88">
        <f t="shared" si="23"/>
        <v>0</v>
      </c>
      <c r="M38" s="88">
        <f t="shared" si="20"/>
        <v>0</v>
      </c>
      <c r="N38" s="88">
        <f t="shared" ref="N38:O38" si="24">SUM(N31:N37)</f>
        <v>0</v>
      </c>
      <c r="O38" s="88">
        <f t="shared" si="24"/>
        <v>0</v>
      </c>
      <c r="P38" s="88">
        <f t="shared" si="22"/>
        <v>0</v>
      </c>
      <c r="Q38" s="21"/>
      <c r="R38" s="138"/>
      <c r="S38" s="143"/>
      <c r="T38" s="55"/>
      <c r="U38" s="49"/>
      <c r="V38" s="140"/>
      <c r="W38" s="39"/>
      <c r="X38" s="141"/>
      <c r="Y38" s="142"/>
      <c r="Z38" s="21"/>
      <c r="AA38" s="21"/>
      <c r="AB38" s="21"/>
    </row>
    <row r="39" ht="20.25" customHeight="1">
      <c r="A39" s="106"/>
      <c r="B39" s="54"/>
      <c r="C39" s="55"/>
      <c r="D39" s="66"/>
      <c r="E39" s="32"/>
      <c r="F39" s="32"/>
      <c r="G39" s="108"/>
      <c r="H39" s="108"/>
      <c r="I39" s="27"/>
      <c r="J39" s="90"/>
      <c r="K39" s="57"/>
      <c r="L39" s="92"/>
      <c r="M39" s="92"/>
      <c r="N39" s="92"/>
      <c r="O39" s="93"/>
      <c r="P39" s="94"/>
      <c r="Q39" s="21"/>
      <c r="R39" s="138"/>
      <c r="S39" s="143"/>
      <c r="T39" s="55"/>
      <c r="U39" s="49"/>
      <c r="V39" s="140"/>
      <c r="W39" s="39"/>
      <c r="X39" s="141"/>
      <c r="Y39" s="142"/>
      <c r="Z39" s="21"/>
      <c r="AA39" s="21"/>
      <c r="AB39" s="21"/>
    </row>
    <row r="40" ht="20.25" customHeight="1">
      <c r="A40" s="69"/>
      <c r="B40" s="109"/>
      <c r="C40" s="55"/>
      <c r="D40" s="110"/>
      <c r="E40" s="32"/>
      <c r="F40" s="111" t="s">
        <v>115</v>
      </c>
      <c r="G40" s="112" t="s">
        <v>116</v>
      </c>
      <c r="H40" s="113"/>
      <c r="I40" s="27"/>
      <c r="J40" s="95" t="s">
        <v>66</v>
      </c>
      <c r="K40" s="80"/>
      <c r="L40" s="81" t="s">
        <v>96</v>
      </c>
      <c r="M40" s="82"/>
      <c r="N40" s="80"/>
      <c r="O40" s="81" t="s">
        <v>83</v>
      </c>
      <c r="P40" s="82"/>
      <c r="Q40" s="21"/>
      <c r="R40" s="138"/>
      <c r="S40" s="143"/>
      <c r="T40" s="55"/>
      <c r="U40" s="49"/>
      <c r="V40" s="140"/>
      <c r="W40" s="39"/>
      <c r="X40" s="141"/>
      <c r="Y40" s="142"/>
      <c r="Z40" s="21"/>
      <c r="AA40" s="21"/>
      <c r="AB40" s="21"/>
    </row>
    <row r="41" ht="20.25" customHeight="1">
      <c r="B41" s="114"/>
      <c r="C41" s="55"/>
      <c r="D41" s="110"/>
      <c r="E41" s="32"/>
      <c r="F41" s="115" t="str">
        <f>H36/H34</f>
        <v>#DIV/0!</v>
      </c>
      <c r="G41" s="116" t="str">
        <f>H38/H34</f>
        <v>#DIV/0!</v>
      </c>
      <c r="H41" s="117"/>
      <c r="I41" s="27"/>
      <c r="J41" s="96"/>
      <c r="K41" s="86" t="s">
        <v>65</v>
      </c>
      <c r="L41" s="86" t="s">
        <v>46</v>
      </c>
      <c r="M41" s="86" t="s">
        <v>69</v>
      </c>
      <c r="N41" s="86" t="s">
        <v>65</v>
      </c>
      <c r="O41" s="86" t="s">
        <v>46</v>
      </c>
      <c r="P41" s="86" t="s">
        <v>69</v>
      </c>
      <c r="Q41" s="21"/>
      <c r="R41" s="138"/>
      <c r="S41" s="143"/>
      <c r="T41" s="55"/>
      <c r="U41" s="49"/>
      <c r="V41" s="140"/>
      <c r="W41" s="39"/>
      <c r="X41" s="141"/>
      <c r="Y41" s="142"/>
      <c r="Z41" s="21"/>
      <c r="AA41" s="21"/>
      <c r="AB41" s="21"/>
    </row>
    <row r="42" ht="20.25" customHeight="1">
      <c r="B42" s="118" t="s">
        <v>60</v>
      </c>
      <c r="C42" s="119"/>
      <c r="D42" s="119">
        <f>SUM(D35:D41)</f>
        <v>0</v>
      </c>
      <c r="E42" s="32"/>
      <c r="F42" s="120"/>
      <c r="G42" s="121"/>
      <c r="H42" s="122"/>
      <c r="I42" s="27"/>
      <c r="J42" s="54"/>
      <c r="K42" s="56"/>
      <c r="L42" s="88">
        <f t="shared" ref="L42:L48" si="26">sumifs($X:$X,$S:$S,$L$40,$U:$U,J42)</f>
        <v>0</v>
      </c>
      <c r="M42" s="88">
        <f t="shared" ref="M42:M49" si="27">K42-L42</f>
        <v>0</v>
      </c>
      <c r="N42" s="83">
        <f t="shared" ref="N42:O42" si="25">K20+N20+K31+N31+K42</f>
        <v>0</v>
      </c>
      <c r="O42" s="83">
        <f t="shared" si="25"/>
        <v>0</v>
      </c>
      <c r="P42" s="88">
        <f t="shared" ref="P42:P49" si="29">N42-O42</f>
        <v>0</v>
      </c>
      <c r="Q42" s="21"/>
      <c r="R42" s="138"/>
      <c r="S42" s="143"/>
      <c r="T42" s="55"/>
      <c r="U42" s="49"/>
      <c r="V42" s="140"/>
      <c r="W42" s="39"/>
      <c r="X42" s="141"/>
      <c r="Y42" s="142"/>
      <c r="Z42" s="21"/>
      <c r="AA42" s="21"/>
      <c r="AB42" s="21"/>
    </row>
    <row r="43" ht="20.25" customHeight="1">
      <c r="A43" s="69"/>
      <c r="B43" s="123"/>
      <c r="C43" s="124"/>
      <c r="D43" s="124" t="s">
        <v>97</v>
      </c>
      <c r="E43" s="25"/>
      <c r="F43" s="125" t="s">
        <v>98</v>
      </c>
      <c r="G43" s="125"/>
      <c r="H43" s="125" t="s">
        <v>99</v>
      </c>
      <c r="I43" s="27"/>
      <c r="J43" s="54"/>
      <c r="K43" s="56"/>
      <c r="L43" s="88">
        <f t="shared" si="26"/>
        <v>0</v>
      </c>
      <c r="M43" s="88">
        <f t="shared" si="27"/>
        <v>0</v>
      </c>
      <c r="N43" s="83">
        <f t="shared" ref="N43:O43" si="28">K21+N21+K32+N32+K43</f>
        <v>0</v>
      </c>
      <c r="O43" s="83">
        <f t="shared" si="28"/>
        <v>0</v>
      </c>
      <c r="P43" s="88">
        <f t="shared" si="29"/>
        <v>0</v>
      </c>
      <c r="Q43" s="21"/>
      <c r="R43" s="138"/>
      <c r="S43" s="143"/>
      <c r="T43" s="55"/>
      <c r="U43" s="49"/>
      <c r="V43" s="140"/>
      <c r="W43" s="39"/>
      <c r="X43" s="141"/>
      <c r="Y43" s="142"/>
      <c r="Z43" s="21"/>
      <c r="AA43" s="21"/>
      <c r="AB43" s="21"/>
    </row>
    <row r="44" ht="20.25" customHeight="1">
      <c r="A44" s="69"/>
      <c r="B44" s="112" t="s">
        <v>100</v>
      </c>
      <c r="C44" s="126"/>
      <c r="D44" s="126"/>
      <c r="E44" s="126"/>
      <c r="F44" s="126"/>
      <c r="G44" s="126"/>
      <c r="H44" s="113"/>
      <c r="I44" s="27"/>
      <c r="J44" s="54"/>
      <c r="K44" s="56"/>
      <c r="L44" s="88">
        <f t="shared" si="26"/>
        <v>0</v>
      </c>
      <c r="M44" s="88">
        <f t="shared" si="27"/>
        <v>0</v>
      </c>
      <c r="N44" s="83">
        <f t="shared" ref="N44:O44" si="30">K22+N22+K33+N33+K44</f>
        <v>0</v>
      </c>
      <c r="O44" s="83">
        <f t="shared" si="30"/>
        <v>0</v>
      </c>
      <c r="P44" s="88">
        <f t="shared" si="29"/>
        <v>0</v>
      </c>
      <c r="Q44" s="21"/>
      <c r="R44" s="138"/>
      <c r="S44" s="143"/>
      <c r="T44" s="55"/>
      <c r="U44" s="49"/>
      <c r="V44" s="140"/>
      <c r="W44" s="39"/>
      <c r="X44" s="141"/>
      <c r="Y44" s="142"/>
      <c r="Z44" s="21"/>
      <c r="AA44" s="21"/>
      <c r="AB44" s="21"/>
    </row>
    <row r="45" ht="20.25" customHeight="1">
      <c r="A45" s="20"/>
      <c r="B45" s="127"/>
      <c r="C45" s="128"/>
      <c r="D45" s="128"/>
      <c r="E45" s="128"/>
      <c r="F45" s="128"/>
      <c r="G45" s="128"/>
      <c r="H45" s="117"/>
      <c r="I45" s="27"/>
      <c r="J45" s="54"/>
      <c r="K45" s="56"/>
      <c r="L45" s="88">
        <f t="shared" si="26"/>
        <v>0</v>
      </c>
      <c r="M45" s="88">
        <f t="shared" si="27"/>
        <v>0</v>
      </c>
      <c r="N45" s="83">
        <f t="shared" ref="N45:O45" si="31">K23+N23+K34+N34+K45</f>
        <v>0</v>
      </c>
      <c r="O45" s="83">
        <f t="shared" si="31"/>
        <v>0</v>
      </c>
      <c r="P45" s="88">
        <f t="shared" si="29"/>
        <v>0</v>
      </c>
      <c r="Q45" s="21"/>
      <c r="R45" s="138"/>
      <c r="S45" s="143"/>
      <c r="T45" s="55"/>
      <c r="U45" s="49"/>
      <c r="V45" s="140"/>
      <c r="W45" s="39"/>
      <c r="X45" s="141"/>
      <c r="Y45" s="142"/>
      <c r="Z45" s="21"/>
      <c r="AA45" s="21"/>
      <c r="AB45" s="21"/>
    </row>
    <row r="46" ht="20.25" customHeight="1">
      <c r="A46" s="20"/>
      <c r="B46" s="129"/>
      <c r="H46" s="130"/>
      <c r="I46" s="27"/>
      <c r="J46" s="54"/>
      <c r="K46" s="56"/>
      <c r="L46" s="88">
        <f t="shared" si="26"/>
        <v>0</v>
      </c>
      <c r="M46" s="88">
        <f t="shared" si="27"/>
        <v>0</v>
      </c>
      <c r="N46" s="83">
        <f t="shared" ref="N46:O46" si="32">K24+N24+K35+N35+K46</f>
        <v>0</v>
      </c>
      <c r="O46" s="83">
        <f t="shared" si="32"/>
        <v>0</v>
      </c>
      <c r="P46" s="88">
        <f t="shared" si="29"/>
        <v>0</v>
      </c>
      <c r="Q46" s="21"/>
      <c r="R46" s="138"/>
      <c r="S46" s="143"/>
      <c r="T46" s="55"/>
      <c r="U46" s="49"/>
      <c r="V46" s="140"/>
      <c r="W46" s="39"/>
      <c r="X46" s="141"/>
      <c r="Y46" s="142"/>
      <c r="Z46" s="21"/>
      <c r="AA46" s="21"/>
      <c r="AB46" s="21"/>
    </row>
    <row r="47" ht="20.25" customHeight="1">
      <c r="A47" s="20"/>
      <c r="B47" s="129"/>
      <c r="H47" s="130"/>
      <c r="I47" s="27"/>
      <c r="J47" s="54"/>
      <c r="K47" s="56"/>
      <c r="L47" s="88">
        <f t="shared" si="26"/>
        <v>0</v>
      </c>
      <c r="M47" s="88">
        <f t="shared" si="27"/>
        <v>0</v>
      </c>
      <c r="N47" s="83">
        <f t="shared" ref="N47:O47" si="33">K25+N25+K36+N36+K47</f>
        <v>0</v>
      </c>
      <c r="O47" s="83">
        <f t="shared" si="33"/>
        <v>0</v>
      </c>
      <c r="P47" s="88">
        <f t="shared" si="29"/>
        <v>0</v>
      </c>
      <c r="Q47" s="21"/>
      <c r="R47" s="138"/>
      <c r="S47" s="143"/>
      <c r="T47" s="55"/>
      <c r="U47" s="49"/>
      <c r="V47" s="140"/>
      <c r="W47" s="39"/>
      <c r="X47" s="141"/>
      <c r="Y47" s="142"/>
      <c r="Z47" s="21"/>
      <c r="AA47" s="21"/>
      <c r="AB47" s="21"/>
    </row>
    <row r="48" ht="20.25" customHeight="1">
      <c r="A48" s="20"/>
      <c r="B48" s="129"/>
      <c r="H48" s="130"/>
      <c r="I48" s="27"/>
      <c r="J48" s="54"/>
      <c r="K48" s="56"/>
      <c r="L48" s="88">
        <f t="shared" si="26"/>
        <v>0</v>
      </c>
      <c r="M48" s="88">
        <f t="shared" si="27"/>
        <v>0</v>
      </c>
      <c r="N48" s="83">
        <f t="shared" ref="N48:O48" si="34">K26+N26+K37+N37+K48</f>
        <v>0</v>
      </c>
      <c r="O48" s="83">
        <f t="shared" si="34"/>
        <v>0</v>
      </c>
      <c r="P48" s="88">
        <f t="shared" si="29"/>
        <v>0</v>
      </c>
      <c r="Q48" s="21"/>
      <c r="R48" s="138"/>
      <c r="S48" s="143"/>
      <c r="T48" s="55"/>
      <c r="U48" s="49"/>
      <c r="V48" s="140"/>
      <c r="W48" s="39"/>
      <c r="X48" s="141"/>
      <c r="Y48" s="142"/>
      <c r="Z48" s="21"/>
      <c r="AA48" s="21"/>
      <c r="AB48" s="21"/>
    </row>
    <row r="49" ht="20.25" customHeight="1">
      <c r="A49" s="20"/>
      <c r="B49" s="121"/>
      <c r="C49" s="131"/>
      <c r="D49" s="131"/>
      <c r="E49" s="131"/>
      <c r="F49" s="131"/>
      <c r="G49" s="131"/>
      <c r="H49" s="122"/>
      <c r="I49" s="27"/>
      <c r="J49" s="89" t="s">
        <v>83</v>
      </c>
      <c r="K49" s="88">
        <f t="shared" ref="K49:L49" si="35">SUM(K42:K48)</f>
        <v>0</v>
      </c>
      <c r="L49" s="88">
        <f t="shared" si="35"/>
        <v>0</v>
      </c>
      <c r="M49" s="88">
        <f t="shared" si="27"/>
        <v>0</v>
      </c>
      <c r="N49" s="88">
        <f t="shared" ref="N49:O49" si="36">SUM(N42:N48)</f>
        <v>0</v>
      </c>
      <c r="O49" s="88">
        <f t="shared" si="36"/>
        <v>0</v>
      </c>
      <c r="P49" s="88">
        <f t="shared" si="29"/>
        <v>0</v>
      </c>
      <c r="Q49" s="21"/>
      <c r="R49" s="138"/>
      <c r="S49" s="143"/>
      <c r="T49" s="55"/>
      <c r="U49" s="49"/>
      <c r="V49" s="140"/>
      <c r="W49" s="39"/>
      <c r="X49" s="141"/>
      <c r="Y49" s="142"/>
      <c r="Z49" s="21"/>
      <c r="AA49" s="21"/>
      <c r="AB49" s="21"/>
    </row>
    <row r="50" ht="6.75" customHeight="1">
      <c r="A50" s="20"/>
      <c r="E50" s="25"/>
      <c r="F50" s="132"/>
      <c r="G50" s="125"/>
      <c r="H50" s="125"/>
      <c r="I50" s="27"/>
      <c r="J50" s="133"/>
      <c r="K50" s="19"/>
      <c r="L50" s="78"/>
      <c r="M50" s="78"/>
      <c r="N50" s="78"/>
      <c r="O50" s="134"/>
      <c r="P50" s="94"/>
      <c r="Q50" s="21"/>
      <c r="R50" s="135"/>
      <c r="S50" s="135"/>
      <c r="T50" s="135"/>
      <c r="U50" s="137"/>
      <c r="V50" s="135"/>
      <c r="W50" s="135"/>
      <c r="X50" s="135"/>
      <c r="Y50" s="135"/>
      <c r="Z50" s="21"/>
      <c r="AA50" s="21"/>
      <c r="AB50" s="21"/>
    </row>
    <row r="51" hidden="1">
      <c r="F51" s="19"/>
      <c r="G51" s="106"/>
      <c r="H51" s="10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</row>
  </sheetData>
  <mergeCells count="67">
    <mergeCell ref="V32:W32"/>
    <mergeCell ref="V37:W37"/>
    <mergeCell ref="G40:H40"/>
    <mergeCell ref="J40:J41"/>
    <mergeCell ref="F41:F42"/>
    <mergeCell ref="G41:H42"/>
    <mergeCell ref="B44:H44"/>
    <mergeCell ref="B45:H49"/>
    <mergeCell ref="B33:D33"/>
    <mergeCell ref="F33:G33"/>
    <mergeCell ref="F34:G34"/>
    <mergeCell ref="F35:G35"/>
    <mergeCell ref="F36:G36"/>
    <mergeCell ref="F37:G37"/>
    <mergeCell ref="F38:G38"/>
    <mergeCell ref="V44:W44"/>
    <mergeCell ref="V45:W45"/>
    <mergeCell ref="V46:W46"/>
    <mergeCell ref="V47:W47"/>
    <mergeCell ref="V48:W48"/>
    <mergeCell ref="V49:W49"/>
    <mergeCell ref="V31:W31"/>
    <mergeCell ref="V38:W38"/>
    <mergeCell ref="V39:W39"/>
    <mergeCell ref="V40:W40"/>
    <mergeCell ref="V41:W41"/>
    <mergeCell ref="V42:W42"/>
    <mergeCell ref="V43:W43"/>
    <mergeCell ref="R2:Y2"/>
    <mergeCell ref="B4:D4"/>
    <mergeCell ref="F4:H4"/>
    <mergeCell ref="V4:W4"/>
    <mergeCell ref="V5:W5"/>
    <mergeCell ref="V6:W6"/>
    <mergeCell ref="V7:W7"/>
    <mergeCell ref="V15:W15"/>
    <mergeCell ref="B16:D16"/>
    <mergeCell ref="F16:H16"/>
    <mergeCell ref="J16:P16"/>
    <mergeCell ref="V16:W16"/>
    <mergeCell ref="J18:J19"/>
    <mergeCell ref="V18:W18"/>
    <mergeCell ref="V19:W19"/>
    <mergeCell ref="V8:W8"/>
    <mergeCell ref="V9:W9"/>
    <mergeCell ref="V10:W10"/>
    <mergeCell ref="V11:W11"/>
    <mergeCell ref="V12:W12"/>
    <mergeCell ref="V13:W13"/>
    <mergeCell ref="V14:W14"/>
    <mergeCell ref="V26:W26"/>
    <mergeCell ref="V27:W27"/>
    <mergeCell ref="V28:W28"/>
    <mergeCell ref="J29:J30"/>
    <mergeCell ref="V29:W29"/>
    <mergeCell ref="V30:W30"/>
    <mergeCell ref="V17:W17"/>
    <mergeCell ref="V20:W20"/>
    <mergeCell ref="V21:W21"/>
    <mergeCell ref="V22:W22"/>
    <mergeCell ref="V23:W23"/>
    <mergeCell ref="V24:W24"/>
    <mergeCell ref="V25:W25"/>
    <mergeCell ref="V34:W34"/>
    <mergeCell ref="V35:W35"/>
    <mergeCell ref="V33:W33"/>
    <mergeCell ref="V36:W36"/>
  </mergeCells>
  <conditionalFormatting sqref="J5:P5 J7:P7 J9:P9 J11:P11 J13:P13">
    <cfRule type="expression" dxfId="4" priority="1">
      <formula>MONTH(J5)&lt;&gt;$B$1</formula>
    </cfRule>
  </conditionalFormatting>
  <dataValidations>
    <dataValidation type="list" allowBlank="1" sqref="B6:B13">
      <formula1>list!$A$2:$A51</formula1>
    </dataValidation>
    <dataValidation type="list" allowBlank="1" sqref="F6:F13">
      <formula1>list!$B$2:$B51</formula1>
    </dataValidation>
    <dataValidation type="list" allowBlank="1" sqref="J20:J26 B19:B30 F19:F30 J31:J37 J42:J48">
      <formula1>list!$C$2:$C51</formula1>
    </dataValidation>
    <dataValidation type="list" allowBlank="1" sqref="C6:C13 G6:G13 C19:C30 C35:C41 T5:T49">
      <formula1>list!$F$2:$F51</formula1>
    </dataValidation>
    <dataValidation type="list" allowBlank="1" sqref="U5:U49">
      <formula1>list!$C$2:$C51</formula1>
    </dataValidation>
    <dataValidation type="list" allowBlank="1" sqref="B35:B41">
      <formula1>list!$D$2:$D51</formula1>
    </dataValidation>
    <dataValidation type="list" allowBlank="1" showErrorMessage="1" sqref="S5:S49">
      <formula1>"1week,2week,3week,4week,5week"</formula1>
    </dataValidation>
    <dataValidation type="custom" allowBlank="1" showDropDown="1" showErrorMessage="1" sqref="J28 J39 R5:R49 J50 R50:Y50">
      <formula1>OR(NOT(ISERROR(DATEVALUE(J5))), AND(ISNUMBER(J5), LEFT(CELL("format", J5))="D"))</formula1>
    </dataValidation>
    <dataValidation type="list" allowBlank="1" showErrorMessage="1" sqref="Y5:Y49">
      <formula1>"〇,△,✕"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8CC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.0"/>
    <col customWidth="1" min="2" max="2" width="18.0"/>
    <col customWidth="1" min="3" max="4" width="11.63"/>
    <col customWidth="1" min="5" max="5" width="2.0"/>
    <col customWidth="1" min="6" max="6" width="18.0"/>
    <col customWidth="1" min="7" max="8" width="11.63"/>
    <col customWidth="1" min="9" max="9" width="2.63"/>
    <col customWidth="1" min="10" max="16" width="13.88"/>
    <col customWidth="1" min="17" max="17" width="2.63"/>
    <col customWidth="1" min="18" max="25" width="12.75"/>
    <col customWidth="1" min="26" max="26" width="2.0"/>
    <col customWidth="1" hidden="1" min="27" max="28" width="11.0"/>
  </cols>
  <sheetData>
    <row r="1" ht="42.0" customHeight="1">
      <c r="A1" s="10"/>
      <c r="B1" s="11">
        <v>10.0</v>
      </c>
      <c r="C1" s="12"/>
      <c r="D1" s="12" t="s">
        <v>29</v>
      </c>
      <c r="E1" s="13"/>
      <c r="F1" s="12"/>
      <c r="G1" s="14"/>
      <c r="H1" s="14"/>
      <c r="I1" s="15"/>
      <c r="J1" s="12" t="s">
        <v>30</v>
      </c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6"/>
      <c r="AB1" s="16"/>
    </row>
    <row r="2" ht="21.75" customHeight="1">
      <c r="A2" s="17"/>
      <c r="B2" s="18">
        <v>2025.0</v>
      </c>
      <c r="C2" s="19"/>
      <c r="D2" s="19"/>
      <c r="G2" s="20"/>
      <c r="H2" s="20"/>
      <c r="I2" s="21"/>
      <c r="J2" s="22">
        <f>DATE(B2,B1,1)</f>
        <v>45931</v>
      </c>
      <c r="K2" s="21"/>
      <c r="L2" s="21"/>
      <c r="M2" s="21"/>
      <c r="N2" s="21"/>
      <c r="O2" s="21"/>
      <c r="P2" s="21"/>
      <c r="Q2" s="21"/>
      <c r="R2" s="23" t="s">
        <v>31</v>
      </c>
      <c r="Z2" s="21"/>
      <c r="AA2" s="21"/>
      <c r="AB2" s="21"/>
    </row>
    <row r="3" ht="7.5" customHeight="1">
      <c r="A3" s="20"/>
      <c r="B3" s="24"/>
      <c r="C3" s="25"/>
      <c r="D3" s="25"/>
      <c r="E3" s="25"/>
      <c r="F3" s="26"/>
      <c r="G3" s="26"/>
      <c r="H3" s="26"/>
      <c r="I3" s="27"/>
      <c r="J3" s="25"/>
      <c r="K3" s="25"/>
      <c r="L3" s="25"/>
      <c r="M3" s="27"/>
      <c r="N3" s="27"/>
      <c r="O3" s="27"/>
      <c r="P3" s="27"/>
      <c r="Q3" s="21"/>
      <c r="Z3" s="21"/>
      <c r="AA3" s="21"/>
      <c r="AB3" s="21"/>
    </row>
    <row r="4" ht="20.25" customHeight="1">
      <c r="A4" s="28"/>
      <c r="B4" s="29" t="s">
        <v>32</v>
      </c>
      <c r="C4" s="30"/>
      <c r="D4" s="31"/>
      <c r="E4" s="32"/>
      <c r="F4" s="29" t="s">
        <v>33</v>
      </c>
      <c r="G4" s="30"/>
      <c r="H4" s="31"/>
      <c r="I4" s="27"/>
      <c r="J4" s="33" t="s">
        <v>34</v>
      </c>
      <c r="K4" s="33" t="s">
        <v>35</v>
      </c>
      <c r="L4" s="33" t="s">
        <v>36</v>
      </c>
      <c r="M4" s="33" t="s">
        <v>37</v>
      </c>
      <c r="N4" s="33" t="s">
        <v>38</v>
      </c>
      <c r="O4" s="34" t="s">
        <v>39</v>
      </c>
      <c r="P4" s="35" t="s">
        <v>40</v>
      </c>
      <c r="Q4" s="21"/>
      <c r="R4" s="36" t="s">
        <v>41</v>
      </c>
      <c r="S4" s="37" t="s">
        <v>42</v>
      </c>
      <c r="T4" s="37" t="s">
        <v>43</v>
      </c>
      <c r="U4" s="37" t="s">
        <v>44</v>
      </c>
      <c r="V4" s="38" t="s">
        <v>45</v>
      </c>
      <c r="W4" s="39"/>
      <c r="X4" s="37" t="s">
        <v>46</v>
      </c>
      <c r="Y4" s="37" t="s">
        <v>47</v>
      </c>
      <c r="Z4" s="21"/>
      <c r="AA4" s="21"/>
      <c r="AB4" s="21"/>
    </row>
    <row r="5" ht="20.25" customHeight="1">
      <c r="A5" s="40"/>
      <c r="B5" s="41" t="s">
        <v>44</v>
      </c>
      <c r="C5" s="42" t="s">
        <v>48</v>
      </c>
      <c r="D5" s="41" t="s">
        <v>46</v>
      </c>
      <c r="E5" s="32"/>
      <c r="F5" s="41" t="s">
        <v>44</v>
      </c>
      <c r="G5" s="41" t="s">
        <v>43</v>
      </c>
      <c r="H5" s="41" t="s">
        <v>46</v>
      </c>
      <c r="I5" s="27"/>
      <c r="J5" s="43">
        <f>$J$2-weekday($J$2)+2</f>
        <v>45929</v>
      </c>
      <c r="K5" s="43">
        <f t="shared" ref="K5:P5" si="1">J5+1</f>
        <v>45930</v>
      </c>
      <c r="L5" s="43">
        <f t="shared" si="1"/>
        <v>45931</v>
      </c>
      <c r="M5" s="43">
        <f t="shared" si="1"/>
        <v>45932</v>
      </c>
      <c r="N5" s="43">
        <f t="shared" si="1"/>
        <v>45933</v>
      </c>
      <c r="O5" s="44">
        <f t="shared" si="1"/>
        <v>45934</v>
      </c>
      <c r="P5" s="45">
        <f t="shared" si="1"/>
        <v>45935</v>
      </c>
      <c r="Q5" s="21"/>
      <c r="R5" s="138">
        <v>45931.0</v>
      </c>
      <c r="S5" s="139"/>
      <c r="T5" s="55"/>
      <c r="U5" s="49"/>
      <c r="V5" s="140"/>
      <c r="W5" s="39"/>
      <c r="X5" s="141"/>
      <c r="Y5" s="142"/>
      <c r="Z5" s="21"/>
      <c r="AA5" s="21"/>
      <c r="AB5" s="21"/>
    </row>
    <row r="6" ht="20.25" customHeight="1">
      <c r="A6" s="53"/>
      <c r="B6" s="54"/>
      <c r="C6" s="55"/>
      <c r="D6" s="56"/>
      <c r="E6" s="57"/>
      <c r="F6" s="58"/>
      <c r="G6" s="55"/>
      <c r="H6" s="56"/>
      <c r="I6" s="27"/>
      <c r="J6" s="60">
        <f t="shared" ref="J6:P6" si="2">sumifs($X:$X,$R:$R,J5)</f>
        <v>0</v>
      </c>
      <c r="K6" s="60">
        <f t="shared" si="2"/>
        <v>0</v>
      </c>
      <c r="L6" s="60">
        <f t="shared" si="2"/>
        <v>0</v>
      </c>
      <c r="M6" s="60">
        <f t="shared" si="2"/>
        <v>0</v>
      </c>
      <c r="N6" s="60">
        <f t="shared" si="2"/>
        <v>0</v>
      </c>
      <c r="O6" s="60">
        <f t="shared" si="2"/>
        <v>0</v>
      </c>
      <c r="P6" s="60">
        <f t="shared" si="2"/>
        <v>0</v>
      </c>
      <c r="Q6" s="21"/>
      <c r="R6" s="138"/>
      <c r="S6" s="139"/>
      <c r="T6" s="55"/>
      <c r="U6" s="49"/>
      <c r="V6" s="140"/>
      <c r="W6" s="39"/>
      <c r="X6" s="141"/>
      <c r="Y6" s="142"/>
      <c r="Z6" s="21"/>
      <c r="AA6" s="21"/>
      <c r="AB6" s="21"/>
    </row>
    <row r="7" ht="20.25" customHeight="1">
      <c r="A7" s="53"/>
      <c r="B7" s="54"/>
      <c r="C7" s="55"/>
      <c r="D7" s="56"/>
      <c r="E7" s="57"/>
      <c r="F7" s="58"/>
      <c r="G7" s="55"/>
      <c r="H7" s="56"/>
      <c r="I7" s="27"/>
      <c r="J7" s="61">
        <f t="shared" ref="J7:P7" si="3">J5+7</f>
        <v>45936</v>
      </c>
      <c r="K7" s="61">
        <f t="shared" si="3"/>
        <v>45937</v>
      </c>
      <c r="L7" s="61">
        <f t="shared" si="3"/>
        <v>45938</v>
      </c>
      <c r="M7" s="61">
        <f t="shared" si="3"/>
        <v>45939</v>
      </c>
      <c r="N7" s="61">
        <f t="shared" si="3"/>
        <v>45940</v>
      </c>
      <c r="O7" s="62">
        <f t="shared" si="3"/>
        <v>45941</v>
      </c>
      <c r="P7" s="63">
        <f t="shared" si="3"/>
        <v>45942</v>
      </c>
      <c r="Q7" s="21"/>
      <c r="R7" s="138"/>
      <c r="S7" s="139"/>
      <c r="T7" s="55"/>
      <c r="U7" s="49"/>
      <c r="V7" s="140"/>
      <c r="W7" s="39"/>
      <c r="X7" s="141"/>
      <c r="Y7" s="142"/>
      <c r="Z7" s="21"/>
      <c r="AA7" s="21"/>
      <c r="AB7" s="21"/>
    </row>
    <row r="8" ht="20.25" customHeight="1">
      <c r="A8" s="53"/>
      <c r="B8" s="54"/>
      <c r="C8" s="55"/>
      <c r="D8" s="56"/>
      <c r="E8" s="57"/>
      <c r="F8" s="58"/>
      <c r="G8" s="55"/>
      <c r="H8" s="59"/>
      <c r="I8" s="27"/>
      <c r="J8" s="60">
        <f t="shared" ref="J8:P8" si="4">sumifs($X:$X,$R:$R,J7)</f>
        <v>0</v>
      </c>
      <c r="K8" s="60">
        <f t="shared" si="4"/>
        <v>0</v>
      </c>
      <c r="L8" s="60">
        <f t="shared" si="4"/>
        <v>0</v>
      </c>
      <c r="M8" s="60">
        <f t="shared" si="4"/>
        <v>0</v>
      </c>
      <c r="N8" s="60">
        <f t="shared" si="4"/>
        <v>0</v>
      </c>
      <c r="O8" s="60">
        <f t="shared" si="4"/>
        <v>0</v>
      </c>
      <c r="P8" s="60">
        <f t="shared" si="4"/>
        <v>0</v>
      </c>
      <c r="Q8" s="21"/>
      <c r="R8" s="138"/>
      <c r="S8" s="139"/>
      <c r="T8" s="55"/>
      <c r="U8" s="49"/>
      <c r="V8" s="140"/>
      <c r="W8" s="39"/>
      <c r="X8" s="141"/>
      <c r="Y8" s="142"/>
      <c r="Z8" s="21"/>
      <c r="AA8" s="21"/>
      <c r="AB8" s="21"/>
    </row>
    <row r="9" ht="20.25" customHeight="1">
      <c r="A9" s="64"/>
      <c r="B9" s="54"/>
      <c r="C9" s="55"/>
      <c r="D9" s="59"/>
      <c r="E9" s="57"/>
      <c r="F9" s="58"/>
      <c r="G9" s="55"/>
      <c r="H9" s="59"/>
      <c r="I9" s="27"/>
      <c r="J9" s="43">
        <f t="shared" ref="J9:P9" si="5">J7+7</f>
        <v>45943</v>
      </c>
      <c r="K9" s="43">
        <f t="shared" si="5"/>
        <v>45944</v>
      </c>
      <c r="L9" s="43">
        <f t="shared" si="5"/>
        <v>45945</v>
      </c>
      <c r="M9" s="43">
        <f t="shared" si="5"/>
        <v>45946</v>
      </c>
      <c r="N9" s="43">
        <f t="shared" si="5"/>
        <v>45947</v>
      </c>
      <c r="O9" s="44">
        <f t="shared" si="5"/>
        <v>45948</v>
      </c>
      <c r="P9" s="45">
        <f t="shared" si="5"/>
        <v>45949</v>
      </c>
      <c r="Q9" s="21"/>
      <c r="R9" s="138"/>
      <c r="S9" s="139"/>
      <c r="T9" s="55"/>
      <c r="U9" s="49"/>
      <c r="V9" s="140"/>
      <c r="W9" s="39"/>
      <c r="X9" s="141"/>
      <c r="Y9" s="142"/>
      <c r="Z9" s="21"/>
      <c r="AA9" s="21"/>
      <c r="AB9" s="21"/>
    </row>
    <row r="10" ht="20.25" customHeight="1">
      <c r="A10" s="64"/>
      <c r="B10" s="54"/>
      <c r="C10" s="55"/>
      <c r="D10" s="56"/>
      <c r="E10" s="57"/>
      <c r="F10" s="65"/>
      <c r="G10" s="55"/>
      <c r="H10" s="66"/>
      <c r="I10" s="27"/>
      <c r="J10" s="60">
        <f t="shared" ref="J10:P10" si="6">sumifs($X:$X,$R:$R,J9)</f>
        <v>0</v>
      </c>
      <c r="K10" s="60">
        <f t="shared" si="6"/>
        <v>0</v>
      </c>
      <c r="L10" s="60">
        <f t="shared" si="6"/>
        <v>0</v>
      </c>
      <c r="M10" s="60">
        <f t="shared" si="6"/>
        <v>0</v>
      </c>
      <c r="N10" s="60">
        <f t="shared" si="6"/>
        <v>0</v>
      </c>
      <c r="O10" s="60">
        <f t="shared" si="6"/>
        <v>0</v>
      </c>
      <c r="P10" s="60">
        <f t="shared" si="6"/>
        <v>0</v>
      </c>
      <c r="Q10" s="21"/>
      <c r="R10" s="138"/>
      <c r="S10" s="139"/>
      <c r="T10" s="55"/>
      <c r="U10" s="49"/>
      <c r="V10" s="140"/>
      <c r="W10" s="39"/>
      <c r="X10" s="141"/>
      <c r="Y10" s="142"/>
      <c r="Z10" s="21"/>
      <c r="AA10" s="21"/>
      <c r="AB10" s="21"/>
    </row>
    <row r="11" ht="20.25" customHeight="1">
      <c r="A11" s="64"/>
      <c r="B11" s="54"/>
      <c r="C11" s="55"/>
      <c r="D11" s="67"/>
      <c r="E11" s="57"/>
      <c r="F11" s="65"/>
      <c r="G11" s="55"/>
      <c r="H11" s="66"/>
      <c r="I11" s="27"/>
      <c r="J11" s="61">
        <f t="shared" ref="J11:P11" si="7">J9+7</f>
        <v>45950</v>
      </c>
      <c r="K11" s="61">
        <f t="shared" si="7"/>
        <v>45951</v>
      </c>
      <c r="L11" s="61">
        <f t="shared" si="7"/>
        <v>45952</v>
      </c>
      <c r="M11" s="61">
        <f t="shared" si="7"/>
        <v>45953</v>
      </c>
      <c r="N11" s="61">
        <f t="shared" si="7"/>
        <v>45954</v>
      </c>
      <c r="O11" s="62">
        <f t="shared" si="7"/>
        <v>45955</v>
      </c>
      <c r="P11" s="63">
        <f t="shared" si="7"/>
        <v>45956</v>
      </c>
      <c r="Q11" s="21"/>
      <c r="R11" s="138"/>
      <c r="S11" s="139"/>
      <c r="T11" s="55"/>
      <c r="U11" s="49"/>
      <c r="V11" s="140"/>
      <c r="W11" s="39"/>
      <c r="X11" s="141"/>
      <c r="Y11" s="142"/>
      <c r="Z11" s="21"/>
      <c r="AA11" s="21"/>
      <c r="AB11" s="21"/>
    </row>
    <row r="12" ht="20.25" customHeight="1">
      <c r="A12" s="64"/>
      <c r="B12" s="68"/>
      <c r="C12" s="55"/>
      <c r="D12" s="67"/>
      <c r="E12" s="57"/>
      <c r="F12" s="65"/>
      <c r="G12" s="55"/>
      <c r="H12" s="66"/>
      <c r="I12" s="27"/>
      <c r="J12" s="60">
        <f t="shared" ref="J12:P12" si="8">sumifs($X:$X,$R:$R,J11)</f>
        <v>0</v>
      </c>
      <c r="K12" s="60">
        <f t="shared" si="8"/>
        <v>0</v>
      </c>
      <c r="L12" s="60">
        <f t="shared" si="8"/>
        <v>0</v>
      </c>
      <c r="M12" s="60">
        <f t="shared" si="8"/>
        <v>0</v>
      </c>
      <c r="N12" s="60">
        <f t="shared" si="8"/>
        <v>0</v>
      </c>
      <c r="O12" s="60">
        <f t="shared" si="8"/>
        <v>0</v>
      </c>
      <c r="P12" s="60">
        <f t="shared" si="8"/>
        <v>0</v>
      </c>
      <c r="Q12" s="21"/>
      <c r="R12" s="138"/>
      <c r="S12" s="139"/>
      <c r="T12" s="55"/>
      <c r="U12" s="49"/>
      <c r="V12" s="140"/>
      <c r="W12" s="39"/>
      <c r="X12" s="141"/>
      <c r="Y12" s="142"/>
      <c r="Z12" s="21"/>
      <c r="AA12" s="21"/>
      <c r="AB12" s="21"/>
    </row>
    <row r="13" ht="20.25" customHeight="1">
      <c r="A13" s="64"/>
      <c r="B13" s="68"/>
      <c r="C13" s="55"/>
      <c r="D13" s="67"/>
      <c r="E13" s="57"/>
      <c r="F13" s="65"/>
      <c r="G13" s="55"/>
      <c r="H13" s="66"/>
      <c r="I13" s="27"/>
      <c r="J13" s="43">
        <f t="shared" ref="J13:P13" si="9">J11+7</f>
        <v>45957</v>
      </c>
      <c r="K13" s="43">
        <f t="shared" si="9"/>
        <v>45958</v>
      </c>
      <c r="L13" s="43">
        <f t="shared" si="9"/>
        <v>45959</v>
      </c>
      <c r="M13" s="43">
        <f t="shared" si="9"/>
        <v>45960</v>
      </c>
      <c r="N13" s="43">
        <f t="shared" si="9"/>
        <v>45961</v>
      </c>
      <c r="O13" s="44">
        <f t="shared" si="9"/>
        <v>45962</v>
      </c>
      <c r="P13" s="45">
        <f t="shared" si="9"/>
        <v>45963</v>
      </c>
      <c r="Q13" s="21"/>
      <c r="R13" s="138"/>
      <c r="S13" s="139"/>
      <c r="T13" s="55"/>
      <c r="U13" s="49"/>
      <c r="V13" s="140"/>
      <c r="W13" s="39"/>
      <c r="X13" s="141"/>
      <c r="Y13" s="142"/>
      <c r="Z13" s="21"/>
      <c r="AA13" s="21"/>
      <c r="AB13" s="21"/>
    </row>
    <row r="14" ht="20.25" customHeight="1">
      <c r="A14" s="69"/>
      <c r="B14" s="70" t="s">
        <v>60</v>
      </c>
      <c r="C14" s="72"/>
      <c r="D14" s="72">
        <f>SUM(D6:D13)</f>
        <v>0</v>
      </c>
      <c r="E14" s="57"/>
      <c r="F14" s="70" t="s">
        <v>60</v>
      </c>
      <c r="G14" s="72"/>
      <c r="H14" s="72">
        <f>SUM(H6:H13)</f>
        <v>0</v>
      </c>
      <c r="I14" s="27"/>
      <c r="J14" s="60">
        <f t="shared" ref="J14:P14" si="10">sumifs($X:$X,$R:$R,J13)</f>
        <v>0</v>
      </c>
      <c r="K14" s="60">
        <f t="shared" si="10"/>
        <v>0</v>
      </c>
      <c r="L14" s="60">
        <f t="shared" si="10"/>
        <v>0</v>
      </c>
      <c r="M14" s="60">
        <f t="shared" si="10"/>
        <v>0</v>
      </c>
      <c r="N14" s="60">
        <f t="shared" si="10"/>
        <v>0</v>
      </c>
      <c r="O14" s="60">
        <f t="shared" si="10"/>
        <v>0</v>
      </c>
      <c r="P14" s="60">
        <f t="shared" si="10"/>
        <v>0</v>
      </c>
      <c r="Q14" s="21"/>
      <c r="R14" s="138"/>
      <c r="S14" s="139"/>
      <c r="T14" s="55"/>
      <c r="U14" s="49"/>
      <c r="V14" s="140"/>
      <c r="W14" s="39"/>
      <c r="X14" s="141"/>
      <c r="Y14" s="142"/>
      <c r="Z14" s="21"/>
      <c r="AA14" s="21"/>
      <c r="AB14" s="21"/>
    </row>
    <row r="15" ht="20.25" customHeight="1">
      <c r="A15" s="20"/>
      <c r="B15" s="24"/>
      <c r="C15" s="32"/>
      <c r="D15" s="32"/>
      <c r="E15" s="32"/>
      <c r="F15" s="32"/>
      <c r="G15" s="24"/>
      <c r="H15" s="24"/>
      <c r="I15" s="27"/>
      <c r="J15" s="25"/>
      <c r="K15" s="25"/>
      <c r="L15" s="25"/>
      <c r="M15" s="25"/>
      <c r="N15" s="25"/>
      <c r="O15" s="25"/>
      <c r="P15" s="25"/>
      <c r="Q15" s="21"/>
      <c r="R15" s="138"/>
      <c r="S15" s="139"/>
      <c r="T15" s="55"/>
      <c r="U15" s="49"/>
      <c r="V15" s="140"/>
      <c r="W15" s="39"/>
      <c r="X15" s="141"/>
      <c r="Y15" s="142"/>
      <c r="Z15" s="21"/>
      <c r="AA15" s="21"/>
      <c r="AB15" s="21"/>
    </row>
    <row r="16" ht="20.25" customHeight="1">
      <c r="A16" s="28"/>
      <c r="B16" s="73" t="s">
        <v>61</v>
      </c>
      <c r="E16" s="27"/>
      <c r="F16" s="73" t="s">
        <v>61</v>
      </c>
      <c r="I16" s="27"/>
      <c r="J16" s="74" t="s">
        <v>62</v>
      </c>
      <c r="Q16" s="21"/>
      <c r="R16" s="138"/>
      <c r="S16" s="139"/>
      <c r="T16" s="55"/>
      <c r="U16" s="49"/>
      <c r="V16" s="140"/>
      <c r="W16" s="39"/>
      <c r="X16" s="141"/>
      <c r="Y16" s="142"/>
      <c r="Z16" s="21"/>
      <c r="AA16" s="21"/>
      <c r="AB16" s="21"/>
    </row>
    <row r="17" ht="20.25" customHeight="1">
      <c r="A17" s="40"/>
      <c r="B17" s="69" t="s">
        <v>63</v>
      </c>
      <c r="C17" s="75"/>
      <c r="D17" s="75"/>
      <c r="E17" s="53"/>
      <c r="F17" s="69" t="s">
        <v>64</v>
      </c>
      <c r="G17" s="76"/>
      <c r="H17" s="76"/>
      <c r="I17" s="27"/>
      <c r="J17" s="77"/>
      <c r="K17" s="78"/>
      <c r="L17" s="78"/>
      <c r="M17" s="78"/>
      <c r="N17" s="78"/>
      <c r="O17" s="78"/>
      <c r="P17" s="78"/>
      <c r="Q17" s="21"/>
      <c r="R17" s="138"/>
      <c r="S17" s="139"/>
      <c r="T17" s="55"/>
      <c r="U17" s="49"/>
      <c r="V17" s="140"/>
      <c r="W17" s="39"/>
      <c r="X17" s="141"/>
      <c r="Y17" s="142"/>
      <c r="Z17" s="21"/>
      <c r="AA17" s="21"/>
      <c r="AB17" s="21"/>
    </row>
    <row r="18" ht="20.25" customHeight="1">
      <c r="A18" s="40"/>
      <c r="B18" s="41" t="s">
        <v>44</v>
      </c>
      <c r="C18" s="41" t="s">
        <v>43</v>
      </c>
      <c r="D18" s="41" t="s">
        <v>46</v>
      </c>
      <c r="E18" s="57"/>
      <c r="F18" s="41" t="s">
        <v>44</v>
      </c>
      <c r="G18" s="41" t="s">
        <v>65</v>
      </c>
      <c r="H18" s="41" t="s">
        <v>46</v>
      </c>
      <c r="I18" s="27"/>
      <c r="J18" s="79" t="s">
        <v>66</v>
      </c>
      <c r="K18" s="80"/>
      <c r="L18" s="81" t="s">
        <v>49</v>
      </c>
      <c r="M18" s="82"/>
      <c r="N18" s="80"/>
      <c r="O18" s="81" t="s">
        <v>67</v>
      </c>
      <c r="P18" s="82"/>
      <c r="Q18" s="21"/>
      <c r="R18" s="138"/>
      <c r="S18" s="139"/>
      <c r="T18" s="55"/>
      <c r="U18" s="49"/>
      <c r="V18" s="140"/>
      <c r="W18" s="39"/>
      <c r="X18" s="141"/>
      <c r="Y18" s="142"/>
      <c r="Z18" s="21"/>
      <c r="AA18" s="21"/>
      <c r="AB18" s="21"/>
    </row>
    <row r="19" ht="20.25" customHeight="1">
      <c r="A19" s="53"/>
      <c r="B19" s="54"/>
      <c r="C19" s="55"/>
      <c r="D19" s="56"/>
      <c r="E19" s="57"/>
      <c r="F19" s="54"/>
      <c r="G19" s="56"/>
      <c r="H19" s="83">
        <f t="shared" ref="H19:H30" si="11">sumifs($X:$X,$U:$U,F19)</f>
        <v>0</v>
      </c>
      <c r="I19" s="27"/>
      <c r="J19" s="84"/>
      <c r="K19" s="85" t="s">
        <v>65</v>
      </c>
      <c r="L19" s="85" t="s">
        <v>46</v>
      </c>
      <c r="M19" s="85" t="s">
        <v>69</v>
      </c>
      <c r="N19" s="86" t="s">
        <v>65</v>
      </c>
      <c r="O19" s="86" t="s">
        <v>46</v>
      </c>
      <c r="P19" s="86" t="s">
        <v>69</v>
      </c>
      <c r="Q19" s="21"/>
      <c r="R19" s="138"/>
      <c r="S19" s="139"/>
      <c r="T19" s="55"/>
      <c r="U19" s="49"/>
      <c r="V19" s="140"/>
      <c r="W19" s="39"/>
      <c r="X19" s="141"/>
      <c r="Y19" s="142"/>
      <c r="Z19" s="21"/>
      <c r="AA19" s="21"/>
      <c r="AB19" s="21"/>
    </row>
    <row r="20" ht="20.25" customHeight="1">
      <c r="A20" s="53"/>
      <c r="B20" s="54"/>
      <c r="C20" s="55"/>
      <c r="D20" s="56"/>
      <c r="E20" s="57"/>
      <c r="F20" s="54"/>
      <c r="G20" s="56"/>
      <c r="H20" s="83">
        <f t="shared" si="11"/>
        <v>0</v>
      </c>
      <c r="I20" s="27"/>
      <c r="J20" s="54"/>
      <c r="K20" s="87"/>
      <c r="L20" s="88">
        <f t="shared" ref="L20:L26" si="12">sumifs($X:$X,$S:$S,$L$18,$U:$U,J20)</f>
        <v>0</v>
      </c>
      <c r="M20" s="88">
        <f t="shared" ref="M20:M27" si="13">K20-L20</f>
        <v>0</v>
      </c>
      <c r="N20" s="87"/>
      <c r="O20" s="88">
        <f t="shared" ref="O20:O26" si="14">sumifs($X:$X,$S:$S,$O$18,$U:$U,J20)</f>
        <v>0</v>
      </c>
      <c r="P20" s="88">
        <f t="shared" ref="P20:P27" si="15">N20-O20</f>
        <v>0</v>
      </c>
      <c r="Q20" s="21"/>
      <c r="R20" s="138"/>
      <c r="S20" s="139"/>
      <c r="T20" s="55"/>
      <c r="U20" s="49"/>
      <c r="V20" s="140"/>
      <c r="W20" s="39"/>
      <c r="X20" s="141"/>
      <c r="Y20" s="142"/>
      <c r="Z20" s="21"/>
      <c r="AA20" s="21"/>
      <c r="AB20" s="21"/>
    </row>
    <row r="21" ht="20.25" customHeight="1">
      <c r="A21" s="53"/>
      <c r="B21" s="54"/>
      <c r="C21" s="55"/>
      <c r="D21" s="56"/>
      <c r="E21" s="57"/>
      <c r="F21" s="54"/>
      <c r="G21" s="56"/>
      <c r="H21" s="83">
        <f t="shared" si="11"/>
        <v>0</v>
      </c>
      <c r="I21" s="27"/>
      <c r="J21" s="54"/>
      <c r="K21" s="87"/>
      <c r="L21" s="88">
        <f t="shared" si="12"/>
        <v>0</v>
      </c>
      <c r="M21" s="88">
        <f t="shared" si="13"/>
        <v>0</v>
      </c>
      <c r="N21" s="87"/>
      <c r="O21" s="88">
        <f t="shared" si="14"/>
        <v>0</v>
      </c>
      <c r="P21" s="88">
        <f t="shared" si="15"/>
        <v>0</v>
      </c>
      <c r="Q21" s="21"/>
      <c r="R21" s="138"/>
      <c r="S21" s="139"/>
      <c r="T21" s="55"/>
      <c r="U21" s="49"/>
      <c r="V21" s="140"/>
      <c r="W21" s="39"/>
      <c r="X21" s="141"/>
      <c r="Y21" s="142"/>
      <c r="Z21" s="21"/>
      <c r="AA21" s="21"/>
      <c r="AB21" s="21"/>
    </row>
    <row r="22" ht="20.25" customHeight="1">
      <c r="A22" s="53"/>
      <c r="B22" s="54"/>
      <c r="C22" s="55"/>
      <c r="D22" s="56"/>
      <c r="E22" s="57"/>
      <c r="F22" s="54"/>
      <c r="G22" s="56"/>
      <c r="H22" s="83">
        <f t="shared" si="11"/>
        <v>0</v>
      </c>
      <c r="I22" s="27"/>
      <c r="J22" s="54"/>
      <c r="K22" s="87"/>
      <c r="L22" s="88">
        <f t="shared" si="12"/>
        <v>0</v>
      </c>
      <c r="M22" s="88">
        <f t="shared" si="13"/>
        <v>0</v>
      </c>
      <c r="N22" s="87"/>
      <c r="O22" s="88">
        <f t="shared" si="14"/>
        <v>0</v>
      </c>
      <c r="P22" s="88">
        <f t="shared" si="15"/>
        <v>0</v>
      </c>
      <c r="Q22" s="21"/>
      <c r="R22" s="138"/>
      <c r="S22" s="139"/>
      <c r="T22" s="55"/>
      <c r="U22" s="49"/>
      <c r="V22" s="140"/>
      <c r="W22" s="39"/>
      <c r="X22" s="141"/>
      <c r="Y22" s="142"/>
      <c r="Z22" s="21"/>
      <c r="AA22" s="21"/>
      <c r="AB22" s="21"/>
    </row>
    <row r="23" ht="20.25" customHeight="1">
      <c r="A23" s="53"/>
      <c r="B23" s="54"/>
      <c r="C23" s="55"/>
      <c r="D23" s="56"/>
      <c r="E23" s="57"/>
      <c r="F23" s="54"/>
      <c r="G23" s="56"/>
      <c r="H23" s="83">
        <f t="shared" si="11"/>
        <v>0</v>
      </c>
      <c r="I23" s="27"/>
      <c r="J23" s="54"/>
      <c r="K23" s="87"/>
      <c r="L23" s="88">
        <f t="shared" si="12"/>
        <v>0</v>
      </c>
      <c r="M23" s="88">
        <f t="shared" si="13"/>
        <v>0</v>
      </c>
      <c r="N23" s="87"/>
      <c r="O23" s="88">
        <f t="shared" si="14"/>
        <v>0</v>
      </c>
      <c r="P23" s="88">
        <f t="shared" si="15"/>
        <v>0</v>
      </c>
      <c r="Q23" s="21"/>
      <c r="R23" s="138"/>
      <c r="S23" s="139"/>
      <c r="T23" s="55"/>
      <c r="U23" s="49"/>
      <c r="V23" s="140"/>
      <c r="W23" s="39"/>
      <c r="X23" s="141"/>
      <c r="Y23" s="142"/>
      <c r="Z23" s="21"/>
      <c r="AA23" s="21"/>
      <c r="AB23" s="21"/>
    </row>
    <row r="24" ht="20.25" customHeight="1">
      <c r="A24" s="53"/>
      <c r="B24" s="54"/>
      <c r="C24" s="55"/>
      <c r="D24" s="56"/>
      <c r="E24" s="57"/>
      <c r="F24" s="54"/>
      <c r="G24" s="56"/>
      <c r="H24" s="83">
        <f t="shared" si="11"/>
        <v>0</v>
      </c>
      <c r="I24" s="27"/>
      <c r="J24" s="54"/>
      <c r="K24" s="87"/>
      <c r="L24" s="88">
        <f t="shared" si="12"/>
        <v>0</v>
      </c>
      <c r="M24" s="88">
        <f t="shared" si="13"/>
        <v>0</v>
      </c>
      <c r="N24" s="87"/>
      <c r="O24" s="88">
        <f t="shared" si="14"/>
        <v>0</v>
      </c>
      <c r="P24" s="88">
        <f t="shared" si="15"/>
        <v>0</v>
      </c>
      <c r="Q24" s="21"/>
      <c r="R24" s="138"/>
      <c r="S24" s="139"/>
      <c r="T24" s="55"/>
      <c r="U24" s="49"/>
      <c r="V24" s="140"/>
      <c r="W24" s="39"/>
      <c r="X24" s="141"/>
      <c r="Y24" s="142"/>
      <c r="Z24" s="21"/>
      <c r="AA24" s="21"/>
      <c r="AB24" s="21"/>
    </row>
    <row r="25" ht="20.25" customHeight="1">
      <c r="A25" s="53"/>
      <c r="B25" s="54"/>
      <c r="C25" s="55"/>
      <c r="D25" s="56"/>
      <c r="E25" s="57"/>
      <c r="F25" s="54"/>
      <c r="G25" s="56"/>
      <c r="H25" s="83">
        <f t="shared" si="11"/>
        <v>0</v>
      </c>
      <c r="I25" s="27"/>
      <c r="J25" s="54"/>
      <c r="K25" s="87"/>
      <c r="L25" s="88">
        <f t="shared" si="12"/>
        <v>0</v>
      </c>
      <c r="M25" s="88">
        <f t="shared" si="13"/>
        <v>0</v>
      </c>
      <c r="N25" s="87"/>
      <c r="O25" s="88">
        <f t="shared" si="14"/>
        <v>0</v>
      </c>
      <c r="P25" s="88">
        <f t="shared" si="15"/>
        <v>0</v>
      </c>
      <c r="Q25" s="21"/>
      <c r="R25" s="138"/>
      <c r="S25" s="139"/>
      <c r="T25" s="55"/>
      <c r="U25" s="49"/>
      <c r="V25" s="140"/>
      <c r="W25" s="39"/>
      <c r="X25" s="141"/>
      <c r="Y25" s="142"/>
      <c r="Z25" s="21"/>
      <c r="AA25" s="21"/>
      <c r="AB25" s="21"/>
    </row>
    <row r="26" ht="20.25" customHeight="1">
      <c r="A26" s="53"/>
      <c r="B26" s="54"/>
      <c r="C26" s="55"/>
      <c r="D26" s="56"/>
      <c r="E26" s="57"/>
      <c r="F26" s="54"/>
      <c r="G26" s="56"/>
      <c r="H26" s="83">
        <f t="shared" si="11"/>
        <v>0</v>
      </c>
      <c r="I26" s="27"/>
      <c r="J26" s="54"/>
      <c r="K26" s="87"/>
      <c r="L26" s="88">
        <f t="shared" si="12"/>
        <v>0</v>
      </c>
      <c r="M26" s="88">
        <f t="shared" si="13"/>
        <v>0</v>
      </c>
      <c r="N26" s="87"/>
      <c r="O26" s="88">
        <f t="shared" si="14"/>
        <v>0</v>
      </c>
      <c r="P26" s="88">
        <f t="shared" si="15"/>
        <v>0</v>
      </c>
      <c r="Q26" s="21"/>
      <c r="R26" s="138"/>
      <c r="S26" s="139"/>
      <c r="T26" s="55"/>
      <c r="U26" s="49"/>
      <c r="V26" s="140"/>
      <c r="W26" s="39"/>
      <c r="X26" s="141"/>
      <c r="Y26" s="142"/>
      <c r="Z26" s="21"/>
      <c r="AA26" s="21"/>
      <c r="AB26" s="21"/>
    </row>
    <row r="27" ht="20.25" customHeight="1">
      <c r="A27" s="53"/>
      <c r="B27" s="54"/>
      <c r="C27" s="55"/>
      <c r="D27" s="56"/>
      <c r="E27" s="57"/>
      <c r="F27" s="54"/>
      <c r="G27" s="56"/>
      <c r="H27" s="83">
        <f t="shared" si="11"/>
        <v>0</v>
      </c>
      <c r="I27" s="27"/>
      <c r="J27" s="89" t="s">
        <v>83</v>
      </c>
      <c r="K27" s="88">
        <f t="shared" ref="K27:L27" si="16">SUM(K20:K26)</f>
        <v>0</v>
      </c>
      <c r="L27" s="88">
        <f t="shared" si="16"/>
        <v>0</v>
      </c>
      <c r="M27" s="88">
        <f t="shared" si="13"/>
        <v>0</v>
      </c>
      <c r="N27" s="88">
        <f t="shared" ref="N27:O27" si="17">SUM(N20:N26)</f>
        <v>0</v>
      </c>
      <c r="O27" s="88">
        <f t="shared" si="17"/>
        <v>0</v>
      </c>
      <c r="P27" s="88">
        <f t="shared" si="15"/>
        <v>0</v>
      </c>
      <c r="Q27" s="21"/>
      <c r="R27" s="138"/>
      <c r="S27" s="139"/>
      <c r="T27" s="55"/>
      <c r="U27" s="49"/>
      <c r="V27" s="140"/>
      <c r="W27" s="39"/>
      <c r="X27" s="141"/>
      <c r="Y27" s="142"/>
      <c r="Z27" s="21"/>
      <c r="AA27" s="21"/>
      <c r="AB27" s="21"/>
    </row>
    <row r="28" ht="20.25" customHeight="1">
      <c r="A28" s="53"/>
      <c r="B28" s="54"/>
      <c r="C28" s="55"/>
      <c r="D28" s="67"/>
      <c r="E28" s="57"/>
      <c r="F28" s="54"/>
      <c r="G28" s="56"/>
      <c r="H28" s="83">
        <f t="shared" si="11"/>
        <v>0</v>
      </c>
      <c r="I28" s="27"/>
      <c r="J28" s="90"/>
      <c r="K28" s="91"/>
      <c r="L28" s="92"/>
      <c r="M28" s="92"/>
      <c r="N28" s="92"/>
      <c r="O28" s="93"/>
      <c r="P28" s="94"/>
      <c r="Q28" s="21"/>
      <c r="R28" s="138"/>
      <c r="S28" s="139"/>
      <c r="T28" s="55"/>
      <c r="U28" s="49"/>
      <c r="V28" s="140"/>
      <c r="W28" s="39"/>
      <c r="X28" s="141"/>
      <c r="Y28" s="142"/>
      <c r="Z28" s="21"/>
      <c r="AA28" s="21"/>
      <c r="AB28" s="21"/>
    </row>
    <row r="29" ht="20.25" customHeight="1">
      <c r="A29" s="53"/>
      <c r="B29" s="54"/>
      <c r="C29" s="55"/>
      <c r="D29" s="67"/>
      <c r="E29" s="57"/>
      <c r="F29" s="54"/>
      <c r="G29" s="56"/>
      <c r="H29" s="83">
        <f t="shared" si="11"/>
        <v>0</v>
      </c>
      <c r="I29" s="27"/>
      <c r="J29" s="95" t="s">
        <v>66</v>
      </c>
      <c r="K29" s="80"/>
      <c r="L29" s="81" t="s">
        <v>84</v>
      </c>
      <c r="M29" s="82"/>
      <c r="N29" s="80"/>
      <c r="O29" s="81" t="s">
        <v>85</v>
      </c>
      <c r="P29" s="82"/>
      <c r="Q29" s="21"/>
      <c r="R29" s="138"/>
      <c r="S29" s="139"/>
      <c r="T29" s="55"/>
      <c r="U29" s="49"/>
      <c r="V29" s="140"/>
      <c r="W29" s="39"/>
      <c r="X29" s="141"/>
      <c r="Y29" s="142"/>
      <c r="Z29" s="21"/>
      <c r="AA29" s="21"/>
      <c r="AB29" s="21"/>
    </row>
    <row r="30" ht="20.25" customHeight="1">
      <c r="A30" s="53"/>
      <c r="B30" s="54"/>
      <c r="C30" s="55"/>
      <c r="D30" s="67"/>
      <c r="E30" s="57"/>
      <c r="F30" s="54"/>
      <c r="G30" s="56"/>
      <c r="H30" s="83">
        <f t="shared" si="11"/>
        <v>0</v>
      </c>
      <c r="I30" s="27"/>
      <c r="J30" s="96"/>
      <c r="K30" s="86" t="s">
        <v>65</v>
      </c>
      <c r="L30" s="86" t="s">
        <v>46</v>
      </c>
      <c r="M30" s="86" t="s">
        <v>69</v>
      </c>
      <c r="N30" s="86" t="s">
        <v>65</v>
      </c>
      <c r="O30" s="86" t="s">
        <v>46</v>
      </c>
      <c r="P30" s="86" t="s">
        <v>69</v>
      </c>
      <c r="Q30" s="21"/>
      <c r="R30" s="138"/>
      <c r="S30" s="139"/>
      <c r="T30" s="55"/>
      <c r="U30" s="49"/>
      <c r="V30" s="140"/>
      <c r="W30" s="39"/>
      <c r="X30" s="141"/>
      <c r="Y30" s="142"/>
      <c r="Z30" s="21"/>
      <c r="AA30" s="21"/>
      <c r="AB30" s="21"/>
    </row>
    <row r="31" ht="20.25" customHeight="1">
      <c r="A31" s="69"/>
      <c r="B31" s="70" t="s">
        <v>60</v>
      </c>
      <c r="C31" s="98"/>
      <c r="D31" s="72">
        <f>SUM(D19:D30)</f>
        <v>0</v>
      </c>
      <c r="E31" s="57"/>
      <c r="F31" s="70" t="s">
        <v>60</v>
      </c>
      <c r="G31" s="72">
        <f t="shared" ref="G31:H31" si="18">SUM(G19:G30)</f>
        <v>0</v>
      </c>
      <c r="H31" s="72">
        <f t="shared" si="18"/>
        <v>0</v>
      </c>
      <c r="I31" s="27"/>
      <c r="J31" s="54"/>
      <c r="K31" s="56"/>
      <c r="L31" s="88">
        <f t="shared" ref="L31:L37" si="19">sumifs($X:$X,$S:$S,$L$29,$U:$U,J31)</f>
        <v>0</v>
      </c>
      <c r="M31" s="88">
        <f t="shared" ref="M31:M38" si="20">K31-L31</f>
        <v>0</v>
      </c>
      <c r="N31" s="56"/>
      <c r="O31" s="88">
        <f t="shared" ref="O31:O37" si="21">sumifs($X:$X,$S:$S,$O$29,$U:$U,J31)</f>
        <v>0</v>
      </c>
      <c r="P31" s="88">
        <f t="shared" ref="P31:P38" si="22">N31-O31</f>
        <v>0</v>
      </c>
      <c r="Q31" s="21"/>
      <c r="R31" s="138"/>
      <c r="S31" s="143"/>
      <c r="T31" s="55"/>
      <c r="U31" s="49"/>
      <c r="V31" s="140"/>
      <c r="W31" s="39"/>
      <c r="X31" s="141"/>
      <c r="Y31" s="142"/>
      <c r="Z31" s="21"/>
      <c r="AA31" s="21"/>
      <c r="AB31" s="21"/>
    </row>
    <row r="32" ht="20.25" customHeight="1">
      <c r="A32" s="20"/>
      <c r="B32" s="24"/>
      <c r="C32" s="32"/>
      <c r="D32" s="32"/>
      <c r="E32" s="32"/>
      <c r="F32" s="32"/>
      <c r="G32" s="24"/>
      <c r="H32" s="24"/>
      <c r="I32" s="27"/>
      <c r="J32" s="54"/>
      <c r="K32" s="56"/>
      <c r="L32" s="88">
        <f t="shared" si="19"/>
        <v>0</v>
      </c>
      <c r="M32" s="88">
        <f t="shared" si="20"/>
        <v>0</v>
      </c>
      <c r="N32" s="56"/>
      <c r="O32" s="88">
        <f t="shared" si="21"/>
        <v>0</v>
      </c>
      <c r="P32" s="88">
        <f t="shared" si="22"/>
        <v>0</v>
      </c>
      <c r="Q32" s="21"/>
      <c r="R32" s="138"/>
      <c r="S32" s="143"/>
      <c r="T32" s="55"/>
      <c r="U32" s="49"/>
      <c r="V32" s="140"/>
      <c r="W32" s="39"/>
      <c r="X32" s="141"/>
      <c r="Y32" s="142"/>
      <c r="Z32" s="21"/>
      <c r="AA32" s="21"/>
      <c r="AB32" s="21"/>
    </row>
    <row r="33" ht="20.25" customHeight="1">
      <c r="A33" s="28"/>
      <c r="B33" s="99" t="s">
        <v>86</v>
      </c>
      <c r="C33" s="30"/>
      <c r="D33" s="31"/>
      <c r="E33" s="32"/>
      <c r="F33" s="29" t="s">
        <v>87</v>
      </c>
      <c r="G33" s="31"/>
      <c r="H33" s="100" t="s">
        <v>46</v>
      </c>
      <c r="I33" s="101"/>
      <c r="J33" s="54"/>
      <c r="K33" s="56"/>
      <c r="L33" s="88">
        <f t="shared" si="19"/>
        <v>0</v>
      </c>
      <c r="M33" s="88">
        <f t="shared" si="20"/>
        <v>0</v>
      </c>
      <c r="N33" s="56"/>
      <c r="O33" s="88">
        <f t="shared" si="21"/>
        <v>0</v>
      </c>
      <c r="P33" s="88">
        <f t="shared" si="22"/>
        <v>0</v>
      </c>
      <c r="Q33" s="21"/>
      <c r="R33" s="138"/>
      <c r="S33" s="143"/>
      <c r="T33" s="55"/>
      <c r="U33" s="49"/>
      <c r="V33" s="140"/>
      <c r="W33" s="39"/>
      <c r="X33" s="141"/>
      <c r="Y33" s="142"/>
      <c r="Z33" s="21"/>
      <c r="AA33" s="21"/>
      <c r="AB33" s="21"/>
    </row>
    <row r="34" ht="20.25" customHeight="1">
      <c r="A34" s="40"/>
      <c r="B34" s="41" t="s">
        <v>44</v>
      </c>
      <c r="C34" s="41" t="s">
        <v>43</v>
      </c>
      <c r="D34" s="41" t="s">
        <v>46</v>
      </c>
      <c r="E34" s="57"/>
      <c r="F34" s="102" t="s">
        <v>88</v>
      </c>
      <c r="G34" s="31"/>
      <c r="H34" s="103">
        <f>D14</f>
        <v>0</v>
      </c>
      <c r="I34" s="104"/>
      <c r="J34" s="54"/>
      <c r="K34" s="56"/>
      <c r="L34" s="88">
        <f t="shared" si="19"/>
        <v>0</v>
      </c>
      <c r="M34" s="88">
        <f t="shared" si="20"/>
        <v>0</v>
      </c>
      <c r="N34" s="56"/>
      <c r="O34" s="88">
        <f t="shared" si="21"/>
        <v>0</v>
      </c>
      <c r="P34" s="88">
        <f t="shared" si="22"/>
        <v>0</v>
      </c>
      <c r="Q34" s="21"/>
      <c r="R34" s="138"/>
      <c r="S34" s="143"/>
      <c r="T34" s="55"/>
      <c r="U34" s="49"/>
      <c r="V34" s="140"/>
      <c r="W34" s="39"/>
      <c r="X34" s="141"/>
      <c r="Y34" s="142"/>
      <c r="Z34" s="21"/>
      <c r="AA34" s="21"/>
      <c r="AB34" s="21"/>
    </row>
    <row r="35" ht="20.25" customHeight="1">
      <c r="A35" s="19"/>
      <c r="B35" s="54"/>
      <c r="C35" s="55"/>
      <c r="D35" s="56"/>
      <c r="E35" s="57"/>
      <c r="F35" s="102" t="s">
        <v>90</v>
      </c>
      <c r="G35" s="31"/>
      <c r="H35" s="103">
        <f>H14</f>
        <v>0</v>
      </c>
      <c r="I35" s="104"/>
      <c r="J35" s="54"/>
      <c r="K35" s="56"/>
      <c r="L35" s="88">
        <f t="shared" si="19"/>
        <v>0</v>
      </c>
      <c r="M35" s="88">
        <f t="shared" si="20"/>
        <v>0</v>
      </c>
      <c r="N35" s="56"/>
      <c r="O35" s="88">
        <f t="shared" si="21"/>
        <v>0</v>
      </c>
      <c r="P35" s="88">
        <f t="shared" si="22"/>
        <v>0</v>
      </c>
      <c r="Q35" s="21"/>
      <c r="R35" s="138"/>
      <c r="S35" s="143"/>
      <c r="T35" s="55"/>
      <c r="U35" s="49"/>
      <c r="V35" s="140"/>
      <c r="W35" s="39"/>
      <c r="X35" s="141"/>
      <c r="Y35" s="142"/>
      <c r="Z35" s="21"/>
      <c r="AA35" s="21"/>
      <c r="AB35" s="21"/>
    </row>
    <row r="36" ht="20.25" customHeight="1">
      <c r="A36" s="19"/>
      <c r="B36" s="54"/>
      <c r="C36" s="55"/>
      <c r="D36" s="59"/>
      <c r="E36" s="57"/>
      <c r="F36" s="102" t="s">
        <v>91</v>
      </c>
      <c r="G36" s="31"/>
      <c r="H36" s="103">
        <f>D31+H31</f>
        <v>0</v>
      </c>
      <c r="I36" s="105"/>
      <c r="J36" s="54"/>
      <c r="K36" s="56"/>
      <c r="L36" s="88">
        <f t="shared" si="19"/>
        <v>0</v>
      </c>
      <c r="M36" s="88">
        <f t="shared" si="20"/>
        <v>0</v>
      </c>
      <c r="N36" s="56"/>
      <c r="O36" s="88">
        <f t="shared" si="21"/>
        <v>0</v>
      </c>
      <c r="P36" s="88">
        <f t="shared" si="22"/>
        <v>0</v>
      </c>
      <c r="Q36" s="21"/>
      <c r="R36" s="138"/>
      <c r="S36" s="143"/>
      <c r="T36" s="55"/>
      <c r="U36" s="49"/>
      <c r="V36" s="140"/>
      <c r="W36" s="39"/>
      <c r="X36" s="141"/>
      <c r="Y36" s="142"/>
      <c r="Z36" s="21"/>
      <c r="AA36" s="21"/>
      <c r="AB36" s="21"/>
    </row>
    <row r="37" ht="20.25" customHeight="1">
      <c r="A37" s="19"/>
      <c r="B37" s="54"/>
      <c r="C37" s="55"/>
      <c r="D37" s="59"/>
      <c r="E37" s="57"/>
      <c r="F37" s="102" t="s">
        <v>92</v>
      </c>
      <c r="G37" s="31"/>
      <c r="H37" s="103">
        <f>H34-H35-H36</f>
        <v>0</v>
      </c>
      <c r="I37" s="104"/>
      <c r="J37" s="54"/>
      <c r="K37" s="56"/>
      <c r="L37" s="88">
        <f t="shared" si="19"/>
        <v>0</v>
      </c>
      <c r="M37" s="88">
        <f t="shared" si="20"/>
        <v>0</v>
      </c>
      <c r="N37" s="56"/>
      <c r="O37" s="88">
        <f t="shared" si="21"/>
        <v>0</v>
      </c>
      <c r="P37" s="88">
        <f t="shared" si="22"/>
        <v>0</v>
      </c>
      <c r="Q37" s="21"/>
      <c r="R37" s="138"/>
      <c r="S37" s="143"/>
      <c r="T37" s="55"/>
      <c r="U37" s="49"/>
      <c r="V37" s="140"/>
      <c r="W37" s="39"/>
      <c r="X37" s="141"/>
      <c r="Y37" s="142"/>
      <c r="Z37" s="21"/>
      <c r="AA37" s="21"/>
      <c r="AB37" s="21"/>
    </row>
    <row r="38" ht="20.25" customHeight="1">
      <c r="A38" s="106"/>
      <c r="B38" s="54"/>
      <c r="C38" s="55"/>
      <c r="D38" s="59"/>
      <c r="E38" s="57"/>
      <c r="F38" s="102" t="s">
        <v>93</v>
      </c>
      <c r="G38" s="31"/>
      <c r="H38" s="103">
        <f>H35+H37</f>
        <v>0</v>
      </c>
      <c r="I38" s="107"/>
      <c r="J38" s="89" t="s">
        <v>83</v>
      </c>
      <c r="K38" s="88">
        <f t="shared" ref="K38:L38" si="23">SUM(K31:K37)</f>
        <v>0</v>
      </c>
      <c r="L38" s="88">
        <f t="shared" si="23"/>
        <v>0</v>
      </c>
      <c r="M38" s="88">
        <f t="shared" si="20"/>
        <v>0</v>
      </c>
      <c r="N38" s="88">
        <f t="shared" ref="N38:O38" si="24">SUM(N31:N37)</f>
        <v>0</v>
      </c>
      <c r="O38" s="88">
        <f t="shared" si="24"/>
        <v>0</v>
      </c>
      <c r="P38" s="88">
        <f t="shared" si="22"/>
        <v>0</v>
      </c>
      <c r="Q38" s="21"/>
      <c r="R38" s="138"/>
      <c r="S38" s="143"/>
      <c r="T38" s="55"/>
      <c r="U38" s="49"/>
      <c r="V38" s="140"/>
      <c r="W38" s="39"/>
      <c r="X38" s="141"/>
      <c r="Y38" s="142"/>
      <c r="Z38" s="21"/>
      <c r="AA38" s="21"/>
      <c r="AB38" s="21"/>
    </row>
    <row r="39" ht="20.25" customHeight="1">
      <c r="A39" s="106"/>
      <c r="B39" s="54"/>
      <c r="C39" s="55"/>
      <c r="D39" s="66"/>
      <c r="E39" s="32"/>
      <c r="F39" s="32"/>
      <c r="G39" s="108"/>
      <c r="H39" s="108"/>
      <c r="I39" s="27"/>
      <c r="J39" s="90"/>
      <c r="K39" s="57"/>
      <c r="L39" s="92"/>
      <c r="M39" s="92"/>
      <c r="N39" s="92"/>
      <c r="O39" s="93"/>
      <c r="P39" s="94"/>
      <c r="Q39" s="21"/>
      <c r="R39" s="138"/>
      <c r="S39" s="143"/>
      <c r="T39" s="55"/>
      <c r="U39" s="49"/>
      <c r="V39" s="140"/>
      <c r="W39" s="39"/>
      <c r="X39" s="141"/>
      <c r="Y39" s="142"/>
      <c r="Z39" s="21"/>
      <c r="AA39" s="21"/>
      <c r="AB39" s="21"/>
    </row>
    <row r="40" ht="20.25" customHeight="1">
      <c r="A40" s="69"/>
      <c r="B40" s="109"/>
      <c r="C40" s="55"/>
      <c r="D40" s="110"/>
      <c r="E40" s="32"/>
      <c r="F40" s="111" t="s">
        <v>117</v>
      </c>
      <c r="G40" s="112" t="s">
        <v>118</v>
      </c>
      <c r="H40" s="113"/>
      <c r="I40" s="27"/>
      <c r="J40" s="95" t="s">
        <v>66</v>
      </c>
      <c r="K40" s="80"/>
      <c r="L40" s="81" t="s">
        <v>96</v>
      </c>
      <c r="M40" s="82"/>
      <c r="N40" s="80"/>
      <c r="O40" s="81" t="s">
        <v>83</v>
      </c>
      <c r="P40" s="82"/>
      <c r="Q40" s="21"/>
      <c r="R40" s="138"/>
      <c r="S40" s="143"/>
      <c r="T40" s="55"/>
      <c r="U40" s="49"/>
      <c r="V40" s="140"/>
      <c r="W40" s="39"/>
      <c r="X40" s="141"/>
      <c r="Y40" s="142"/>
      <c r="Z40" s="21"/>
      <c r="AA40" s="21"/>
      <c r="AB40" s="21"/>
    </row>
    <row r="41" ht="20.25" customHeight="1">
      <c r="B41" s="114"/>
      <c r="C41" s="55"/>
      <c r="D41" s="110"/>
      <c r="E41" s="32"/>
      <c r="F41" s="115" t="str">
        <f>H36/H34</f>
        <v>#DIV/0!</v>
      </c>
      <c r="G41" s="116" t="str">
        <f>H38/H34</f>
        <v>#DIV/0!</v>
      </c>
      <c r="H41" s="117"/>
      <c r="I41" s="27"/>
      <c r="J41" s="96"/>
      <c r="K41" s="86" t="s">
        <v>65</v>
      </c>
      <c r="L41" s="86" t="s">
        <v>46</v>
      </c>
      <c r="M41" s="86" t="s">
        <v>69</v>
      </c>
      <c r="N41" s="86" t="s">
        <v>65</v>
      </c>
      <c r="O41" s="86" t="s">
        <v>46</v>
      </c>
      <c r="P41" s="86" t="s">
        <v>69</v>
      </c>
      <c r="Q41" s="21"/>
      <c r="R41" s="138"/>
      <c r="S41" s="143"/>
      <c r="T41" s="55"/>
      <c r="U41" s="49"/>
      <c r="V41" s="140"/>
      <c r="W41" s="39"/>
      <c r="X41" s="141"/>
      <c r="Y41" s="142"/>
      <c r="Z41" s="21"/>
      <c r="AA41" s="21"/>
      <c r="AB41" s="21"/>
    </row>
    <row r="42" ht="20.25" customHeight="1">
      <c r="B42" s="118" t="s">
        <v>60</v>
      </c>
      <c r="C42" s="119"/>
      <c r="D42" s="119">
        <f>SUM(D35:D41)</f>
        <v>0</v>
      </c>
      <c r="E42" s="32"/>
      <c r="F42" s="120"/>
      <c r="G42" s="121"/>
      <c r="H42" s="122"/>
      <c r="I42" s="27"/>
      <c r="J42" s="54"/>
      <c r="K42" s="56"/>
      <c r="L42" s="88">
        <f t="shared" ref="L42:L48" si="26">sumifs($X:$X,$S:$S,$L$40,$U:$U,J42)</f>
        <v>0</v>
      </c>
      <c r="M42" s="88">
        <f t="shared" ref="M42:M49" si="27">K42-L42</f>
        <v>0</v>
      </c>
      <c r="N42" s="83">
        <f t="shared" ref="N42:O42" si="25">K20+N20+K31+N31+K42</f>
        <v>0</v>
      </c>
      <c r="O42" s="83">
        <f t="shared" si="25"/>
        <v>0</v>
      </c>
      <c r="P42" s="88">
        <f t="shared" ref="P42:P49" si="29">N42-O42</f>
        <v>0</v>
      </c>
      <c r="Q42" s="21"/>
      <c r="R42" s="138"/>
      <c r="S42" s="143"/>
      <c r="T42" s="55"/>
      <c r="U42" s="49"/>
      <c r="V42" s="140"/>
      <c r="W42" s="39"/>
      <c r="X42" s="141"/>
      <c r="Y42" s="142"/>
      <c r="Z42" s="21"/>
      <c r="AA42" s="21"/>
      <c r="AB42" s="21"/>
    </row>
    <row r="43" ht="20.25" customHeight="1">
      <c r="A43" s="69"/>
      <c r="B43" s="123"/>
      <c r="C43" s="124"/>
      <c r="D43" s="124" t="s">
        <v>97</v>
      </c>
      <c r="E43" s="25"/>
      <c r="F43" s="125" t="s">
        <v>98</v>
      </c>
      <c r="G43" s="125"/>
      <c r="H43" s="125" t="s">
        <v>99</v>
      </c>
      <c r="I43" s="27"/>
      <c r="J43" s="54"/>
      <c r="K43" s="56"/>
      <c r="L43" s="88">
        <f t="shared" si="26"/>
        <v>0</v>
      </c>
      <c r="M43" s="88">
        <f t="shared" si="27"/>
        <v>0</v>
      </c>
      <c r="N43" s="83">
        <f t="shared" ref="N43:O43" si="28">K21+N21+K32+N32+K43</f>
        <v>0</v>
      </c>
      <c r="O43" s="83">
        <f t="shared" si="28"/>
        <v>0</v>
      </c>
      <c r="P43" s="88">
        <f t="shared" si="29"/>
        <v>0</v>
      </c>
      <c r="Q43" s="21"/>
      <c r="R43" s="138"/>
      <c r="S43" s="143"/>
      <c r="T43" s="55"/>
      <c r="U43" s="49"/>
      <c r="V43" s="140"/>
      <c r="W43" s="39"/>
      <c r="X43" s="141"/>
      <c r="Y43" s="142"/>
      <c r="Z43" s="21"/>
      <c r="AA43" s="21"/>
      <c r="AB43" s="21"/>
    </row>
    <row r="44" ht="20.25" customHeight="1">
      <c r="A44" s="69"/>
      <c r="B44" s="112" t="s">
        <v>100</v>
      </c>
      <c r="C44" s="126"/>
      <c r="D44" s="126"/>
      <c r="E44" s="126"/>
      <c r="F44" s="126"/>
      <c r="G44" s="126"/>
      <c r="H44" s="113"/>
      <c r="I44" s="27"/>
      <c r="J44" s="54"/>
      <c r="K44" s="56"/>
      <c r="L44" s="88">
        <f t="shared" si="26"/>
        <v>0</v>
      </c>
      <c r="M44" s="88">
        <f t="shared" si="27"/>
        <v>0</v>
      </c>
      <c r="N44" s="83">
        <f t="shared" ref="N44:O44" si="30">K22+N22+K33+N33+K44</f>
        <v>0</v>
      </c>
      <c r="O44" s="83">
        <f t="shared" si="30"/>
        <v>0</v>
      </c>
      <c r="P44" s="88">
        <f t="shared" si="29"/>
        <v>0</v>
      </c>
      <c r="Q44" s="21"/>
      <c r="R44" s="138"/>
      <c r="S44" s="143"/>
      <c r="T44" s="55"/>
      <c r="U44" s="49"/>
      <c r="V44" s="140"/>
      <c r="W44" s="39"/>
      <c r="X44" s="141"/>
      <c r="Y44" s="142"/>
      <c r="Z44" s="21"/>
      <c r="AA44" s="21"/>
      <c r="AB44" s="21"/>
    </row>
    <row r="45" ht="20.25" customHeight="1">
      <c r="A45" s="20"/>
      <c r="B45" s="127"/>
      <c r="C45" s="128"/>
      <c r="D45" s="128"/>
      <c r="E45" s="128"/>
      <c r="F45" s="128"/>
      <c r="G45" s="128"/>
      <c r="H45" s="117"/>
      <c r="I45" s="27"/>
      <c r="J45" s="54"/>
      <c r="K45" s="56"/>
      <c r="L45" s="88">
        <f t="shared" si="26"/>
        <v>0</v>
      </c>
      <c r="M45" s="88">
        <f t="shared" si="27"/>
        <v>0</v>
      </c>
      <c r="N45" s="83">
        <f t="shared" ref="N45:O45" si="31">K23+N23+K34+N34+K45</f>
        <v>0</v>
      </c>
      <c r="O45" s="83">
        <f t="shared" si="31"/>
        <v>0</v>
      </c>
      <c r="P45" s="88">
        <f t="shared" si="29"/>
        <v>0</v>
      </c>
      <c r="Q45" s="21"/>
      <c r="R45" s="138"/>
      <c r="S45" s="143"/>
      <c r="T45" s="55"/>
      <c r="U45" s="49"/>
      <c r="V45" s="140"/>
      <c r="W45" s="39"/>
      <c r="X45" s="141"/>
      <c r="Y45" s="142"/>
      <c r="Z45" s="21"/>
      <c r="AA45" s="21"/>
      <c r="AB45" s="21"/>
    </row>
    <row r="46" ht="20.25" customHeight="1">
      <c r="A46" s="20"/>
      <c r="B46" s="129"/>
      <c r="H46" s="130"/>
      <c r="I46" s="27"/>
      <c r="J46" s="54"/>
      <c r="K46" s="56"/>
      <c r="L46" s="88">
        <f t="shared" si="26"/>
        <v>0</v>
      </c>
      <c r="M46" s="88">
        <f t="shared" si="27"/>
        <v>0</v>
      </c>
      <c r="N46" s="83">
        <f t="shared" ref="N46:O46" si="32">K24+N24+K35+N35+K46</f>
        <v>0</v>
      </c>
      <c r="O46" s="83">
        <f t="shared" si="32"/>
        <v>0</v>
      </c>
      <c r="P46" s="88">
        <f t="shared" si="29"/>
        <v>0</v>
      </c>
      <c r="Q46" s="21"/>
      <c r="R46" s="138"/>
      <c r="S46" s="143"/>
      <c r="T46" s="55"/>
      <c r="U46" s="49"/>
      <c r="V46" s="140"/>
      <c r="W46" s="39"/>
      <c r="X46" s="141"/>
      <c r="Y46" s="142"/>
      <c r="Z46" s="21"/>
      <c r="AA46" s="21"/>
      <c r="AB46" s="21"/>
    </row>
    <row r="47" ht="20.25" customHeight="1">
      <c r="A47" s="20"/>
      <c r="B47" s="129"/>
      <c r="H47" s="130"/>
      <c r="I47" s="27"/>
      <c r="J47" s="54"/>
      <c r="K47" s="56"/>
      <c r="L47" s="88">
        <f t="shared" si="26"/>
        <v>0</v>
      </c>
      <c r="M47" s="88">
        <f t="shared" si="27"/>
        <v>0</v>
      </c>
      <c r="N47" s="83">
        <f t="shared" ref="N47:O47" si="33">K25+N25+K36+N36+K47</f>
        <v>0</v>
      </c>
      <c r="O47" s="83">
        <f t="shared" si="33"/>
        <v>0</v>
      </c>
      <c r="P47" s="88">
        <f t="shared" si="29"/>
        <v>0</v>
      </c>
      <c r="Q47" s="21"/>
      <c r="R47" s="138"/>
      <c r="S47" s="143"/>
      <c r="T47" s="55"/>
      <c r="U47" s="49"/>
      <c r="V47" s="140"/>
      <c r="W47" s="39"/>
      <c r="X47" s="141"/>
      <c r="Y47" s="142"/>
      <c r="Z47" s="21"/>
      <c r="AA47" s="21"/>
      <c r="AB47" s="21"/>
    </row>
    <row r="48" ht="20.25" customHeight="1">
      <c r="A48" s="20"/>
      <c r="B48" s="129"/>
      <c r="H48" s="130"/>
      <c r="I48" s="27"/>
      <c r="J48" s="54"/>
      <c r="K48" s="56"/>
      <c r="L48" s="88">
        <f t="shared" si="26"/>
        <v>0</v>
      </c>
      <c r="M48" s="88">
        <f t="shared" si="27"/>
        <v>0</v>
      </c>
      <c r="N48" s="83">
        <f t="shared" ref="N48:O48" si="34">K26+N26+K37+N37+K48</f>
        <v>0</v>
      </c>
      <c r="O48" s="83">
        <f t="shared" si="34"/>
        <v>0</v>
      </c>
      <c r="P48" s="88">
        <f t="shared" si="29"/>
        <v>0</v>
      </c>
      <c r="Q48" s="21"/>
      <c r="R48" s="138"/>
      <c r="S48" s="143"/>
      <c r="T48" s="55"/>
      <c r="U48" s="49"/>
      <c r="V48" s="140"/>
      <c r="W48" s="39"/>
      <c r="X48" s="141"/>
      <c r="Y48" s="142"/>
      <c r="Z48" s="21"/>
      <c r="AA48" s="21"/>
      <c r="AB48" s="21"/>
    </row>
    <row r="49" ht="20.25" customHeight="1">
      <c r="A49" s="20"/>
      <c r="B49" s="121"/>
      <c r="C49" s="131"/>
      <c r="D49" s="131"/>
      <c r="E49" s="131"/>
      <c r="F49" s="131"/>
      <c r="G49" s="131"/>
      <c r="H49" s="122"/>
      <c r="I49" s="27"/>
      <c r="J49" s="89" t="s">
        <v>83</v>
      </c>
      <c r="K49" s="88">
        <f t="shared" ref="K49:L49" si="35">SUM(K42:K48)</f>
        <v>0</v>
      </c>
      <c r="L49" s="88">
        <f t="shared" si="35"/>
        <v>0</v>
      </c>
      <c r="M49" s="88">
        <f t="shared" si="27"/>
        <v>0</v>
      </c>
      <c r="N49" s="88">
        <f t="shared" ref="N49:O49" si="36">SUM(N42:N48)</f>
        <v>0</v>
      </c>
      <c r="O49" s="88">
        <f t="shared" si="36"/>
        <v>0</v>
      </c>
      <c r="P49" s="88">
        <f t="shared" si="29"/>
        <v>0</v>
      </c>
      <c r="Q49" s="21"/>
      <c r="R49" s="138"/>
      <c r="S49" s="143"/>
      <c r="T49" s="55"/>
      <c r="U49" s="49"/>
      <c r="V49" s="140"/>
      <c r="W49" s="39"/>
      <c r="X49" s="141"/>
      <c r="Y49" s="142"/>
      <c r="Z49" s="21"/>
      <c r="AA49" s="21"/>
      <c r="AB49" s="21"/>
    </row>
    <row r="50" ht="6.75" customHeight="1">
      <c r="A50" s="20"/>
      <c r="E50" s="25"/>
      <c r="F50" s="132"/>
      <c r="G50" s="125"/>
      <c r="H50" s="125"/>
      <c r="I50" s="27"/>
      <c r="J50" s="133"/>
      <c r="K50" s="19"/>
      <c r="L50" s="78"/>
      <c r="M50" s="78"/>
      <c r="N50" s="78"/>
      <c r="O50" s="134"/>
      <c r="P50" s="94"/>
      <c r="Q50" s="21"/>
      <c r="R50" s="135"/>
      <c r="S50" s="135"/>
      <c r="T50" s="135"/>
      <c r="U50" s="137"/>
      <c r="V50" s="135"/>
      <c r="W50" s="135"/>
      <c r="X50" s="135"/>
      <c r="Y50" s="135"/>
      <c r="Z50" s="21"/>
      <c r="AA50" s="21"/>
      <c r="AB50" s="21"/>
    </row>
    <row r="51" hidden="1">
      <c r="F51" s="19"/>
      <c r="G51" s="106"/>
      <c r="H51" s="10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</row>
  </sheetData>
  <mergeCells count="67">
    <mergeCell ref="V32:W32"/>
    <mergeCell ref="V37:W37"/>
    <mergeCell ref="G40:H40"/>
    <mergeCell ref="J40:J41"/>
    <mergeCell ref="F41:F42"/>
    <mergeCell ref="G41:H42"/>
    <mergeCell ref="B44:H44"/>
    <mergeCell ref="B45:H49"/>
    <mergeCell ref="B33:D33"/>
    <mergeCell ref="F33:G33"/>
    <mergeCell ref="F34:G34"/>
    <mergeCell ref="F35:G35"/>
    <mergeCell ref="F36:G36"/>
    <mergeCell ref="F37:G37"/>
    <mergeCell ref="F38:G38"/>
    <mergeCell ref="V44:W44"/>
    <mergeCell ref="V45:W45"/>
    <mergeCell ref="V46:W46"/>
    <mergeCell ref="V47:W47"/>
    <mergeCell ref="V48:W48"/>
    <mergeCell ref="V49:W49"/>
    <mergeCell ref="V31:W31"/>
    <mergeCell ref="V38:W38"/>
    <mergeCell ref="V39:W39"/>
    <mergeCell ref="V40:W40"/>
    <mergeCell ref="V41:W41"/>
    <mergeCell ref="V42:W42"/>
    <mergeCell ref="V43:W43"/>
    <mergeCell ref="R2:Y2"/>
    <mergeCell ref="B4:D4"/>
    <mergeCell ref="F4:H4"/>
    <mergeCell ref="V4:W4"/>
    <mergeCell ref="V5:W5"/>
    <mergeCell ref="V6:W6"/>
    <mergeCell ref="V7:W7"/>
    <mergeCell ref="V15:W15"/>
    <mergeCell ref="B16:D16"/>
    <mergeCell ref="F16:H16"/>
    <mergeCell ref="J16:P16"/>
    <mergeCell ref="V16:W16"/>
    <mergeCell ref="J18:J19"/>
    <mergeCell ref="V18:W18"/>
    <mergeCell ref="V19:W19"/>
    <mergeCell ref="V8:W8"/>
    <mergeCell ref="V9:W9"/>
    <mergeCell ref="V10:W10"/>
    <mergeCell ref="V11:W11"/>
    <mergeCell ref="V12:W12"/>
    <mergeCell ref="V13:W13"/>
    <mergeCell ref="V14:W14"/>
    <mergeCell ref="V26:W26"/>
    <mergeCell ref="V27:W27"/>
    <mergeCell ref="V28:W28"/>
    <mergeCell ref="J29:J30"/>
    <mergeCell ref="V29:W29"/>
    <mergeCell ref="V30:W30"/>
    <mergeCell ref="V17:W17"/>
    <mergeCell ref="V20:W20"/>
    <mergeCell ref="V21:W21"/>
    <mergeCell ref="V22:W22"/>
    <mergeCell ref="V23:W23"/>
    <mergeCell ref="V24:W24"/>
    <mergeCell ref="V25:W25"/>
    <mergeCell ref="V34:W34"/>
    <mergeCell ref="V35:W35"/>
    <mergeCell ref="V33:W33"/>
    <mergeCell ref="V36:W36"/>
  </mergeCells>
  <conditionalFormatting sqref="J5:P5 J7:P7 J9:P9 J11:P11 J13:P13">
    <cfRule type="expression" dxfId="4" priority="1">
      <formula>MONTH(J5)&lt;&gt;$B$1</formula>
    </cfRule>
  </conditionalFormatting>
  <dataValidations>
    <dataValidation type="list" allowBlank="1" sqref="B6:B13">
      <formula1>list!$A$2:$A51</formula1>
    </dataValidation>
    <dataValidation type="list" allowBlank="1" sqref="F6:F13">
      <formula1>list!$B$2:$B51</formula1>
    </dataValidation>
    <dataValidation type="list" allowBlank="1" sqref="J20:J26 B19:B30 F19:F30 J31:J37 J42:J48">
      <formula1>list!$C$2:$C51</formula1>
    </dataValidation>
    <dataValidation type="list" allowBlank="1" sqref="C6:C13 G6:G13 C19:C30 C35:C41 T5:T49">
      <formula1>list!$F$2:$F51</formula1>
    </dataValidation>
    <dataValidation type="list" allowBlank="1" sqref="U5:U49">
      <formula1>list!$C$2:$C51</formula1>
    </dataValidation>
    <dataValidation type="list" allowBlank="1" sqref="B35:B41">
      <formula1>list!$D$2:$D51</formula1>
    </dataValidation>
    <dataValidation type="list" allowBlank="1" showErrorMessage="1" sqref="S5:S49">
      <formula1>"1week,2week,3week,4week,5week"</formula1>
    </dataValidation>
    <dataValidation type="custom" allowBlank="1" showDropDown="1" showErrorMessage="1" sqref="J28 J39 R5:R49 J50 R50:Y50">
      <formula1>OR(NOT(ISERROR(DATEVALUE(J5))), AND(ISNUMBER(J5), LEFT(CELL("format", J5))="D"))</formula1>
    </dataValidation>
    <dataValidation type="list" allowBlank="1" showErrorMessage="1" sqref="Y5:Y49">
      <formula1>"〇,△,✕"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8CC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.0"/>
    <col customWidth="1" min="2" max="2" width="18.0"/>
    <col customWidth="1" min="3" max="4" width="11.63"/>
    <col customWidth="1" min="5" max="5" width="2.0"/>
    <col customWidth="1" min="6" max="6" width="18.0"/>
    <col customWidth="1" min="7" max="8" width="11.63"/>
    <col customWidth="1" min="9" max="9" width="2.63"/>
    <col customWidth="1" min="10" max="16" width="13.88"/>
    <col customWidth="1" min="17" max="17" width="2.63"/>
    <col customWidth="1" min="18" max="25" width="12.75"/>
    <col customWidth="1" min="26" max="26" width="2.0"/>
    <col customWidth="1" hidden="1" min="27" max="28" width="11.0"/>
  </cols>
  <sheetData>
    <row r="1" ht="42.0" customHeight="1">
      <c r="A1" s="10"/>
      <c r="B1" s="11">
        <v>11.0</v>
      </c>
      <c r="C1" s="12"/>
      <c r="D1" s="12" t="s">
        <v>29</v>
      </c>
      <c r="E1" s="13"/>
      <c r="F1" s="12"/>
      <c r="G1" s="14"/>
      <c r="H1" s="14"/>
      <c r="I1" s="15"/>
      <c r="J1" s="12" t="s">
        <v>30</v>
      </c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6"/>
      <c r="AB1" s="16"/>
    </row>
    <row r="2" ht="21.75" customHeight="1">
      <c r="A2" s="17"/>
      <c r="B2" s="18">
        <v>2025.0</v>
      </c>
      <c r="C2" s="19"/>
      <c r="D2" s="19"/>
      <c r="G2" s="20"/>
      <c r="H2" s="20"/>
      <c r="I2" s="21"/>
      <c r="J2" s="22">
        <f>DATE(B2,B1,1)</f>
        <v>45962</v>
      </c>
      <c r="K2" s="21"/>
      <c r="L2" s="21"/>
      <c r="M2" s="21"/>
      <c r="N2" s="21"/>
      <c r="O2" s="21"/>
      <c r="P2" s="21"/>
      <c r="Q2" s="21"/>
      <c r="R2" s="23" t="s">
        <v>31</v>
      </c>
      <c r="Z2" s="21"/>
      <c r="AA2" s="21"/>
      <c r="AB2" s="21"/>
    </row>
    <row r="3" ht="7.5" customHeight="1">
      <c r="A3" s="20"/>
      <c r="B3" s="24"/>
      <c r="C3" s="25"/>
      <c r="D3" s="25"/>
      <c r="E3" s="25"/>
      <c r="F3" s="26"/>
      <c r="G3" s="26"/>
      <c r="H3" s="26"/>
      <c r="I3" s="27"/>
      <c r="J3" s="25"/>
      <c r="K3" s="25"/>
      <c r="L3" s="25"/>
      <c r="M3" s="27"/>
      <c r="N3" s="27"/>
      <c r="O3" s="27"/>
      <c r="P3" s="27"/>
      <c r="Q3" s="21"/>
      <c r="Z3" s="21"/>
      <c r="AA3" s="21"/>
      <c r="AB3" s="21"/>
    </row>
    <row r="4" ht="20.25" customHeight="1">
      <c r="A4" s="28"/>
      <c r="B4" s="29" t="s">
        <v>32</v>
      </c>
      <c r="C4" s="30"/>
      <c r="D4" s="31"/>
      <c r="E4" s="32"/>
      <c r="F4" s="29" t="s">
        <v>33</v>
      </c>
      <c r="G4" s="30"/>
      <c r="H4" s="31"/>
      <c r="I4" s="27"/>
      <c r="J4" s="33" t="s">
        <v>34</v>
      </c>
      <c r="K4" s="33" t="s">
        <v>35</v>
      </c>
      <c r="L4" s="33" t="s">
        <v>36</v>
      </c>
      <c r="M4" s="33" t="s">
        <v>37</v>
      </c>
      <c r="N4" s="33" t="s">
        <v>38</v>
      </c>
      <c r="O4" s="34" t="s">
        <v>39</v>
      </c>
      <c r="P4" s="35" t="s">
        <v>40</v>
      </c>
      <c r="Q4" s="21"/>
      <c r="R4" s="36" t="s">
        <v>41</v>
      </c>
      <c r="S4" s="37" t="s">
        <v>42</v>
      </c>
      <c r="T4" s="37" t="s">
        <v>43</v>
      </c>
      <c r="U4" s="37" t="s">
        <v>44</v>
      </c>
      <c r="V4" s="38" t="s">
        <v>45</v>
      </c>
      <c r="W4" s="39"/>
      <c r="X4" s="37" t="s">
        <v>46</v>
      </c>
      <c r="Y4" s="37" t="s">
        <v>47</v>
      </c>
      <c r="Z4" s="21"/>
      <c r="AA4" s="21"/>
      <c r="AB4" s="21"/>
    </row>
    <row r="5" ht="20.25" customHeight="1">
      <c r="A5" s="40"/>
      <c r="B5" s="41" t="s">
        <v>44</v>
      </c>
      <c r="C5" s="42" t="s">
        <v>48</v>
      </c>
      <c r="D5" s="41" t="s">
        <v>46</v>
      </c>
      <c r="E5" s="32"/>
      <c r="F5" s="41" t="s">
        <v>44</v>
      </c>
      <c r="G5" s="41" t="s">
        <v>43</v>
      </c>
      <c r="H5" s="41" t="s">
        <v>46</v>
      </c>
      <c r="I5" s="27"/>
      <c r="J5" s="43">
        <f>$J$2-weekday($J$2)+2</f>
        <v>45957</v>
      </c>
      <c r="K5" s="43">
        <f t="shared" ref="K5:P5" si="1">J5+1</f>
        <v>45958</v>
      </c>
      <c r="L5" s="43">
        <f t="shared" si="1"/>
        <v>45959</v>
      </c>
      <c r="M5" s="43">
        <f t="shared" si="1"/>
        <v>45960</v>
      </c>
      <c r="N5" s="43">
        <f t="shared" si="1"/>
        <v>45961</v>
      </c>
      <c r="O5" s="44">
        <f t="shared" si="1"/>
        <v>45962</v>
      </c>
      <c r="P5" s="45">
        <f t="shared" si="1"/>
        <v>45963</v>
      </c>
      <c r="Q5" s="21"/>
      <c r="R5" s="138">
        <v>45962.0</v>
      </c>
      <c r="S5" s="139"/>
      <c r="T5" s="55"/>
      <c r="U5" s="49"/>
      <c r="V5" s="140"/>
      <c r="W5" s="39"/>
      <c r="X5" s="141"/>
      <c r="Y5" s="142"/>
      <c r="Z5" s="21"/>
      <c r="AA5" s="21"/>
      <c r="AB5" s="21"/>
    </row>
    <row r="6" ht="20.25" customHeight="1">
      <c r="A6" s="53"/>
      <c r="B6" s="54"/>
      <c r="C6" s="55"/>
      <c r="D6" s="56"/>
      <c r="E6" s="57"/>
      <c r="F6" s="58"/>
      <c r="G6" s="55"/>
      <c r="H6" s="56"/>
      <c r="I6" s="27"/>
      <c r="J6" s="60">
        <f t="shared" ref="J6:P6" si="2">sumifs($X:$X,$R:$R,J5)</f>
        <v>0</v>
      </c>
      <c r="K6" s="60">
        <f t="shared" si="2"/>
        <v>0</v>
      </c>
      <c r="L6" s="60">
        <f t="shared" si="2"/>
        <v>0</v>
      </c>
      <c r="M6" s="60">
        <f t="shared" si="2"/>
        <v>0</v>
      </c>
      <c r="N6" s="60">
        <f t="shared" si="2"/>
        <v>0</v>
      </c>
      <c r="O6" s="60">
        <f t="shared" si="2"/>
        <v>0</v>
      </c>
      <c r="P6" s="60">
        <f t="shared" si="2"/>
        <v>0</v>
      </c>
      <c r="Q6" s="21"/>
      <c r="R6" s="138"/>
      <c r="S6" s="139"/>
      <c r="T6" s="55"/>
      <c r="U6" s="49"/>
      <c r="V6" s="140"/>
      <c r="W6" s="39"/>
      <c r="X6" s="141"/>
      <c r="Y6" s="142"/>
      <c r="Z6" s="21"/>
      <c r="AA6" s="21"/>
      <c r="AB6" s="21"/>
    </row>
    <row r="7" ht="20.25" customHeight="1">
      <c r="A7" s="53"/>
      <c r="B7" s="54"/>
      <c r="C7" s="55"/>
      <c r="D7" s="56"/>
      <c r="E7" s="57"/>
      <c r="F7" s="58"/>
      <c r="G7" s="55"/>
      <c r="H7" s="56"/>
      <c r="I7" s="27"/>
      <c r="J7" s="61">
        <f t="shared" ref="J7:P7" si="3">J5+7</f>
        <v>45964</v>
      </c>
      <c r="K7" s="61">
        <f t="shared" si="3"/>
        <v>45965</v>
      </c>
      <c r="L7" s="61">
        <f t="shared" si="3"/>
        <v>45966</v>
      </c>
      <c r="M7" s="61">
        <f t="shared" si="3"/>
        <v>45967</v>
      </c>
      <c r="N7" s="61">
        <f t="shared" si="3"/>
        <v>45968</v>
      </c>
      <c r="O7" s="62">
        <f t="shared" si="3"/>
        <v>45969</v>
      </c>
      <c r="P7" s="63">
        <f t="shared" si="3"/>
        <v>45970</v>
      </c>
      <c r="Q7" s="21"/>
      <c r="R7" s="138"/>
      <c r="S7" s="139"/>
      <c r="T7" s="55"/>
      <c r="U7" s="49"/>
      <c r="V7" s="140"/>
      <c r="W7" s="39"/>
      <c r="X7" s="141"/>
      <c r="Y7" s="142"/>
      <c r="Z7" s="21"/>
      <c r="AA7" s="21"/>
      <c r="AB7" s="21"/>
    </row>
    <row r="8" ht="20.25" customHeight="1">
      <c r="A8" s="53"/>
      <c r="B8" s="54"/>
      <c r="C8" s="55"/>
      <c r="D8" s="56"/>
      <c r="E8" s="57"/>
      <c r="F8" s="58"/>
      <c r="G8" s="55"/>
      <c r="H8" s="59"/>
      <c r="I8" s="27"/>
      <c r="J8" s="60">
        <f t="shared" ref="J8:P8" si="4">sumifs($X:$X,$R:$R,J7)</f>
        <v>0</v>
      </c>
      <c r="K8" s="60">
        <f t="shared" si="4"/>
        <v>0</v>
      </c>
      <c r="L8" s="60">
        <f t="shared" si="4"/>
        <v>0</v>
      </c>
      <c r="M8" s="60">
        <f t="shared" si="4"/>
        <v>0</v>
      </c>
      <c r="N8" s="60">
        <f t="shared" si="4"/>
        <v>0</v>
      </c>
      <c r="O8" s="60">
        <f t="shared" si="4"/>
        <v>0</v>
      </c>
      <c r="P8" s="60">
        <f t="shared" si="4"/>
        <v>0</v>
      </c>
      <c r="Q8" s="21"/>
      <c r="R8" s="138"/>
      <c r="S8" s="139"/>
      <c r="T8" s="55"/>
      <c r="U8" s="49"/>
      <c r="V8" s="140"/>
      <c r="W8" s="39"/>
      <c r="X8" s="141"/>
      <c r="Y8" s="142"/>
      <c r="Z8" s="21"/>
      <c r="AA8" s="21"/>
      <c r="AB8" s="21"/>
    </row>
    <row r="9" ht="20.25" customHeight="1">
      <c r="A9" s="64"/>
      <c r="B9" s="54"/>
      <c r="C9" s="55"/>
      <c r="D9" s="59"/>
      <c r="E9" s="57"/>
      <c r="F9" s="58"/>
      <c r="G9" s="55"/>
      <c r="H9" s="59"/>
      <c r="I9" s="27"/>
      <c r="J9" s="43">
        <f t="shared" ref="J9:P9" si="5">J7+7</f>
        <v>45971</v>
      </c>
      <c r="K9" s="43">
        <f t="shared" si="5"/>
        <v>45972</v>
      </c>
      <c r="L9" s="43">
        <f t="shared" si="5"/>
        <v>45973</v>
      </c>
      <c r="M9" s="43">
        <f t="shared" si="5"/>
        <v>45974</v>
      </c>
      <c r="N9" s="43">
        <f t="shared" si="5"/>
        <v>45975</v>
      </c>
      <c r="O9" s="44">
        <f t="shared" si="5"/>
        <v>45976</v>
      </c>
      <c r="P9" s="45">
        <f t="shared" si="5"/>
        <v>45977</v>
      </c>
      <c r="Q9" s="21"/>
      <c r="R9" s="138"/>
      <c r="S9" s="139"/>
      <c r="T9" s="55"/>
      <c r="U9" s="49"/>
      <c r="V9" s="140"/>
      <c r="W9" s="39"/>
      <c r="X9" s="141"/>
      <c r="Y9" s="142"/>
      <c r="Z9" s="21"/>
      <c r="AA9" s="21"/>
      <c r="AB9" s="21"/>
    </row>
    <row r="10" ht="20.25" customHeight="1">
      <c r="A10" s="64"/>
      <c r="B10" s="54"/>
      <c r="C10" s="55"/>
      <c r="D10" s="56"/>
      <c r="E10" s="57"/>
      <c r="F10" s="65"/>
      <c r="G10" s="55"/>
      <c r="H10" s="66"/>
      <c r="I10" s="27"/>
      <c r="J10" s="60">
        <f t="shared" ref="J10:P10" si="6">sumifs($X:$X,$R:$R,J9)</f>
        <v>0</v>
      </c>
      <c r="K10" s="60">
        <f t="shared" si="6"/>
        <v>0</v>
      </c>
      <c r="L10" s="60">
        <f t="shared" si="6"/>
        <v>0</v>
      </c>
      <c r="M10" s="60">
        <f t="shared" si="6"/>
        <v>0</v>
      </c>
      <c r="N10" s="60">
        <f t="shared" si="6"/>
        <v>0</v>
      </c>
      <c r="O10" s="60">
        <f t="shared" si="6"/>
        <v>0</v>
      </c>
      <c r="P10" s="60">
        <f t="shared" si="6"/>
        <v>0</v>
      </c>
      <c r="Q10" s="21"/>
      <c r="R10" s="138"/>
      <c r="S10" s="139"/>
      <c r="T10" s="55"/>
      <c r="U10" s="49"/>
      <c r="V10" s="140"/>
      <c r="W10" s="39"/>
      <c r="X10" s="141"/>
      <c r="Y10" s="142"/>
      <c r="Z10" s="21"/>
      <c r="AA10" s="21"/>
      <c r="AB10" s="21"/>
    </row>
    <row r="11" ht="20.25" customHeight="1">
      <c r="A11" s="64"/>
      <c r="B11" s="54"/>
      <c r="C11" s="55"/>
      <c r="D11" s="67"/>
      <c r="E11" s="57"/>
      <c r="F11" s="65"/>
      <c r="G11" s="55"/>
      <c r="H11" s="66"/>
      <c r="I11" s="27"/>
      <c r="J11" s="61">
        <f t="shared" ref="J11:P11" si="7">J9+7</f>
        <v>45978</v>
      </c>
      <c r="K11" s="61">
        <f t="shared" si="7"/>
        <v>45979</v>
      </c>
      <c r="L11" s="61">
        <f t="shared" si="7"/>
        <v>45980</v>
      </c>
      <c r="M11" s="61">
        <f t="shared" si="7"/>
        <v>45981</v>
      </c>
      <c r="N11" s="61">
        <f t="shared" si="7"/>
        <v>45982</v>
      </c>
      <c r="O11" s="62">
        <f t="shared" si="7"/>
        <v>45983</v>
      </c>
      <c r="P11" s="63">
        <f t="shared" si="7"/>
        <v>45984</v>
      </c>
      <c r="Q11" s="21"/>
      <c r="R11" s="138"/>
      <c r="S11" s="139"/>
      <c r="T11" s="55"/>
      <c r="U11" s="49"/>
      <c r="V11" s="140"/>
      <c r="W11" s="39"/>
      <c r="X11" s="141"/>
      <c r="Y11" s="142"/>
      <c r="Z11" s="21"/>
      <c r="AA11" s="21"/>
      <c r="AB11" s="21"/>
    </row>
    <row r="12" ht="20.25" customHeight="1">
      <c r="A12" s="64"/>
      <c r="B12" s="68"/>
      <c r="C12" s="55"/>
      <c r="D12" s="67"/>
      <c r="E12" s="57"/>
      <c r="F12" s="65"/>
      <c r="G12" s="55"/>
      <c r="H12" s="66"/>
      <c r="I12" s="27"/>
      <c r="J12" s="60">
        <f t="shared" ref="J12:P12" si="8">sumifs($X:$X,$R:$R,J11)</f>
        <v>0</v>
      </c>
      <c r="K12" s="60">
        <f t="shared" si="8"/>
        <v>0</v>
      </c>
      <c r="L12" s="60">
        <f t="shared" si="8"/>
        <v>0</v>
      </c>
      <c r="M12" s="60">
        <f t="shared" si="8"/>
        <v>0</v>
      </c>
      <c r="N12" s="60">
        <f t="shared" si="8"/>
        <v>0</v>
      </c>
      <c r="O12" s="60">
        <f t="shared" si="8"/>
        <v>0</v>
      </c>
      <c r="P12" s="60">
        <f t="shared" si="8"/>
        <v>0</v>
      </c>
      <c r="Q12" s="21"/>
      <c r="R12" s="138"/>
      <c r="S12" s="139"/>
      <c r="T12" s="55"/>
      <c r="U12" s="49"/>
      <c r="V12" s="140"/>
      <c r="W12" s="39"/>
      <c r="X12" s="141"/>
      <c r="Y12" s="142"/>
      <c r="Z12" s="21"/>
      <c r="AA12" s="21"/>
      <c r="AB12" s="21"/>
    </row>
    <row r="13" ht="20.25" customHeight="1">
      <c r="A13" s="64"/>
      <c r="B13" s="68"/>
      <c r="C13" s="55"/>
      <c r="D13" s="67"/>
      <c r="E13" s="57"/>
      <c r="F13" s="65"/>
      <c r="G13" s="55"/>
      <c r="H13" s="66"/>
      <c r="I13" s="27"/>
      <c r="J13" s="43">
        <f t="shared" ref="J13:P13" si="9">J11+7</f>
        <v>45985</v>
      </c>
      <c r="K13" s="43">
        <f t="shared" si="9"/>
        <v>45986</v>
      </c>
      <c r="L13" s="43">
        <f t="shared" si="9"/>
        <v>45987</v>
      </c>
      <c r="M13" s="43">
        <f t="shared" si="9"/>
        <v>45988</v>
      </c>
      <c r="N13" s="43">
        <f t="shared" si="9"/>
        <v>45989</v>
      </c>
      <c r="O13" s="44">
        <f t="shared" si="9"/>
        <v>45990</v>
      </c>
      <c r="P13" s="45">
        <f t="shared" si="9"/>
        <v>45991</v>
      </c>
      <c r="Q13" s="21"/>
      <c r="R13" s="138"/>
      <c r="S13" s="139"/>
      <c r="T13" s="55"/>
      <c r="U13" s="49"/>
      <c r="V13" s="140"/>
      <c r="W13" s="39"/>
      <c r="X13" s="141"/>
      <c r="Y13" s="142"/>
      <c r="Z13" s="21"/>
      <c r="AA13" s="21"/>
      <c r="AB13" s="21"/>
    </row>
    <row r="14" ht="20.25" customHeight="1">
      <c r="A14" s="69"/>
      <c r="B14" s="70" t="s">
        <v>60</v>
      </c>
      <c r="C14" s="72"/>
      <c r="D14" s="72">
        <f>SUM(D6:D13)</f>
        <v>0</v>
      </c>
      <c r="E14" s="57"/>
      <c r="F14" s="70" t="s">
        <v>60</v>
      </c>
      <c r="G14" s="72"/>
      <c r="H14" s="72">
        <f>SUM(H6:H13)</f>
        <v>0</v>
      </c>
      <c r="I14" s="27"/>
      <c r="J14" s="60">
        <f t="shared" ref="J14:P14" si="10">sumifs($X:$X,$R:$R,J13)</f>
        <v>0</v>
      </c>
      <c r="K14" s="60">
        <f t="shared" si="10"/>
        <v>0</v>
      </c>
      <c r="L14" s="60">
        <f t="shared" si="10"/>
        <v>0</v>
      </c>
      <c r="M14" s="60">
        <f t="shared" si="10"/>
        <v>0</v>
      </c>
      <c r="N14" s="60">
        <f t="shared" si="10"/>
        <v>0</v>
      </c>
      <c r="O14" s="60">
        <f t="shared" si="10"/>
        <v>0</v>
      </c>
      <c r="P14" s="60">
        <f t="shared" si="10"/>
        <v>0</v>
      </c>
      <c r="Q14" s="21"/>
      <c r="R14" s="138"/>
      <c r="S14" s="139"/>
      <c r="T14" s="55"/>
      <c r="U14" s="49"/>
      <c r="V14" s="140"/>
      <c r="W14" s="39"/>
      <c r="X14" s="141"/>
      <c r="Y14" s="142"/>
      <c r="Z14" s="21"/>
      <c r="AA14" s="21"/>
      <c r="AB14" s="21"/>
    </row>
    <row r="15" ht="20.25" customHeight="1">
      <c r="A15" s="20"/>
      <c r="B15" s="24"/>
      <c r="C15" s="32"/>
      <c r="D15" s="32"/>
      <c r="E15" s="32"/>
      <c r="F15" s="32"/>
      <c r="G15" s="24"/>
      <c r="H15" s="24"/>
      <c r="I15" s="27"/>
      <c r="J15" s="25"/>
      <c r="K15" s="25"/>
      <c r="L15" s="25"/>
      <c r="M15" s="25"/>
      <c r="N15" s="25"/>
      <c r="O15" s="25"/>
      <c r="P15" s="25"/>
      <c r="Q15" s="21"/>
      <c r="R15" s="138"/>
      <c r="S15" s="139"/>
      <c r="T15" s="55"/>
      <c r="U15" s="49"/>
      <c r="V15" s="140"/>
      <c r="W15" s="39"/>
      <c r="X15" s="141"/>
      <c r="Y15" s="142"/>
      <c r="Z15" s="21"/>
      <c r="AA15" s="21"/>
      <c r="AB15" s="21"/>
    </row>
    <row r="16" ht="20.25" customHeight="1">
      <c r="A16" s="28"/>
      <c r="B16" s="73" t="s">
        <v>61</v>
      </c>
      <c r="E16" s="27"/>
      <c r="F16" s="73" t="s">
        <v>61</v>
      </c>
      <c r="I16" s="27"/>
      <c r="J16" s="74" t="s">
        <v>62</v>
      </c>
      <c r="Q16" s="21"/>
      <c r="R16" s="138"/>
      <c r="S16" s="139"/>
      <c r="T16" s="55"/>
      <c r="U16" s="49"/>
      <c r="V16" s="140"/>
      <c r="W16" s="39"/>
      <c r="X16" s="141"/>
      <c r="Y16" s="142"/>
      <c r="Z16" s="21"/>
      <c r="AA16" s="21"/>
      <c r="AB16" s="21"/>
    </row>
    <row r="17" ht="20.25" customHeight="1">
      <c r="A17" s="40"/>
      <c r="B17" s="69" t="s">
        <v>63</v>
      </c>
      <c r="C17" s="75"/>
      <c r="D17" s="75"/>
      <c r="E17" s="53"/>
      <c r="F17" s="69" t="s">
        <v>64</v>
      </c>
      <c r="G17" s="76"/>
      <c r="H17" s="76"/>
      <c r="I17" s="27"/>
      <c r="J17" s="77"/>
      <c r="K17" s="78"/>
      <c r="L17" s="78"/>
      <c r="M17" s="78"/>
      <c r="N17" s="78"/>
      <c r="O17" s="78"/>
      <c r="P17" s="78"/>
      <c r="Q17" s="21"/>
      <c r="R17" s="138"/>
      <c r="S17" s="139"/>
      <c r="T17" s="55"/>
      <c r="U17" s="49"/>
      <c r="V17" s="140"/>
      <c r="W17" s="39"/>
      <c r="X17" s="141"/>
      <c r="Y17" s="142"/>
      <c r="Z17" s="21"/>
      <c r="AA17" s="21"/>
      <c r="AB17" s="21"/>
    </row>
    <row r="18" ht="20.25" customHeight="1">
      <c r="A18" s="40"/>
      <c r="B18" s="41" t="s">
        <v>44</v>
      </c>
      <c r="C18" s="41" t="s">
        <v>43</v>
      </c>
      <c r="D18" s="41" t="s">
        <v>46</v>
      </c>
      <c r="E18" s="57"/>
      <c r="F18" s="41" t="s">
        <v>44</v>
      </c>
      <c r="G18" s="41" t="s">
        <v>65</v>
      </c>
      <c r="H18" s="41" t="s">
        <v>46</v>
      </c>
      <c r="I18" s="27"/>
      <c r="J18" s="79" t="s">
        <v>66</v>
      </c>
      <c r="K18" s="80"/>
      <c r="L18" s="81" t="s">
        <v>49</v>
      </c>
      <c r="M18" s="82"/>
      <c r="N18" s="80"/>
      <c r="O18" s="81" t="s">
        <v>67</v>
      </c>
      <c r="P18" s="82"/>
      <c r="Q18" s="21"/>
      <c r="R18" s="138"/>
      <c r="S18" s="139"/>
      <c r="T18" s="55"/>
      <c r="U18" s="49"/>
      <c r="V18" s="140"/>
      <c r="W18" s="39"/>
      <c r="X18" s="141"/>
      <c r="Y18" s="142"/>
      <c r="Z18" s="21"/>
      <c r="AA18" s="21"/>
      <c r="AB18" s="21"/>
    </row>
    <row r="19" ht="20.25" customHeight="1">
      <c r="A19" s="53"/>
      <c r="B19" s="54"/>
      <c r="C19" s="55"/>
      <c r="D19" s="56"/>
      <c r="E19" s="57"/>
      <c r="F19" s="54"/>
      <c r="G19" s="56"/>
      <c r="H19" s="83">
        <f t="shared" ref="H19:H30" si="11">sumifs($X:$X,$U:$U,F19)</f>
        <v>0</v>
      </c>
      <c r="I19" s="27"/>
      <c r="J19" s="84"/>
      <c r="K19" s="85" t="s">
        <v>65</v>
      </c>
      <c r="L19" s="85" t="s">
        <v>46</v>
      </c>
      <c r="M19" s="85" t="s">
        <v>69</v>
      </c>
      <c r="N19" s="86" t="s">
        <v>65</v>
      </c>
      <c r="O19" s="86" t="s">
        <v>46</v>
      </c>
      <c r="P19" s="86" t="s">
        <v>69</v>
      </c>
      <c r="Q19" s="21"/>
      <c r="R19" s="138"/>
      <c r="S19" s="139"/>
      <c r="T19" s="55"/>
      <c r="U19" s="49"/>
      <c r="V19" s="140"/>
      <c r="W19" s="39"/>
      <c r="X19" s="141"/>
      <c r="Y19" s="142"/>
      <c r="Z19" s="21"/>
      <c r="AA19" s="21"/>
      <c r="AB19" s="21"/>
    </row>
    <row r="20" ht="20.25" customHeight="1">
      <c r="A20" s="53"/>
      <c r="B20" s="54"/>
      <c r="C20" s="55"/>
      <c r="D20" s="56"/>
      <c r="E20" s="57"/>
      <c r="F20" s="54"/>
      <c r="G20" s="56"/>
      <c r="H20" s="83">
        <f t="shared" si="11"/>
        <v>0</v>
      </c>
      <c r="I20" s="27"/>
      <c r="J20" s="54"/>
      <c r="K20" s="87"/>
      <c r="L20" s="88">
        <f t="shared" ref="L20:L26" si="12">sumifs($X:$X,$S:$S,$L$18,$U:$U,J20)</f>
        <v>0</v>
      </c>
      <c r="M20" s="88">
        <f t="shared" ref="M20:M27" si="13">K20-L20</f>
        <v>0</v>
      </c>
      <c r="N20" s="87"/>
      <c r="O20" s="88">
        <f t="shared" ref="O20:O26" si="14">sumifs($X:$X,$S:$S,$O$18,$U:$U,J20)</f>
        <v>0</v>
      </c>
      <c r="P20" s="88">
        <f t="shared" ref="P20:P27" si="15">N20-O20</f>
        <v>0</v>
      </c>
      <c r="Q20" s="21"/>
      <c r="R20" s="138"/>
      <c r="S20" s="139"/>
      <c r="T20" s="55"/>
      <c r="U20" s="49"/>
      <c r="V20" s="140"/>
      <c r="W20" s="39"/>
      <c r="X20" s="141"/>
      <c r="Y20" s="142"/>
      <c r="Z20" s="21"/>
      <c r="AA20" s="21"/>
      <c r="AB20" s="21"/>
    </row>
    <row r="21" ht="20.25" customHeight="1">
      <c r="A21" s="53"/>
      <c r="B21" s="54"/>
      <c r="C21" s="55"/>
      <c r="D21" s="56"/>
      <c r="E21" s="57"/>
      <c r="F21" s="54"/>
      <c r="G21" s="56"/>
      <c r="H21" s="83">
        <f t="shared" si="11"/>
        <v>0</v>
      </c>
      <c r="I21" s="27"/>
      <c r="J21" s="54"/>
      <c r="K21" s="87"/>
      <c r="L21" s="88">
        <f t="shared" si="12"/>
        <v>0</v>
      </c>
      <c r="M21" s="88">
        <f t="shared" si="13"/>
        <v>0</v>
      </c>
      <c r="N21" s="87"/>
      <c r="O21" s="88">
        <f t="shared" si="14"/>
        <v>0</v>
      </c>
      <c r="P21" s="88">
        <f t="shared" si="15"/>
        <v>0</v>
      </c>
      <c r="Q21" s="21"/>
      <c r="R21" s="138"/>
      <c r="S21" s="139"/>
      <c r="T21" s="55"/>
      <c r="U21" s="49"/>
      <c r="V21" s="140"/>
      <c r="W21" s="39"/>
      <c r="X21" s="141"/>
      <c r="Y21" s="142"/>
      <c r="Z21" s="21"/>
      <c r="AA21" s="21"/>
      <c r="AB21" s="21"/>
    </row>
    <row r="22" ht="20.25" customHeight="1">
      <c r="A22" s="53"/>
      <c r="B22" s="54"/>
      <c r="C22" s="55"/>
      <c r="D22" s="56"/>
      <c r="E22" s="57"/>
      <c r="F22" s="54"/>
      <c r="G22" s="56"/>
      <c r="H22" s="83">
        <f t="shared" si="11"/>
        <v>0</v>
      </c>
      <c r="I22" s="27"/>
      <c r="J22" s="54"/>
      <c r="K22" s="87"/>
      <c r="L22" s="88">
        <f t="shared" si="12"/>
        <v>0</v>
      </c>
      <c r="M22" s="88">
        <f t="shared" si="13"/>
        <v>0</v>
      </c>
      <c r="N22" s="87"/>
      <c r="O22" s="88">
        <f t="shared" si="14"/>
        <v>0</v>
      </c>
      <c r="P22" s="88">
        <f t="shared" si="15"/>
        <v>0</v>
      </c>
      <c r="Q22" s="21"/>
      <c r="R22" s="138"/>
      <c r="S22" s="139"/>
      <c r="T22" s="55"/>
      <c r="U22" s="49"/>
      <c r="V22" s="140"/>
      <c r="W22" s="39"/>
      <c r="X22" s="141"/>
      <c r="Y22" s="142"/>
      <c r="Z22" s="21"/>
      <c r="AA22" s="21"/>
      <c r="AB22" s="21"/>
    </row>
    <row r="23" ht="20.25" customHeight="1">
      <c r="A23" s="53"/>
      <c r="B23" s="54"/>
      <c r="C23" s="55"/>
      <c r="D23" s="56"/>
      <c r="E23" s="57"/>
      <c r="F23" s="54"/>
      <c r="G23" s="56"/>
      <c r="H23" s="83">
        <f t="shared" si="11"/>
        <v>0</v>
      </c>
      <c r="I23" s="27"/>
      <c r="J23" s="54"/>
      <c r="K23" s="87"/>
      <c r="L23" s="88">
        <f t="shared" si="12"/>
        <v>0</v>
      </c>
      <c r="M23" s="88">
        <f t="shared" si="13"/>
        <v>0</v>
      </c>
      <c r="N23" s="87"/>
      <c r="O23" s="88">
        <f t="shared" si="14"/>
        <v>0</v>
      </c>
      <c r="P23" s="88">
        <f t="shared" si="15"/>
        <v>0</v>
      </c>
      <c r="Q23" s="21"/>
      <c r="R23" s="138"/>
      <c r="S23" s="139"/>
      <c r="T23" s="55"/>
      <c r="U23" s="49"/>
      <c r="V23" s="140"/>
      <c r="W23" s="39"/>
      <c r="X23" s="141"/>
      <c r="Y23" s="142"/>
      <c r="Z23" s="21"/>
      <c r="AA23" s="21"/>
      <c r="AB23" s="21"/>
    </row>
    <row r="24" ht="20.25" customHeight="1">
      <c r="A24" s="53"/>
      <c r="B24" s="54"/>
      <c r="C24" s="55"/>
      <c r="D24" s="56"/>
      <c r="E24" s="57"/>
      <c r="F24" s="54"/>
      <c r="G24" s="56"/>
      <c r="H24" s="83">
        <f t="shared" si="11"/>
        <v>0</v>
      </c>
      <c r="I24" s="27"/>
      <c r="J24" s="54"/>
      <c r="K24" s="87"/>
      <c r="L24" s="88">
        <f t="shared" si="12"/>
        <v>0</v>
      </c>
      <c r="M24" s="88">
        <f t="shared" si="13"/>
        <v>0</v>
      </c>
      <c r="N24" s="87"/>
      <c r="O24" s="88">
        <f t="shared" si="14"/>
        <v>0</v>
      </c>
      <c r="P24" s="88">
        <f t="shared" si="15"/>
        <v>0</v>
      </c>
      <c r="Q24" s="21"/>
      <c r="R24" s="138"/>
      <c r="S24" s="139"/>
      <c r="T24" s="55"/>
      <c r="U24" s="49"/>
      <c r="V24" s="140"/>
      <c r="W24" s="39"/>
      <c r="X24" s="141"/>
      <c r="Y24" s="142"/>
      <c r="Z24" s="21"/>
      <c r="AA24" s="21"/>
      <c r="AB24" s="21"/>
    </row>
    <row r="25" ht="20.25" customHeight="1">
      <c r="A25" s="53"/>
      <c r="B25" s="54"/>
      <c r="C25" s="55"/>
      <c r="D25" s="56"/>
      <c r="E25" s="57"/>
      <c r="F25" s="54"/>
      <c r="G25" s="56"/>
      <c r="H25" s="83">
        <f t="shared" si="11"/>
        <v>0</v>
      </c>
      <c r="I25" s="27"/>
      <c r="J25" s="54"/>
      <c r="K25" s="87"/>
      <c r="L25" s="88">
        <f t="shared" si="12"/>
        <v>0</v>
      </c>
      <c r="M25" s="88">
        <f t="shared" si="13"/>
        <v>0</v>
      </c>
      <c r="N25" s="87"/>
      <c r="O25" s="88">
        <f t="shared" si="14"/>
        <v>0</v>
      </c>
      <c r="P25" s="88">
        <f t="shared" si="15"/>
        <v>0</v>
      </c>
      <c r="Q25" s="21"/>
      <c r="R25" s="138"/>
      <c r="S25" s="139"/>
      <c r="T25" s="55"/>
      <c r="U25" s="49"/>
      <c r="V25" s="140"/>
      <c r="W25" s="39"/>
      <c r="X25" s="141"/>
      <c r="Y25" s="142"/>
      <c r="Z25" s="21"/>
      <c r="AA25" s="21"/>
      <c r="AB25" s="21"/>
    </row>
    <row r="26" ht="20.25" customHeight="1">
      <c r="A26" s="53"/>
      <c r="B26" s="54"/>
      <c r="C26" s="55"/>
      <c r="D26" s="56"/>
      <c r="E26" s="57"/>
      <c r="F26" s="54"/>
      <c r="G26" s="56"/>
      <c r="H26" s="83">
        <f t="shared" si="11"/>
        <v>0</v>
      </c>
      <c r="I26" s="27"/>
      <c r="J26" s="54"/>
      <c r="K26" s="87"/>
      <c r="L26" s="88">
        <f t="shared" si="12"/>
        <v>0</v>
      </c>
      <c r="M26" s="88">
        <f t="shared" si="13"/>
        <v>0</v>
      </c>
      <c r="N26" s="87"/>
      <c r="O26" s="88">
        <f t="shared" si="14"/>
        <v>0</v>
      </c>
      <c r="P26" s="88">
        <f t="shared" si="15"/>
        <v>0</v>
      </c>
      <c r="Q26" s="21"/>
      <c r="R26" s="138"/>
      <c r="S26" s="139"/>
      <c r="T26" s="55"/>
      <c r="U26" s="49"/>
      <c r="V26" s="140"/>
      <c r="W26" s="39"/>
      <c r="X26" s="141"/>
      <c r="Y26" s="142"/>
      <c r="Z26" s="21"/>
      <c r="AA26" s="21"/>
      <c r="AB26" s="21"/>
    </row>
    <row r="27" ht="20.25" customHeight="1">
      <c r="A27" s="53"/>
      <c r="B27" s="54"/>
      <c r="C27" s="55"/>
      <c r="D27" s="56"/>
      <c r="E27" s="57"/>
      <c r="F27" s="54"/>
      <c r="G27" s="56"/>
      <c r="H27" s="83">
        <f t="shared" si="11"/>
        <v>0</v>
      </c>
      <c r="I27" s="27"/>
      <c r="J27" s="89" t="s">
        <v>83</v>
      </c>
      <c r="K27" s="88">
        <f t="shared" ref="K27:L27" si="16">SUM(K20:K26)</f>
        <v>0</v>
      </c>
      <c r="L27" s="88">
        <f t="shared" si="16"/>
        <v>0</v>
      </c>
      <c r="M27" s="88">
        <f t="shared" si="13"/>
        <v>0</v>
      </c>
      <c r="N27" s="88">
        <f t="shared" ref="N27:O27" si="17">SUM(N20:N26)</f>
        <v>0</v>
      </c>
      <c r="O27" s="88">
        <f t="shared" si="17"/>
        <v>0</v>
      </c>
      <c r="P27" s="88">
        <f t="shared" si="15"/>
        <v>0</v>
      </c>
      <c r="Q27" s="21"/>
      <c r="R27" s="138"/>
      <c r="S27" s="139"/>
      <c r="T27" s="55"/>
      <c r="U27" s="49"/>
      <c r="V27" s="140"/>
      <c r="W27" s="39"/>
      <c r="X27" s="141"/>
      <c r="Y27" s="142"/>
      <c r="Z27" s="21"/>
      <c r="AA27" s="21"/>
      <c r="AB27" s="21"/>
    </row>
    <row r="28" ht="20.25" customHeight="1">
      <c r="A28" s="53"/>
      <c r="B28" s="54"/>
      <c r="C28" s="55"/>
      <c r="D28" s="67"/>
      <c r="E28" s="57"/>
      <c r="F28" s="54"/>
      <c r="G28" s="56"/>
      <c r="H28" s="83">
        <f t="shared" si="11"/>
        <v>0</v>
      </c>
      <c r="I28" s="27"/>
      <c r="J28" s="90"/>
      <c r="K28" s="91"/>
      <c r="L28" s="92"/>
      <c r="M28" s="92"/>
      <c r="N28" s="92"/>
      <c r="O28" s="93"/>
      <c r="P28" s="94"/>
      <c r="Q28" s="21"/>
      <c r="R28" s="138"/>
      <c r="S28" s="139"/>
      <c r="T28" s="55"/>
      <c r="U28" s="49"/>
      <c r="V28" s="140"/>
      <c r="W28" s="39"/>
      <c r="X28" s="141"/>
      <c r="Y28" s="142"/>
      <c r="Z28" s="21"/>
      <c r="AA28" s="21"/>
      <c r="AB28" s="21"/>
    </row>
    <row r="29" ht="20.25" customHeight="1">
      <c r="A29" s="53"/>
      <c r="B29" s="54"/>
      <c r="C29" s="55"/>
      <c r="D29" s="67"/>
      <c r="E29" s="57"/>
      <c r="F29" s="54"/>
      <c r="G29" s="56"/>
      <c r="H29" s="83">
        <f t="shared" si="11"/>
        <v>0</v>
      </c>
      <c r="I29" s="27"/>
      <c r="J29" s="95" t="s">
        <v>66</v>
      </c>
      <c r="K29" s="80"/>
      <c r="L29" s="81" t="s">
        <v>84</v>
      </c>
      <c r="M29" s="82"/>
      <c r="N29" s="80"/>
      <c r="O29" s="81" t="s">
        <v>85</v>
      </c>
      <c r="P29" s="82"/>
      <c r="Q29" s="21"/>
      <c r="R29" s="138"/>
      <c r="S29" s="139"/>
      <c r="T29" s="55"/>
      <c r="U29" s="49"/>
      <c r="V29" s="140"/>
      <c r="W29" s="39"/>
      <c r="X29" s="141"/>
      <c r="Y29" s="142"/>
      <c r="Z29" s="21"/>
      <c r="AA29" s="21"/>
      <c r="AB29" s="21"/>
    </row>
    <row r="30" ht="20.25" customHeight="1">
      <c r="A30" s="53"/>
      <c r="B30" s="54"/>
      <c r="C30" s="55"/>
      <c r="D30" s="67"/>
      <c r="E30" s="57"/>
      <c r="F30" s="54"/>
      <c r="G30" s="56"/>
      <c r="H30" s="83">
        <f t="shared" si="11"/>
        <v>0</v>
      </c>
      <c r="I30" s="27"/>
      <c r="J30" s="96"/>
      <c r="K30" s="86" t="s">
        <v>65</v>
      </c>
      <c r="L30" s="86" t="s">
        <v>46</v>
      </c>
      <c r="M30" s="86" t="s">
        <v>69</v>
      </c>
      <c r="N30" s="86" t="s">
        <v>65</v>
      </c>
      <c r="O30" s="86" t="s">
        <v>46</v>
      </c>
      <c r="P30" s="86" t="s">
        <v>69</v>
      </c>
      <c r="Q30" s="21"/>
      <c r="R30" s="138"/>
      <c r="S30" s="143"/>
      <c r="T30" s="55"/>
      <c r="U30" s="49"/>
      <c r="V30" s="140"/>
      <c r="W30" s="39"/>
      <c r="X30" s="141"/>
      <c r="Y30" s="142"/>
      <c r="Z30" s="21"/>
      <c r="AA30" s="21"/>
      <c r="AB30" s="21"/>
    </row>
    <row r="31" ht="20.25" customHeight="1">
      <c r="A31" s="69"/>
      <c r="B31" s="70" t="s">
        <v>60</v>
      </c>
      <c r="C31" s="98"/>
      <c r="D31" s="72">
        <f>SUM(D19:D30)</f>
        <v>0</v>
      </c>
      <c r="E31" s="57"/>
      <c r="F31" s="70" t="s">
        <v>60</v>
      </c>
      <c r="G31" s="72">
        <f t="shared" ref="G31:H31" si="18">SUM(G19:G30)</f>
        <v>0</v>
      </c>
      <c r="H31" s="72">
        <f t="shared" si="18"/>
        <v>0</v>
      </c>
      <c r="I31" s="27"/>
      <c r="J31" s="54"/>
      <c r="K31" s="56"/>
      <c r="L31" s="88">
        <f t="shared" ref="L31:L37" si="19">sumifs($X:$X,$S:$S,$L$29,$U:$U,J31)</f>
        <v>0</v>
      </c>
      <c r="M31" s="88">
        <f t="shared" ref="M31:M38" si="20">K31-L31</f>
        <v>0</v>
      </c>
      <c r="N31" s="56"/>
      <c r="O31" s="88">
        <f t="shared" ref="O31:O37" si="21">sumifs($X:$X,$S:$S,$O$29,$U:$U,J31)</f>
        <v>0</v>
      </c>
      <c r="P31" s="88">
        <f t="shared" ref="P31:P38" si="22">N31-O31</f>
        <v>0</v>
      </c>
      <c r="Q31" s="21"/>
      <c r="R31" s="138"/>
      <c r="S31" s="143"/>
      <c r="T31" s="55"/>
      <c r="U31" s="49"/>
      <c r="V31" s="140"/>
      <c r="W31" s="39"/>
      <c r="X31" s="141"/>
      <c r="Y31" s="142"/>
      <c r="Z31" s="21"/>
      <c r="AA31" s="21"/>
      <c r="AB31" s="21"/>
    </row>
    <row r="32" ht="20.25" customHeight="1">
      <c r="A32" s="20"/>
      <c r="B32" s="24"/>
      <c r="C32" s="32"/>
      <c r="D32" s="32"/>
      <c r="E32" s="32"/>
      <c r="F32" s="32"/>
      <c r="G32" s="24"/>
      <c r="H32" s="24"/>
      <c r="I32" s="27"/>
      <c r="J32" s="54"/>
      <c r="K32" s="56"/>
      <c r="L32" s="88">
        <f t="shared" si="19"/>
        <v>0</v>
      </c>
      <c r="M32" s="88">
        <f t="shared" si="20"/>
        <v>0</v>
      </c>
      <c r="N32" s="56"/>
      <c r="O32" s="88">
        <f t="shared" si="21"/>
        <v>0</v>
      </c>
      <c r="P32" s="88">
        <f t="shared" si="22"/>
        <v>0</v>
      </c>
      <c r="Q32" s="21"/>
      <c r="R32" s="138"/>
      <c r="S32" s="143"/>
      <c r="T32" s="55"/>
      <c r="U32" s="49"/>
      <c r="V32" s="140"/>
      <c r="W32" s="39"/>
      <c r="X32" s="141"/>
      <c r="Y32" s="142"/>
      <c r="Z32" s="21"/>
      <c r="AA32" s="21"/>
      <c r="AB32" s="21"/>
    </row>
    <row r="33" ht="20.25" customHeight="1">
      <c r="A33" s="28"/>
      <c r="B33" s="99" t="s">
        <v>86</v>
      </c>
      <c r="C33" s="30"/>
      <c r="D33" s="31"/>
      <c r="E33" s="32"/>
      <c r="F33" s="29" t="s">
        <v>87</v>
      </c>
      <c r="G33" s="31"/>
      <c r="H33" s="100" t="s">
        <v>46</v>
      </c>
      <c r="I33" s="101"/>
      <c r="J33" s="54"/>
      <c r="K33" s="56"/>
      <c r="L33" s="88">
        <f t="shared" si="19"/>
        <v>0</v>
      </c>
      <c r="M33" s="88">
        <f t="shared" si="20"/>
        <v>0</v>
      </c>
      <c r="N33" s="56"/>
      <c r="O33" s="88">
        <f t="shared" si="21"/>
        <v>0</v>
      </c>
      <c r="P33" s="88">
        <f t="shared" si="22"/>
        <v>0</v>
      </c>
      <c r="Q33" s="21"/>
      <c r="R33" s="138"/>
      <c r="S33" s="143"/>
      <c r="T33" s="55"/>
      <c r="U33" s="49"/>
      <c r="V33" s="140"/>
      <c r="W33" s="39"/>
      <c r="X33" s="141"/>
      <c r="Y33" s="142"/>
      <c r="Z33" s="21"/>
      <c r="AA33" s="21"/>
      <c r="AB33" s="21"/>
    </row>
    <row r="34" ht="20.25" customHeight="1">
      <c r="A34" s="40"/>
      <c r="B34" s="41" t="s">
        <v>44</v>
      </c>
      <c r="C34" s="41" t="s">
        <v>43</v>
      </c>
      <c r="D34" s="41" t="s">
        <v>46</v>
      </c>
      <c r="E34" s="57"/>
      <c r="F34" s="102" t="s">
        <v>88</v>
      </c>
      <c r="G34" s="31"/>
      <c r="H34" s="103">
        <f>D14</f>
        <v>0</v>
      </c>
      <c r="I34" s="104"/>
      <c r="J34" s="54"/>
      <c r="K34" s="56"/>
      <c r="L34" s="88">
        <f t="shared" si="19"/>
        <v>0</v>
      </c>
      <c r="M34" s="88">
        <f t="shared" si="20"/>
        <v>0</v>
      </c>
      <c r="N34" s="56"/>
      <c r="O34" s="88">
        <f t="shared" si="21"/>
        <v>0</v>
      </c>
      <c r="P34" s="88">
        <f t="shared" si="22"/>
        <v>0</v>
      </c>
      <c r="Q34" s="21"/>
      <c r="R34" s="138"/>
      <c r="S34" s="143"/>
      <c r="T34" s="55"/>
      <c r="U34" s="49"/>
      <c r="V34" s="140"/>
      <c r="W34" s="39"/>
      <c r="X34" s="141"/>
      <c r="Y34" s="142"/>
      <c r="Z34" s="21"/>
      <c r="AA34" s="21"/>
      <c r="AB34" s="21"/>
    </row>
    <row r="35" ht="20.25" customHeight="1">
      <c r="A35" s="19"/>
      <c r="B35" s="54"/>
      <c r="C35" s="55"/>
      <c r="D35" s="56"/>
      <c r="E35" s="57"/>
      <c r="F35" s="102" t="s">
        <v>90</v>
      </c>
      <c r="G35" s="31"/>
      <c r="H35" s="103">
        <f>H14</f>
        <v>0</v>
      </c>
      <c r="I35" s="104"/>
      <c r="J35" s="54"/>
      <c r="K35" s="56"/>
      <c r="L35" s="88">
        <f t="shared" si="19"/>
        <v>0</v>
      </c>
      <c r="M35" s="88">
        <f t="shared" si="20"/>
        <v>0</v>
      </c>
      <c r="N35" s="56"/>
      <c r="O35" s="88">
        <f t="shared" si="21"/>
        <v>0</v>
      </c>
      <c r="P35" s="88">
        <f t="shared" si="22"/>
        <v>0</v>
      </c>
      <c r="Q35" s="21"/>
      <c r="R35" s="138"/>
      <c r="S35" s="143"/>
      <c r="T35" s="55"/>
      <c r="U35" s="49"/>
      <c r="V35" s="140"/>
      <c r="W35" s="39"/>
      <c r="X35" s="141"/>
      <c r="Y35" s="142"/>
      <c r="Z35" s="21"/>
      <c r="AA35" s="21"/>
      <c r="AB35" s="21"/>
    </row>
    <row r="36" ht="20.25" customHeight="1">
      <c r="A36" s="19"/>
      <c r="B36" s="54"/>
      <c r="C36" s="55"/>
      <c r="D36" s="59"/>
      <c r="E36" s="57"/>
      <c r="F36" s="102" t="s">
        <v>91</v>
      </c>
      <c r="G36" s="31"/>
      <c r="H36" s="103">
        <f>D31+H31</f>
        <v>0</v>
      </c>
      <c r="I36" s="105"/>
      <c r="J36" s="54"/>
      <c r="K36" s="56"/>
      <c r="L36" s="88">
        <f t="shared" si="19"/>
        <v>0</v>
      </c>
      <c r="M36" s="88">
        <f t="shared" si="20"/>
        <v>0</v>
      </c>
      <c r="N36" s="56"/>
      <c r="O36" s="88">
        <f t="shared" si="21"/>
        <v>0</v>
      </c>
      <c r="P36" s="88">
        <f t="shared" si="22"/>
        <v>0</v>
      </c>
      <c r="Q36" s="21"/>
      <c r="R36" s="138"/>
      <c r="S36" s="143"/>
      <c r="T36" s="55"/>
      <c r="U36" s="49"/>
      <c r="V36" s="140"/>
      <c r="W36" s="39"/>
      <c r="X36" s="141"/>
      <c r="Y36" s="142"/>
      <c r="Z36" s="21"/>
      <c r="AA36" s="21"/>
      <c r="AB36" s="21"/>
    </row>
    <row r="37" ht="20.25" customHeight="1">
      <c r="A37" s="19"/>
      <c r="B37" s="54"/>
      <c r="C37" s="55"/>
      <c r="D37" s="59"/>
      <c r="E37" s="57"/>
      <c r="F37" s="102" t="s">
        <v>92</v>
      </c>
      <c r="G37" s="31"/>
      <c r="H37" s="103">
        <f>H34-H35-H36</f>
        <v>0</v>
      </c>
      <c r="I37" s="104"/>
      <c r="J37" s="54"/>
      <c r="K37" s="56"/>
      <c r="L37" s="88">
        <f t="shared" si="19"/>
        <v>0</v>
      </c>
      <c r="M37" s="88">
        <f t="shared" si="20"/>
        <v>0</v>
      </c>
      <c r="N37" s="56"/>
      <c r="O37" s="88">
        <f t="shared" si="21"/>
        <v>0</v>
      </c>
      <c r="P37" s="88">
        <f t="shared" si="22"/>
        <v>0</v>
      </c>
      <c r="Q37" s="21"/>
      <c r="R37" s="138"/>
      <c r="S37" s="143"/>
      <c r="T37" s="55"/>
      <c r="U37" s="49"/>
      <c r="V37" s="140"/>
      <c r="W37" s="39"/>
      <c r="X37" s="141"/>
      <c r="Y37" s="142"/>
      <c r="Z37" s="21"/>
      <c r="AA37" s="21"/>
      <c r="AB37" s="21"/>
    </row>
    <row r="38" ht="20.25" customHeight="1">
      <c r="A38" s="106"/>
      <c r="B38" s="54"/>
      <c r="C38" s="55"/>
      <c r="D38" s="59"/>
      <c r="E38" s="57"/>
      <c r="F38" s="102" t="s">
        <v>93</v>
      </c>
      <c r="G38" s="31"/>
      <c r="H38" s="103">
        <f>H35+H37</f>
        <v>0</v>
      </c>
      <c r="I38" s="107"/>
      <c r="J38" s="89" t="s">
        <v>83</v>
      </c>
      <c r="K38" s="88">
        <f t="shared" ref="K38:L38" si="23">SUM(K31:K37)</f>
        <v>0</v>
      </c>
      <c r="L38" s="88">
        <f t="shared" si="23"/>
        <v>0</v>
      </c>
      <c r="M38" s="88">
        <f t="shared" si="20"/>
        <v>0</v>
      </c>
      <c r="N38" s="88">
        <f t="shared" ref="N38:O38" si="24">SUM(N31:N37)</f>
        <v>0</v>
      </c>
      <c r="O38" s="88">
        <f t="shared" si="24"/>
        <v>0</v>
      </c>
      <c r="P38" s="88">
        <f t="shared" si="22"/>
        <v>0</v>
      </c>
      <c r="Q38" s="21"/>
      <c r="R38" s="138"/>
      <c r="S38" s="143"/>
      <c r="T38" s="55"/>
      <c r="U38" s="49"/>
      <c r="V38" s="140"/>
      <c r="W38" s="39"/>
      <c r="X38" s="141"/>
      <c r="Y38" s="142"/>
      <c r="Z38" s="21"/>
      <c r="AA38" s="21"/>
      <c r="AB38" s="21"/>
    </row>
    <row r="39" ht="20.25" customHeight="1">
      <c r="A39" s="106"/>
      <c r="B39" s="54"/>
      <c r="C39" s="55"/>
      <c r="D39" s="66"/>
      <c r="E39" s="32"/>
      <c r="F39" s="32"/>
      <c r="G39" s="108"/>
      <c r="H39" s="108"/>
      <c r="I39" s="27"/>
      <c r="J39" s="90"/>
      <c r="K39" s="57"/>
      <c r="L39" s="92"/>
      <c r="M39" s="92"/>
      <c r="N39" s="92"/>
      <c r="O39" s="93"/>
      <c r="P39" s="94"/>
      <c r="Q39" s="21"/>
      <c r="R39" s="138"/>
      <c r="S39" s="143"/>
      <c r="T39" s="55"/>
      <c r="U39" s="49"/>
      <c r="V39" s="140"/>
      <c r="W39" s="39"/>
      <c r="X39" s="141"/>
      <c r="Y39" s="142"/>
      <c r="Z39" s="21"/>
      <c r="AA39" s="21"/>
      <c r="AB39" s="21"/>
    </row>
    <row r="40" ht="20.25" customHeight="1">
      <c r="A40" s="69"/>
      <c r="B40" s="109"/>
      <c r="C40" s="55"/>
      <c r="D40" s="110"/>
      <c r="E40" s="32"/>
      <c r="F40" s="111" t="s">
        <v>119</v>
      </c>
      <c r="G40" s="112" t="s">
        <v>120</v>
      </c>
      <c r="H40" s="113"/>
      <c r="I40" s="27"/>
      <c r="J40" s="95" t="s">
        <v>66</v>
      </c>
      <c r="K40" s="80"/>
      <c r="L40" s="81" t="s">
        <v>96</v>
      </c>
      <c r="M40" s="82"/>
      <c r="N40" s="80"/>
      <c r="O40" s="81" t="s">
        <v>83</v>
      </c>
      <c r="P40" s="82"/>
      <c r="Q40" s="21"/>
      <c r="R40" s="138"/>
      <c r="S40" s="143"/>
      <c r="T40" s="55"/>
      <c r="U40" s="49"/>
      <c r="V40" s="140"/>
      <c r="W40" s="39"/>
      <c r="X40" s="141"/>
      <c r="Y40" s="142"/>
      <c r="Z40" s="21"/>
      <c r="AA40" s="21"/>
      <c r="AB40" s="21"/>
    </row>
    <row r="41" ht="20.25" customHeight="1">
      <c r="B41" s="114"/>
      <c r="C41" s="55"/>
      <c r="D41" s="110"/>
      <c r="E41" s="32"/>
      <c r="F41" s="115" t="str">
        <f>H36/H34</f>
        <v>#DIV/0!</v>
      </c>
      <c r="G41" s="116" t="str">
        <f>H38/H34</f>
        <v>#DIV/0!</v>
      </c>
      <c r="H41" s="117"/>
      <c r="I41" s="27"/>
      <c r="J41" s="96"/>
      <c r="K41" s="86" t="s">
        <v>65</v>
      </c>
      <c r="L41" s="86" t="s">
        <v>46</v>
      </c>
      <c r="M41" s="86" t="s">
        <v>69</v>
      </c>
      <c r="N41" s="86" t="s">
        <v>65</v>
      </c>
      <c r="O41" s="86" t="s">
        <v>46</v>
      </c>
      <c r="P41" s="86" t="s">
        <v>69</v>
      </c>
      <c r="Q41" s="21"/>
      <c r="R41" s="138"/>
      <c r="S41" s="143"/>
      <c r="T41" s="55"/>
      <c r="U41" s="49"/>
      <c r="V41" s="140"/>
      <c r="W41" s="39"/>
      <c r="X41" s="141"/>
      <c r="Y41" s="142"/>
      <c r="Z41" s="21"/>
      <c r="AA41" s="21"/>
      <c r="AB41" s="21"/>
    </row>
    <row r="42" ht="20.25" customHeight="1">
      <c r="B42" s="118" t="s">
        <v>60</v>
      </c>
      <c r="C42" s="119"/>
      <c r="D42" s="119">
        <f>SUM(D35:D41)</f>
        <v>0</v>
      </c>
      <c r="E42" s="32"/>
      <c r="F42" s="120"/>
      <c r="G42" s="121"/>
      <c r="H42" s="122"/>
      <c r="I42" s="27"/>
      <c r="J42" s="54"/>
      <c r="K42" s="56"/>
      <c r="L42" s="88">
        <f t="shared" ref="L42:L48" si="26">sumifs($X:$X,$S:$S,$L$40,$U:$U,J42)</f>
        <v>0</v>
      </c>
      <c r="M42" s="88">
        <f t="shared" ref="M42:M49" si="27">K42-L42</f>
        <v>0</v>
      </c>
      <c r="N42" s="83">
        <f t="shared" ref="N42:O42" si="25">K20+N20+K31+N31+K42</f>
        <v>0</v>
      </c>
      <c r="O42" s="83">
        <f t="shared" si="25"/>
        <v>0</v>
      </c>
      <c r="P42" s="88">
        <f t="shared" ref="P42:P49" si="29">N42-O42</f>
        <v>0</v>
      </c>
      <c r="Q42" s="21"/>
      <c r="R42" s="138"/>
      <c r="S42" s="143"/>
      <c r="T42" s="55"/>
      <c r="U42" s="49"/>
      <c r="V42" s="140"/>
      <c r="W42" s="39"/>
      <c r="X42" s="141"/>
      <c r="Y42" s="142"/>
      <c r="Z42" s="21"/>
      <c r="AA42" s="21"/>
      <c r="AB42" s="21"/>
    </row>
    <row r="43" ht="20.25" customHeight="1">
      <c r="A43" s="69"/>
      <c r="B43" s="123"/>
      <c r="C43" s="124"/>
      <c r="D43" s="124" t="s">
        <v>97</v>
      </c>
      <c r="E43" s="25"/>
      <c r="F43" s="125" t="s">
        <v>98</v>
      </c>
      <c r="G43" s="125"/>
      <c r="H43" s="125" t="s">
        <v>99</v>
      </c>
      <c r="I43" s="27"/>
      <c r="J43" s="54"/>
      <c r="K43" s="56"/>
      <c r="L43" s="88">
        <f t="shared" si="26"/>
        <v>0</v>
      </c>
      <c r="M43" s="88">
        <f t="shared" si="27"/>
        <v>0</v>
      </c>
      <c r="N43" s="83">
        <f t="shared" ref="N43:O43" si="28">K21+N21+K32+N32+K43</f>
        <v>0</v>
      </c>
      <c r="O43" s="83">
        <f t="shared" si="28"/>
        <v>0</v>
      </c>
      <c r="P43" s="88">
        <f t="shared" si="29"/>
        <v>0</v>
      </c>
      <c r="Q43" s="21"/>
      <c r="R43" s="138"/>
      <c r="S43" s="143"/>
      <c r="T43" s="55"/>
      <c r="U43" s="49"/>
      <c r="V43" s="140"/>
      <c r="W43" s="39"/>
      <c r="X43" s="141"/>
      <c r="Y43" s="142"/>
      <c r="Z43" s="21"/>
      <c r="AA43" s="21"/>
      <c r="AB43" s="21"/>
    </row>
    <row r="44" ht="20.25" customHeight="1">
      <c r="A44" s="69"/>
      <c r="B44" s="112" t="s">
        <v>100</v>
      </c>
      <c r="C44" s="126"/>
      <c r="D44" s="126"/>
      <c r="E44" s="126"/>
      <c r="F44" s="126"/>
      <c r="G44" s="126"/>
      <c r="H44" s="113"/>
      <c r="I44" s="27"/>
      <c r="J44" s="54"/>
      <c r="K44" s="56"/>
      <c r="L44" s="88">
        <f t="shared" si="26"/>
        <v>0</v>
      </c>
      <c r="M44" s="88">
        <f t="shared" si="27"/>
        <v>0</v>
      </c>
      <c r="N44" s="83">
        <f t="shared" ref="N44:O44" si="30">K22+N22+K33+N33+K44</f>
        <v>0</v>
      </c>
      <c r="O44" s="83">
        <f t="shared" si="30"/>
        <v>0</v>
      </c>
      <c r="P44" s="88">
        <f t="shared" si="29"/>
        <v>0</v>
      </c>
      <c r="Q44" s="21"/>
      <c r="R44" s="138"/>
      <c r="S44" s="143"/>
      <c r="T44" s="55"/>
      <c r="U44" s="49"/>
      <c r="V44" s="140"/>
      <c r="W44" s="39"/>
      <c r="X44" s="141"/>
      <c r="Y44" s="142"/>
      <c r="Z44" s="21"/>
      <c r="AA44" s="21"/>
      <c r="AB44" s="21"/>
    </row>
    <row r="45" ht="20.25" customHeight="1">
      <c r="A45" s="20"/>
      <c r="B45" s="127"/>
      <c r="C45" s="128"/>
      <c r="D45" s="128"/>
      <c r="E45" s="128"/>
      <c r="F45" s="128"/>
      <c r="G45" s="128"/>
      <c r="H45" s="117"/>
      <c r="I45" s="27"/>
      <c r="J45" s="54"/>
      <c r="K45" s="56"/>
      <c r="L45" s="88">
        <f t="shared" si="26"/>
        <v>0</v>
      </c>
      <c r="M45" s="88">
        <f t="shared" si="27"/>
        <v>0</v>
      </c>
      <c r="N45" s="83">
        <f t="shared" ref="N45:O45" si="31">K23+N23+K34+N34+K45</f>
        <v>0</v>
      </c>
      <c r="O45" s="83">
        <f t="shared" si="31"/>
        <v>0</v>
      </c>
      <c r="P45" s="88">
        <f t="shared" si="29"/>
        <v>0</v>
      </c>
      <c r="Q45" s="21"/>
      <c r="R45" s="138"/>
      <c r="S45" s="143"/>
      <c r="T45" s="55"/>
      <c r="U45" s="49"/>
      <c r="V45" s="140"/>
      <c r="W45" s="39"/>
      <c r="X45" s="141"/>
      <c r="Y45" s="142"/>
      <c r="Z45" s="21"/>
      <c r="AA45" s="21"/>
      <c r="AB45" s="21"/>
    </row>
    <row r="46" ht="20.25" customHeight="1">
      <c r="A46" s="20"/>
      <c r="B46" s="129"/>
      <c r="H46" s="130"/>
      <c r="I46" s="27"/>
      <c r="J46" s="54"/>
      <c r="K46" s="56"/>
      <c r="L46" s="88">
        <f t="shared" si="26"/>
        <v>0</v>
      </c>
      <c r="M46" s="88">
        <f t="shared" si="27"/>
        <v>0</v>
      </c>
      <c r="N46" s="83">
        <f t="shared" ref="N46:O46" si="32">K24+N24+K35+N35+K46</f>
        <v>0</v>
      </c>
      <c r="O46" s="83">
        <f t="shared" si="32"/>
        <v>0</v>
      </c>
      <c r="P46" s="88">
        <f t="shared" si="29"/>
        <v>0</v>
      </c>
      <c r="Q46" s="21"/>
      <c r="R46" s="138"/>
      <c r="S46" s="143"/>
      <c r="T46" s="55"/>
      <c r="U46" s="49"/>
      <c r="V46" s="140"/>
      <c r="W46" s="39"/>
      <c r="X46" s="141"/>
      <c r="Y46" s="142"/>
      <c r="Z46" s="21"/>
      <c r="AA46" s="21"/>
      <c r="AB46" s="21"/>
    </row>
    <row r="47" ht="20.25" customHeight="1">
      <c r="A47" s="20"/>
      <c r="B47" s="129"/>
      <c r="H47" s="130"/>
      <c r="I47" s="27"/>
      <c r="J47" s="54"/>
      <c r="K47" s="56"/>
      <c r="L47" s="88">
        <f t="shared" si="26"/>
        <v>0</v>
      </c>
      <c r="M47" s="88">
        <f t="shared" si="27"/>
        <v>0</v>
      </c>
      <c r="N47" s="83">
        <f t="shared" ref="N47:O47" si="33">K25+N25+K36+N36+K47</f>
        <v>0</v>
      </c>
      <c r="O47" s="83">
        <f t="shared" si="33"/>
        <v>0</v>
      </c>
      <c r="P47" s="88">
        <f t="shared" si="29"/>
        <v>0</v>
      </c>
      <c r="Q47" s="21"/>
      <c r="R47" s="138"/>
      <c r="S47" s="143"/>
      <c r="T47" s="55"/>
      <c r="U47" s="49"/>
      <c r="V47" s="140"/>
      <c r="W47" s="39"/>
      <c r="X47" s="141"/>
      <c r="Y47" s="142"/>
      <c r="Z47" s="21"/>
      <c r="AA47" s="21"/>
      <c r="AB47" s="21"/>
    </row>
    <row r="48" ht="20.25" customHeight="1">
      <c r="A48" s="20"/>
      <c r="B48" s="129"/>
      <c r="H48" s="130"/>
      <c r="I48" s="27"/>
      <c r="J48" s="54"/>
      <c r="K48" s="56"/>
      <c r="L48" s="88">
        <f t="shared" si="26"/>
        <v>0</v>
      </c>
      <c r="M48" s="88">
        <f t="shared" si="27"/>
        <v>0</v>
      </c>
      <c r="N48" s="83">
        <f t="shared" ref="N48:O48" si="34">K26+N26+K37+N37+K48</f>
        <v>0</v>
      </c>
      <c r="O48" s="83">
        <f t="shared" si="34"/>
        <v>0</v>
      </c>
      <c r="P48" s="88">
        <f t="shared" si="29"/>
        <v>0</v>
      </c>
      <c r="Q48" s="21"/>
      <c r="R48" s="138"/>
      <c r="S48" s="143"/>
      <c r="T48" s="55"/>
      <c r="U48" s="49"/>
      <c r="V48" s="140"/>
      <c r="W48" s="39"/>
      <c r="X48" s="141"/>
      <c r="Y48" s="142"/>
      <c r="Z48" s="21"/>
      <c r="AA48" s="21"/>
      <c r="AB48" s="21"/>
    </row>
    <row r="49" ht="20.25" customHeight="1">
      <c r="A49" s="20"/>
      <c r="B49" s="121"/>
      <c r="C49" s="131"/>
      <c r="D49" s="131"/>
      <c r="E49" s="131"/>
      <c r="F49" s="131"/>
      <c r="G49" s="131"/>
      <c r="H49" s="122"/>
      <c r="I49" s="27"/>
      <c r="J49" s="89" t="s">
        <v>83</v>
      </c>
      <c r="K49" s="88">
        <f t="shared" ref="K49:L49" si="35">SUM(K42:K48)</f>
        <v>0</v>
      </c>
      <c r="L49" s="88">
        <f t="shared" si="35"/>
        <v>0</v>
      </c>
      <c r="M49" s="88">
        <f t="shared" si="27"/>
        <v>0</v>
      </c>
      <c r="N49" s="88">
        <f t="shared" ref="N49:O49" si="36">SUM(N42:N48)</f>
        <v>0</v>
      </c>
      <c r="O49" s="88">
        <f t="shared" si="36"/>
        <v>0</v>
      </c>
      <c r="P49" s="88">
        <f t="shared" si="29"/>
        <v>0</v>
      </c>
      <c r="Q49" s="21"/>
      <c r="R49" s="138"/>
      <c r="S49" s="143"/>
      <c r="T49" s="55"/>
      <c r="U49" s="49"/>
      <c r="V49" s="140"/>
      <c r="W49" s="39"/>
      <c r="X49" s="141"/>
      <c r="Y49" s="142"/>
      <c r="Z49" s="21"/>
      <c r="AA49" s="21"/>
      <c r="AB49" s="21"/>
    </row>
    <row r="50" ht="6.75" customHeight="1">
      <c r="A50" s="20"/>
      <c r="E50" s="25"/>
      <c r="F50" s="132"/>
      <c r="G50" s="125"/>
      <c r="H50" s="125"/>
      <c r="I50" s="27"/>
      <c r="J50" s="133"/>
      <c r="K50" s="19"/>
      <c r="L50" s="78"/>
      <c r="M50" s="78"/>
      <c r="N50" s="78"/>
      <c r="O50" s="134"/>
      <c r="P50" s="94"/>
      <c r="Q50" s="21"/>
      <c r="R50" s="135"/>
      <c r="S50" s="135"/>
      <c r="T50" s="135"/>
      <c r="U50" s="137"/>
      <c r="V50" s="135"/>
      <c r="W50" s="135"/>
      <c r="X50" s="135"/>
      <c r="Y50" s="135"/>
      <c r="Z50" s="21"/>
      <c r="AA50" s="21"/>
      <c r="AB50" s="21"/>
    </row>
    <row r="51" hidden="1">
      <c r="F51" s="19"/>
      <c r="G51" s="106"/>
      <c r="H51" s="10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</row>
  </sheetData>
  <mergeCells count="67">
    <mergeCell ref="V32:W32"/>
    <mergeCell ref="V37:W37"/>
    <mergeCell ref="G40:H40"/>
    <mergeCell ref="J40:J41"/>
    <mergeCell ref="F41:F42"/>
    <mergeCell ref="G41:H42"/>
    <mergeCell ref="B44:H44"/>
    <mergeCell ref="B45:H49"/>
    <mergeCell ref="B33:D33"/>
    <mergeCell ref="F33:G33"/>
    <mergeCell ref="F34:G34"/>
    <mergeCell ref="F35:G35"/>
    <mergeCell ref="F36:G36"/>
    <mergeCell ref="F37:G37"/>
    <mergeCell ref="F38:G38"/>
    <mergeCell ref="V44:W44"/>
    <mergeCell ref="V45:W45"/>
    <mergeCell ref="V46:W46"/>
    <mergeCell ref="V47:W47"/>
    <mergeCell ref="V48:W48"/>
    <mergeCell ref="V49:W49"/>
    <mergeCell ref="V31:W31"/>
    <mergeCell ref="V38:W38"/>
    <mergeCell ref="V39:W39"/>
    <mergeCell ref="V40:W40"/>
    <mergeCell ref="V41:W41"/>
    <mergeCell ref="V42:W42"/>
    <mergeCell ref="V43:W43"/>
    <mergeCell ref="R2:Y2"/>
    <mergeCell ref="B4:D4"/>
    <mergeCell ref="F4:H4"/>
    <mergeCell ref="V4:W4"/>
    <mergeCell ref="V5:W5"/>
    <mergeCell ref="V6:W6"/>
    <mergeCell ref="V7:W7"/>
    <mergeCell ref="V15:W15"/>
    <mergeCell ref="B16:D16"/>
    <mergeCell ref="F16:H16"/>
    <mergeCell ref="J16:P16"/>
    <mergeCell ref="V16:W16"/>
    <mergeCell ref="J18:J19"/>
    <mergeCell ref="V18:W18"/>
    <mergeCell ref="V19:W19"/>
    <mergeCell ref="V8:W8"/>
    <mergeCell ref="V9:W9"/>
    <mergeCell ref="V10:W10"/>
    <mergeCell ref="V11:W11"/>
    <mergeCell ref="V12:W12"/>
    <mergeCell ref="V13:W13"/>
    <mergeCell ref="V14:W14"/>
    <mergeCell ref="V26:W26"/>
    <mergeCell ref="V27:W27"/>
    <mergeCell ref="V28:W28"/>
    <mergeCell ref="J29:J30"/>
    <mergeCell ref="V29:W29"/>
    <mergeCell ref="V30:W30"/>
    <mergeCell ref="V17:W17"/>
    <mergeCell ref="V20:W20"/>
    <mergeCell ref="V21:W21"/>
    <mergeCell ref="V22:W22"/>
    <mergeCell ref="V23:W23"/>
    <mergeCell ref="V24:W24"/>
    <mergeCell ref="V25:W25"/>
    <mergeCell ref="V34:W34"/>
    <mergeCell ref="V35:W35"/>
    <mergeCell ref="V33:W33"/>
    <mergeCell ref="V36:W36"/>
  </mergeCells>
  <conditionalFormatting sqref="J5:P5 J7:P7 J9:P9 J11:P11 J13:P13">
    <cfRule type="expression" dxfId="4" priority="1">
      <formula>MONTH(J5)&lt;&gt;$B$1</formula>
    </cfRule>
  </conditionalFormatting>
  <dataValidations>
    <dataValidation type="list" allowBlank="1" sqref="B6:B13">
      <formula1>list!$A$2:$A51</formula1>
    </dataValidation>
    <dataValidation type="list" allowBlank="1" sqref="F6:F13">
      <formula1>list!$B$2:$B51</formula1>
    </dataValidation>
    <dataValidation type="list" allowBlank="1" sqref="J20:J26 B19:B30 F19:F30 J31:J37 J42:J48">
      <formula1>list!$C$2:$C51</formula1>
    </dataValidation>
    <dataValidation type="list" allowBlank="1" sqref="C6:C13 G6:G13 C19:C30 C35:C41 T5:T49">
      <formula1>list!$F$2:$F51</formula1>
    </dataValidation>
    <dataValidation type="list" allowBlank="1" sqref="U5:U49">
      <formula1>list!$C$2:$C51</formula1>
    </dataValidation>
    <dataValidation type="list" allowBlank="1" sqref="B35:B41">
      <formula1>list!$D$2:$D51</formula1>
    </dataValidation>
    <dataValidation type="list" allowBlank="1" showErrorMessage="1" sqref="S5:S49">
      <formula1>"1week,2week,3week,4week,5week"</formula1>
    </dataValidation>
    <dataValidation type="custom" allowBlank="1" showDropDown="1" showErrorMessage="1" sqref="J28 J39 R5:R49 J50 R50:Y50">
      <formula1>OR(NOT(ISERROR(DATEVALUE(J5))), AND(ISNUMBER(J5), LEFT(CELL("format", J5))="D"))</formula1>
    </dataValidation>
    <dataValidation type="list" allowBlank="1" showErrorMessage="1" sqref="Y5:Y49">
      <formula1>"〇,△,✕"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8CC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.0"/>
    <col customWidth="1" min="2" max="2" width="18.0"/>
    <col customWidth="1" min="3" max="4" width="11.63"/>
    <col customWidth="1" min="5" max="5" width="2.0"/>
    <col customWidth="1" min="6" max="6" width="18.0"/>
    <col customWidth="1" min="7" max="8" width="11.63"/>
    <col customWidth="1" min="9" max="9" width="2.63"/>
    <col customWidth="1" min="10" max="16" width="13.88"/>
    <col customWidth="1" min="17" max="17" width="2.63"/>
    <col customWidth="1" min="18" max="25" width="12.75"/>
    <col customWidth="1" min="26" max="26" width="2.0"/>
    <col customWidth="1" hidden="1" min="27" max="28" width="11.0"/>
  </cols>
  <sheetData>
    <row r="1" ht="42.0" customHeight="1">
      <c r="A1" s="10"/>
      <c r="B1" s="11">
        <v>12.0</v>
      </c>
      <c r="C1" s="12"/>
      <c r="D1" s="12" t="s">
        <v>29</v>
      </c>
      <c r="E1" s="13"/>
      <c r="F1" s="12"/>
      <c r="G1" s="14"/>
      <c r="H1" s="14"/>
      <c r="I1" s="15"/>
      <c r="J1" s="12" t="s">
        <v>30</v>
      </c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6"/>
      <c r="AB1" s="16"/>
    </row>
    <row r="2" ht="21.75" customHeight="1">
      <c r="A2" s="17"/>
      <c r="B2" s="18">
        <v>2025.0</v>
      </c>
      <c r="C2" s="19"/>
      <c r="D2" s="19"/>
      <c r="G2" s="20"/>
      <c r="H2" s="20"/>
      <c r="I2" s="21"/>
      <c r="J2" s="22">
        <f>DATE(B2,B1,1)</f>
        <v>45992</v>
      </c>
      <c r="K2" s="21"/>
      <c r="L2" s="21"/>
      <c r="M2" s="21"/>
      <c r="N2" s="21"/>
      <c r="O2" s="21"/>
      <c r="P2" s="21"/>
      <c r="Q2" s="21"/>
      <c r="R2" s="23" t="s">
        <v>31</v>
      </c>
      <c r="Z2" s="21"/>
      <c r="AA2" s="21"/>
      <c r="AB2" s="21"/>
    </row>
    <row r="3" ht="7.5" customHeight="1">
      <c r="A3" s="20"/>
      <c r="B3" s="24"/>
      <c r="C3" s="25"/>
      <c r="D3" s="25"/>
      <c r="E3" s="25"/>
      <c r="F3" s="26"/>
      <c r="G3" s="26"/>
      <c r="H3" s="26"/>
      <c r="I3" s="27"/>
      <c r="J3" s="25"/>
      <c r="K3" s="25"/>
      <c r="L3" s="25"/>
      <c r="M3" s="27"/>
      <c r="N3" s="27"/>
      <c r="O3" s="27"/>
      <c r="P3" s="27"/>
      <c r="Q3" s="21"/>
      <c r="Z3" s="21"/>
      <c r="AA3" s="21"/>
      <c r="AB3" s="21"/>
    </row>
    <row r="4" ht="20.25" customHeight="1">
      <c r="A4" s="28"/>
      <c r="B4" s="29" t="s">
        <v>32</v>
      </c>
      <c r="C4" s="30"/>
      <c r="D4" s="31"/>
      <c r="E4" s="32"/>
      <c r="F4" s="29" t="s">
        <v>33</v>
      </c>
      <c r="G4" s="30"/>
      <c r="H4" s="31"/>
      <c r="I4" s="27"/>
      <c r="J4" s="33" t="s">
        <v>34</v>
      </c>
      <c r="K4" s="33" t="s">
        <v>35</v>
      </c>
      <c r="L4" s="33" t="s">
        <v>36</v>
      </c>
      <c r="M4" s="33" t="s">
        <v>37</v>
      </c>
      <c r="N4" s="33" t="s">
        <v>38</v>
      </c>
      <c r="O4" s="34" t="s">
        <v>39</v>
      </c>
      <c r="P4" s="35" t="s">
        <v>40</v>
      </c>
      <c r="Q4" s="21"/>
      <c r="R4" s="36" t="s">
        <v>41</v>
      </c>
      <c r="S4" s="37" t="s">
        <v>42</v>
      </c>
      <c r="T4" s="37" t="s">
        <v>43</v>
      </c>
      <c r="U4" s="37" t="s">
        <v>44</v>
      </c>
      <c r="V4" s="38" t="s">
        <v>45</v>
      </c>
      <c r="W4" s="39"/>
      <c r="X4" s="37" t="s">
        <v>46</v>
      </c>
      <c r="Y4" s="37" t="s">
        <v>47</v>
      </c>
      <c r="Z4" s="21"/>
      <c r="AA4" s="21"/>
      <c r="AB4" s="21"/>
    </row>
    <row r="5" ht="20.25" customHeight="1">
      <c r="A5" s="40"/>
      <c r="B5" s="41" t="s">
        <v>44</v>
      </c>
      <c r="C5" s="42" t="s">
        <v>48</v>
      </c>
      <c r="D5" s="41" t="s">
        <v>46</v>
      </c>
      <c r="E5" s="32"/>
      <c r="F5" s="41" t="s">
        <v>44</v>
      </c>
      <c r="G5" s="41" t="s">
        <v>43</v>
      </c>
      <c r="H5" s="41" t="s">
        <v>46</v>
      </c>
      <c r="I5" s="27"/>
      <c r="J5" s="43">
        <f>$J$2-weekday($J$2)+2</f>
        <v>45992</v>
      </c>
      <c r="K5" s="43">
        <f t="shared" ref="K5:P5" si="1">J5+1</f>
        <v>45993</v>
      </c>
      <c r="L5" s="43">
        <f t="shared" si="1"/>
        <v>45994</v>
      </c>
      <c r="M5" s="43">
        <f t="shared" si="1"/>
        <v>45995</v>
      </c>
      <c r="N5" s="43">
        <f t="shared" si="1"/>
        <v>45996</v>
      </c>
      <c r="O5" s="44">
        <f t="shared" si="1"/>
        <v>45997</v>
      </c>
      <c r="P5" s="45">
        <f t="shared" si="1"/>
        <v>45998</v>
      </c>
      <c r="Q5" s="21"/>
      <c r="R5" s="138">
        <v>45992.0</v>
      </c>
      <c r="S5" s="139"/>
      <c r="T5" s="55"/>
      <c r="U5" s="49"/>
      <c r="V5" s="140"/>
      <c r="W5" s="39"/>
      <c r="X5" s="141"/>
      <c r="Y5" s="142"/>
      <c r="Z5" s="21"/>
      <c r="AA5" s="21"/>
      <c r="AB5" s="21"/>
    </row>
    <row r="6" ht="20.25" customHeight="1">
      <c r="A6" s="53"/>
      <c r="B6" s="54"/>
      <c r="C6" s="55"/>
      <c r="D6" s="56"/>
      <c r="E6" s="57"/>
      <c r="F6" s="58"/>
      <c r="G6" s="55"/>
      <c r="H6" s="56"/>
      <c r="I6" s="27"/>
      <c r="J6" s="60">
        <f t="shared" ref="J6:P6" si="2">sumifs($X:$X,$R:$R,J5)</f>
        <v>0</v>
      </c>
      <c r="K6" s="60">
        <f t="shared" si="2"/>
        <v>0</v>
      </c>
      <c r="L6" s="60">
        <f t="shared" si="2"/>
        <v>0</v>
      </c>
      <c r="M6" s="60">
        <f t="shared" si="2"/>
        <v>0</v>
      </c>
      <c r="N6" s="60">
        <f t="shared" si="2"/>
        <v>0</v>
      </c>
      <c r="O6" s="60">
        <f t="shared" si="2"/>
        <v>0</v>
      </c>
      <c r="P6" s="60">
        <f t="shared" si="2"/>
        <v>0</v>
      </c>
      <c r="Q6" s="21"/>
      <c r="R6" s="138"/>
      <c r="S6" s="139"/>
      <c r="T6" s="55"/>
      <c r="U6" s="49"/>
      <c r="V6" s="140"/>
      <c r="W6" s="39"/>
      <c r="X6" s="141"/>
      <c r="Y6" s="142"/>
      <c r="Z6" s="21"/>
      <c r="AA6" s="21"/>
      <c r="AB6" s="21"/>
    </row>
    <row r="7" ht="20.25" customHeight="1">
      <c r="A7" s="53"/>
      <c r="B7" s="54"/>
      <c r="C7" s="55"/>
      <c r="D7" s="56"/>
      <c r="E7" s="57"/>
      <c r="F7" s="58"/>
      <c r="G7" s="55"/>
      <c r="H7" s="56"/>
      <c r="I7" s="27"/>
      <c r="J7" s="61">
        <f t="shared" ref="J7:P7" si="3">J5+7</f>
        <v>45999</v>
      </c>
      <c r="K7" s="61">
        <f t="shared" si="3"/>
        <v>46000</v>
      </c>
      <c r="L7" s="61">
        <f t="shared" si="3"/>
        <v>46001</v>
      </c>
      <c r="M7" s="61">
        <f t="shared" si="3"/>
        <v>46002</v>
      </c>
      <c r="N7" s="61">
        <f t="shared" si="3"/>
        <v>46003</v>
      </c>
      <c r="O7" s="62">
        <f t="shared" si="3"/>
        <v>46004</v>
      </c>
      <c r="P7" s="63">
        <f t="shared" si="3"/>
        <v>46005</v>
      </c>
      <c r="Q7" s="21"/>
      <c r="R7" s="138"/>
      <c r="S7" s="139"/>
      <c r="T7" s="55"/>
      <c r="U7" s="49"/>
      <c r="V7" s="140"/>
      <c r="W7" s="39"/>
      <c r="X7" s="141"/>
      <c r="Y7" s="142"/>
      <c r="Z7" s="21"/>
      <c r="AA7" s="21"/>
      <c r="AB7" s="21"/>
    </row>
    <row r="8" ht="20.25" customHeight="1">
      <c r="A8" s="53"/>
      <c r="B8" s="54"/>
      <c r="C8" s="55"/>
      <c r="D8" s="56"/>
      <c r="E8" s="57"/>
      <c r="F8" s="58"/>
      <c r="G8" s="55"/>
      <c r="H8" s="59"/>
      <c r="I8" s="27"/>
      <c r="J8" s="60">
        <f t="shared" ref="J8:P8" si="4">sumifs($X:$X,$R:$R,J7)</f>
        <v>0</v>
      </c>
      <c r="K8" s="60">
        <f t="shared" si="4"/>
        <v>0</v>
      </c>
      <c r="L8" s="60">
        <f t="shared" si="4"/>
        <v>0</v>
      </c>
      <c r="M8" s="60">
        <f t="shared" si="4"/>
        <v>0</v>
      </c>
      <c r="N8" s="60">
        <f t="shared" si="4"/>
        <v>0</v>
      </c>
      <c r="O8" s="60">
        <f t="shared" si="4"/>
        <v>0</v>
      </c>
      <c r="P8" s="60">
        <f t="shared" si="4"/>
        <v>0</v>
      </c>
      <c r="Q8" s="21"/>
      <c r="R8" s="138"/>
      <c r="S8" s="139"/>
      <c r="T8" s="55"/>
      <c r="U8" s="49"/>
      <c r="V8" s="140"/>
      <c r="W8" s="39"/>
      <c r="X8" s="141"/>
      <c r="Y8" s="142"/>
      <c r="Z8" s="21"/>
      <c r="AA8" s="21"/>
      <c r="AB8" s="21"/>
    </row>
    <row r="9" ht="20.25" customHeight="1">
      <c r="A9" s="64"/>
      <c r="B9" s="54"/>
      <c r="C9" s="55"/>
      <c r="D9" s="59"/>
      <c r="E9" s="57"/>
      <c r="F9" s="58"/>
      <c r="G9" s="55"/>
      <c r="H9" s="59"/>
      <c r="I9" s="27"/>
      <c r="J9" s="43">
        <f t="shared" ref="J9:P9" si="5">J7+7</f>
        <v>46006</v>
      </c>
      <c r="K9" s="43">
        <f t="shared" si="5"/>
        <v>46007</v>
      </c>
      <c r="L9" s="43">
        <f t="shared" si="5"/>
        <v>46008</v>
      </c>
      <c r="M9" s="43">
        <f t="shared" si="5"/>
        <v>46009</v>
      </c>
      <c r="N9" s="43">
        <f t="shared" si="5"/>
        <v>46010</v>
      </c>
      <c r="O9" s="44">
        <f t="shared" si="5"/>
        <v>46011</v>
      </c>
      <c r="P9" s="45">
        <f t="shared" si="5"/>
        <v>46012</v>
      </c>
      <c r="Q9" s="21"/>
      <c r="R9" s="138"/>
      <c r="S9" s="139"/>
      <c r="T9" s="55"/>
      <c r="U9" s="49"/>
      <c r="V9" s="140"/>
      <c r="W9" s="39"/>
      <c r="X9" s="141"/>
      <c r="Y9" s="142"/>
      <c r="Z9" s="21"/>
      <c r="AA9" s="21"/>
      <c r="AB9" s="21"/>
    </row>
    <row r="10" ht="20.25" customHeight="1">
      <c r="A10" s="64"/>
      <c r="B10" s="54"/>
      <c r="C10" s="55"/>
      <c r="D10" s="56"/>
      <c r="E10" s="57"/>
      <c r="F10" s="65"/>
      <c r="G10" s="55"/>
      <c r="H10" s="66"/>
      <c r="I10" s="27"/>
      <c r="J10" s="60">
        <f t="shared" ref="J10:P10" si="6">sumifs($X:$X,$R:$R,J9)</f>
        <v>0</v>
      </c>
      <c r="K10" s="60">
        <f t="shared" si="6"/>
        <v>0</v>
      </c>
      <c r="L10" s="60">
        <f t="shared" si="6"/>
        <v>0</v>
      </c>
      <c r="M10" s="60">
        <f t="shared" si="6"/>
        <v>0</v>
      </c>
      <c r="N10" s="60">
        <f t="shared" si="6"/>
        <v>0</v>
      </c>
      <c r="O10" s="60">
        <f t="shared" si="6"/>
        <v>0</v>
      </c>
      <c r="P10" s="60">
        <f t="shared" si="6"/>
        <v>0</v>
      </c>
      <c r="Q10" s="21"/>
      <c r="R10" s="138"/>
      <c r="S10" s="139"/>
      <c r="T10" s="55"/>
      <c r="U10" s="49"/>
      <c r="V10" s="140"/>
      <c r="W10" s="39"/>
      <c r="X10" s="141"/>
      <c r="Y10" s="142"/>
      <c r="Z10" s="21"/>
      <c r="AA10" s="21"/>
      <c r="AB10" s="21"/>
    </row>
    <row r="11" ht="20.25" customHeight="1">
      <c r="A11" s="64"/>
      <c r="B11" s="54"/>
      <c r="C11" s="55"/>
      <c r="D11" s="67"/>
      <c r="E11" s="57"/>
      <c r="F11" s="65"/>
      <c r="G11" s="55"/>
      <c r="H11" s="66"/>
      <c r="I11" s="27"/>
      <c r="J11" s="61">
        <f t="shared" ref="J11:P11" si="7">J9+7</f>
        <v>46013</v>
      </c>
      <c r="K11" s="61">
        <f t="shared" si="7"/>
        <v>46014</v>
      </c>
      <c r="L11" s="61">
        <f t="shared" si="7"/>
        <v>46015</v>
      </c>
      <c r="M11" s="61">
        <f t="shared" si="7"/>
        <v>46016</v>
      </c>
      <c r="N11" s="61">
        <f t="shared" si="7"/>
        <v>46017</v>
      </c>
      <c r="O11" s="62">
        <f t="shared" si="7"/>
        <v>46018</v>
      </c>
      <c r="P11" s="63">
        <f t="shared" si="7"/>
        <v>46019</v>
      </c>
      <c r="Q11" s="21"/>
      <c r="R11" s="138"/>
      <c r="S11" s="139"/>
      <c r="T11" s="55"/>
      <c r="U11" s="49"/>
      <c r="V11" s="140"/>
      <c r="W11" s="39"/>
      <c r="X11" s="141"/>
      <c r="Y11" s="142"/>
      <c r="Z11" s="21"/>
      <c r="AA11" s="21"/>
      <c r="AB11" s="21"/>
    </row>
    <row r="12" ht="20.25" customHeight="1">
      <c r="A12" s="64"/>
      <c r="B12" s="68"/>
      <c r="C12" s="55"/>
      <c r="D12" s="67"/>
      <c r="E12" s="57"/>
      <c r="F12" s="65"/>
      <c r="G12" s="55"/>
      <c r="H12" s="66"/>
      <c r="I12" s="27"/>
      <c r="J12" s="60">
        <f t="shared" ref="J12:P12" si="8">sumifs($X:$X,$R:$R,J11)</f>
        <v>0</v>
      </c>
      <c r="K12" s="60">
        <f t="shared" si="8"/>
        <v>0</v>
      </c>
      <c r="L12" s="60">
        <f t="shared" si="8"/>
        <v>0</v>
      </c>
      <c r="M12" s="60">
        <f t="shared" si="8"/>
        <v>0</v>
      </c>
      <c r="N12" s="60">
        <f t="shared" si="8"/>
        <v>0</v>
      </c>
      <c r="O12" s="60">
        <f t="shared" si="8"/>
        <v>0</v>
      </c>
      <c r="P12" s="60">
        <f t="shared" si="8"/>
        <v>0</v>
      </c>
      <c r="Q12" s="21"/>
      <c r="R12" s="138"/>
      <c r="S12" s="139"/>
      <c r="T12" s="55"/>
      <c r="U12" s="49"/>
      <c r="V12" s="140"/>
      <c r="W12" s="39"/>
      <c r="X12" s="141"/>
      <c r="Y12" s="142"/>
      <c r="Z12" s="21"/>
      <c r="AA12" s="21"/>
      <c r="AB12" s="21"/>
    </row>
    <row r="13" ht="20.25" customHeight="1">
      <c r="A13" s="64"/>
      <c r="B13" s="68"/>
      <c r="C13" s="55"/>
      <c r="D13" s="67"/>
      <c r="E13" s="57"/>
      <c r="F13" s="65"/>
      <c r="G13" s="55"/>
      <c r="H13" s="66"/>
      <c r="I13" s="27"/>
      <c r="J13" s="43">
        <f t="shared" ref="J13:P13" si="9">J11+7</f>
        <v>46020</v>
      </c>
      <c r="K13" s="43">
        <f t="shared" si="9"/>
        <v>46021</v>
      </c>
      <c r="L13" s="43">
        <f t="shared" si="9"/>
        <v>46022</v>
      </c>
      <c r="M13" s="43">
        <f t="shared" si="9"/>
        <v>46023</v>
      </c>
      <c r="N13" s="43">
        <f t="shared" si="9"/>
        <v>46024</v>
      </c>
      <c r="O13" s="44">
        <f t="shared" si="9"/>
        <v>46025</v>
      </c>
      <c r="P13" s="45">
        <f t="shared" si="9"/>
        <v>46026</v>
      </c>
      <c r="Q13" s="21"/>
      <c r="R13" s="138"/>
      <c r="S13" s="139"/>
      <c r="T13" s="55"/>
      <c r="U13" s="49"/>
      <c r="V13" s="140"/>
      <c r="W13" s="39"/>
      <c r="X13" s="141"/>
      <c r="Y13" s="142"/>
      <c r="Z13" s="21"/>
      <c r="AA13" s="21"/>
      <c r="AB13" s="21"/>
    </row>
    <row r="14" ht="20.25" customHeight="1">
      <c r="A14" s="69"/>
      <c r="B14" s="70" t="s">
        <v>60</v>
      </c>
      <c r="C14" s="72"/>
      <c r="D14" s="72">
        <f>SUM(D6:D13)</f>
        <v>0</v>
      </c>
      <c r="E14" s="57"/>
      <c r="F14" s="70" t="s">
        <v>60</v>
      </c>
      <c r="G14" s="72"/>
      <c r="H14" s="72">
        <f>SUM(H6:H13)</f>
        <v>0</v>
      </c>
      <c r="I14" s="27"/>
      <c r="J14" s="60">
        <f t="shared" ref="J14:P14" si="10">sumifs($X:$X,$R:$R,J13)</f>
        <v>0</v>
      </c>
      <c r="K14" s="60">
        <f t="shared" si="10"/>
        <v>0</v>
      </c>
      <c r="L14" s="60">
        <f t="shared" si="10"/>
        <v>0</v>
      </c>
      <c r="M14" s="60">
        <f t="shared" si="10"/>
        <v>0</v>
      </c>
      <c r="N14" s="60">
        <f t="shared" si="10"/>
        <v>0</v>
      </c>
      <c r="O14" s="60">
        <f t="shared" si="10"/>
        <v>0</v>
      </c>
      <c r="P14" s="60">
        <f t="shared" si="10"/>
        <v>0</v>
      </c>
      <c r="Q14" s="21"/>
      <c r="R14" s="138"/>
      <c r="S14" s="139"/>
      <c r="T14" s="55"/>
      <c r="U14" s="49"/>
      <c r="V14" s="140"/>
      <c r="W14" s="39"/>
      <c r="X14" s="141"/>
      <c r="Y14" s="142"/>
      <c r="Z14" s="21"/>
      <c r="AA14" s="21"/>
      <c r="AB14" s="21"/>
    </row>
    <row r="15" ht="20.25" customHeight="1">
      <c r="A15" s="20"/>
      <c r="B15" s="24"/>
      <c r="C15" s="32"/>
      <c r="D15" s="32"/>
      <c r="E15" s="32"/>
      <c r="F15" s="32"/>
      <c r="G15" s="24"/>
      <c r="H15" s="24"/>
      <c r="I15" s="27"/>
      <c r="J15" s="25"/>
      <c r="K15" s="25"/>
      <c r="L15" s="25"/>
      <c r="M15" s="25"/>
      <c r="N15" s="25"/>
      <c r="O15" s="25"/>
      <c r="P15" s="25"/>
      <c r="Q15" s="21"/>
      <c r="R15" s="138"/>
      <c r="S15" s="139"/>
      <c r="T15" s="55"/>
      <c r="U15" s="49"/>
      <c r="V15" s="140"/>
      <c r="W15" s="39"/>
      <c r="X15" s="141"/>
      <c r="Y15" s="142"/>
      <c r="Z15" s="21"/>
      <c r="AA15" s="21"/>
      <c r="AB15" s="21"/>
    </row>
    <row r="16" ht="20.25" customHeight="1">
      <c r="A16" s="28"/>
      <c r="B16" s="73" t="s">
        <v>61</v>
      </c>
      <c r="E16" s="27"/>
      <c r="F16" s="73" t="s">
        <v>61</v>
      </c>
      <c r="I16" s="27"/>
      <c r="J16" s="74" t="s">
        <v>62</v>
      </c>
      <c r="Q16" s="21"/>
      <c r="R16" s="138"/>
      <c r="S16" s="139"/>
      <c r="T16" s="55"/>
      <c r="U16" s="49"/>
      <c r="V16" s="140"/>
      <c r="W16" s="39"/>
      <c r="X16" s="141"/>
      <c r="Y16" s="142"/>
      <c r="Z16" s="21"/>
      <c r="AA16" s="21"/>
      <c r="AB16" s="21"/>
    </row>
    <row r="17" ht="20.25" customHeight="1">
      <c r="A17" s="40"/>
      <c r="B17" s="69" t="s">
        <v>63</v>
      </c>
      <c r="C17" s="75"/>
      <c r="D17" s="75"/>
      <c r="E17" s="53"/>
      <c r="F17" s="69" t="s">
        <v>64</v>
      </c>
      <c r="G17" s="76"/>
      <c r="H17" s="76"/>
      <c r="I17" s="27"/>
      <c r="J17" s="77"/>
      <c r="K17" s="78"/>
      <c r="L17" s="78"/>
      <c r="M17" s="78"/>
      <c r="N17" s="78"/>
      <c r="O17" s="78"/>
      <c r="P17" s="78"/>
      <c r="Q17" s="21"/>
      <c r="R17" s="138"/>
      <c r="S17" s="139"/>
      <c r="T17" s="55"/>
      <c r="U17" s="49"/>
      <c r="V17" s="140"/>
      <c r="W17" s="39"/>
      <c r="X17" s="141"/>
      <c r="Y17" s="142"/>
      <c r="Z17" s="21"/>
      <c r="AA17" s="21"/>
      <c r="AB17" s="21"/>
    </row>
    <row r="18" ht="20.25" customHeight="1">
      <c r="A18" s="40"/>
      <c r="B18" s="41" t="s">
        <v>44</v>
      </c>
      <c r="C18" s="41" t="s">
        <v>43</v>
      </c>
      <c r="D18" s="41" t="s">
        <v>46</v>
      </c>
      <c r="E18" s="57"/>
      <c r="F18" s="41" t="s">
        <v>44</v>
      </c>
      <c r="G18" s="41" t="s">
        <v>65</v>
      </c>
      <c r="H18" s="41" t="s">
        <v>46</v>
      </c>
      <c r="I18" s="27"/>
      <c r="J18" s="79" t="s">
        <v>66</v>
      </c>
      <c r="K18" s="80"/>
      <c r="L18" s="81" t="s">
        <v>49</v>
      </c>
      <c r="M18" s="82"/>
      <c r="N18" s="80"/>
      <c r="O18" s="81" t="s">
        <v>67</v>
      </c>
      <c r="P18" s="82"/>
      <c r="Q18" s="21"/>
      <c r="R18" s="138"/>
      <c r="S18" s="139"/>
      <c r="T18" s="55"/>
      <c r="U18" s="49"/>
      <c r="V18" s="140"/>
      <c r="W18" s="39"/>
      <c r="X18" s="141"/>
      <c r="Y18" s="142"/>
      <c r="Z18" s="21"/>
      <c r="AA18" s="21"/>
      <c r="AB18" s="21"/>
    </row>
    <row r="19" ht="20.25" customHeight="1">
      <c r="A19" s="53"/>
      <c r="B19" s="54"/>
      <c r="C19" s="55"/>
      <c r="D19" s="56"/>
      <c r="E19" s="57"/>
      <c r="F19" s="54"/>
      <c r="G19" s="56"/>
      <c r="H19" s="83">
        <f t="shared" ref="H19:H30" si="11">sumifs($X:$X,$U:$U,F19)</f>
        <v>0</v>
      </c>
      <c r="I19" s="27"/>
      <c r="J19" s="84"/>
      <c r="K19" s="85" t="s">
        <v>65</v>
      </c>
      <c r="L19" s="85" t="s">
        <v>46</v>
      </c>
      <c r="M19" s="85" t="s">
        <v>69</v>
      </c>
      <c r="N19" s="86" t="s">
        <v>65</v>
      </c>
      <c r="O19" s="86" t="s">
        <v>46</v>
      </c>
      <c r="P19" s="86" t="s">
        <v>69</v>
      </c>
      <c r="Q19" s="21"/>
      <c r="R19" s="138"/>
      <c r="S19" s="139"/>
      <c r="T19" s="55"/>
      <c r="U19" s="49"/>
      <c r="V19" s="140"/>
      <c r="W19" s="39"/>
      <c r="X19" s="141"/>
      <c r="Y19" s="142"/>
      <c r="Z19" s="21"/>
      <c r="AA19" s="21"/>
      <c r="AB19" s="21"/>
    </row>
    <row r="20" ht="20.25" customHeight="1">
      <c r="A20" s="53"/>
      <c r="B20" s="54"/>
      <c r="C20" s="55"/>
      <c r="D20" s="56"/>
      <c r="E20" s="57"/>
      <c r="F20" s="54"/>
      <c r="G20" s="56"/>
      <c r="H20" s="83">
        <f t="shared" si="11"/>
        <v>0</v>
      </c>
      <c r="I20" s="27"/>
      <c r="J20" s="54"/>
      <c r="K20" s="87"/>
      <c r="L20" s="88">
        <f t="shared" ref="L20:L26" si="12">sumifs($X:$X,$S:$S,$L$18,$U:$U,J20)</f>
        <v>0</v>
      </c>
      <c r="M20" s="88">
        <f t="shared" ref="M20:M27" si="13">K20-L20</f>
        <v>0</v>
      </c>
      <c r="N20" s="87"/>
      <c r="O20" s="88">
        <f t="shared" ref="O20:O26" si="14">sumifs($X:$X,$S:$S,$O$18,$U:$U,J20)</f>
        <v>0</v>
      </c>
      <c r="P20" s="88">
        <f t="shared" ref="P20:P27" si="15">N20-O20</f>
        <v>0</v>
      </c>
      <c r="Q20" s="21"/>
      <c r="R20" s="138"/>
      <c r="S20" s="139"/>
      <c r="T20" s="55"/>
      <c r="U20" s="49"/>
      <c r="V20" s="140"/>
      <c r="W20" s="39"/>
      <c r="X20" s="141"/>
      <c r="Y20" s="142"/>
      <c r="Z20" s="21"/>
      <c r="AA20" s="21"/>
      <c r="AB20" s="21"/>
    </row>
    <row r="21" ht="20.25" customHeight="1">
      <c r="A21" s="53"/>
      <c r="B21" s="54"/>
      <c r="C21" s="55"/>
      <c r="D21" s="56"/>
      <c r="E21" s="57"/>
      <c r="F21" s="54"/>
      <c r="G21" s="56"/>
      <c r="H21" s="83">
        <f t="shared" si="11"/>
        <v>0</v>
      </c>
      <c r="I21" s="27"/>
      <c r="J21" s="54"/>
      <c r="K21" s="87"/>
      <c r="L21" s="88">
        <f t="shared" si="12"/>
        <v>0</v>
      </c>
      <c r="M21" s="88">
        <f t="shared" si="13"/>
        <v>0</v>
      </c>
      <c r="N21" s="87"/>
      <c r="O21" s="88">
        <f t="shared" si="14"/>
        <v>0</v>
      </c>
      <c r="P21" s="88">
        <f t="shared" si="15"/>
        <v>0</v>
      </c>
      <c r="Q21" s="21"/>
      <c r="R21" s="138"/>
      <c r="S21" s="139"/>
      <c r="T21" s="55"/>
      <c r="U21" s="49"/>
      <c r="V21" s="140"/>
      <c r="W21" s="39"/>
      <c r="X21" s="141"/>
      <c r="Y21" s="142"/>
      <c r="Z21" s="21"/>
      <c r="AA21" s="21"/>
      <c r="AB21" s="21"/>
    </row>
    <row r="22" ht="20.25" customHeight="1">
      <c r="A22" s="53"/>
      <c r="B22" s="54"/>
      <c r="C22" s="55"/>
      <c r="D22" s="56"/>
      <c r="E22" s="57"/>
      <c r="F22" s="54"/>
      <c r="G22" s="56"/>
      <c r="H22" s="83">
        <f t="shared" si="11"/>
        <v>0</v>
      </c>
      <c r="I22" s="27"/>
      <c r="J22" s="54"/>
      <c r="K22" s="87"/>
      <c r="L22" s="88">
        <f t="shared" si="12"/>
        <v>0</v>
      </c>
      <c r="M22" s="88">
        <f t="shared" si="13"/>
        <v>0</v>
      </c>
      <c r="N22" s="87"/>
      <c r="O22" s="88">
        <f t="shared" si="14"/>
        <v>0</v>
      </c>
      <c r="P22" s="88">
        <f t="shared" si="15"/>
        <v>0</v>
      </c>
      <c r="Q22" s="21"/>
      <c r="R22" s="138"/>
      <c r="S22" s="139"/>
      <c r="T22" s="55"/>
      <c r="U22" s="49"/>
      <c r="V22" s="140"/>
      <c r="W22" s="39"/>
      <c r="X22" s="141"/>
      <c r="Y22" s="142"/>
      <c r="Z22" s="21"/>
      <c r="AA22" s="21"/>
      <c r="AB22" s="21"/>
    </row>
    <row r="23" ht="20.25" customHeight="1">
      <c r="A23" s="53"/>
      <c r="B23" s="54"/>
      <c r="C23" s="55"/>
      <c r="D23" s="56"/>
      <c r="E23" s="57"/>
      <c r="F23" s="54"/>
      <c r="G23" s="56"/>
      <c r="H23" s="83">
        <f t="shared" si="11"/>
        <v>0</v>
      </c>
      <c r="I23" s="27"/>
      <c r="J23" s="54"/>
      <c r="K23" s="87"/>
      <c r="L23" s="88">
        <f t="shared" si="12"/>
        <v>0</v>
      </c>
      <c r="M23" s="88">
        <f t="shared" si="13"/>
        <v>0</v>
      </c>
      <c r="N23" s="87"/>
      <c r="O23" s="88">
        <f t="shared" si="14"/>
        <v>0</v>
      </c>
      <c r="P23" s="88">
        <f t="shared" si="15"/>
        <v>0</v>
      </c>
      <c r="Q23" s="21"/>
      <c r="R23" s="138"/>
      <c r="S23" s="139"/>
      <c r="T23" s="55"/>
      <c r="U23" s="49"/>
      <c r="V23" s="140"/>
      <c r="W23" s="39"/>
      <c r="X23" s="141"/>
      <c r="Y23" s="142"/>
      <c r="Z23" s="21"/>
      <c r="AA23" s="21"/>
      <c r="AB23" s="21"/>
    </row>
    <row r="24" ht="20.25" customHeight="1">
      <c r="A24" s="53"/>
      <c r="B24" s="54"/>
      <c r="C24" s="55"/>
      <c r="D24" s="56"/>
      <c r="E24" s="57"/>
      <c r="F24" s="54"/>
      <c r="G24" s="56"/>
      <c r="H24" s="83">
        <f t="shared" si="11"/>
        <v>0</v>
      </c>
      <c r="I24" s="27"/>
      <c r="J24" s="54"/>
      <c r="K24" s="87"/>
      <c r="L24" s="88">
        <f t="shared" si="12"/>
        <v>0</v>
      </c>
      <c r="M24" s="88">
        <f t="shared" si="13"/>
        <v>0</v>
      </c>
      <c r="N24" s="87"/>
      <c r="O24" s="88">
        <f t="shared" si="14"/>
        <v>0</v>
      </c>
      <c r="P24" s="88">
        <f t="shared" si="15"/>
        <v>0</v>
      </c>
      <c r="Q24" s="21"/>
      <c r="R24" s="138"/>
      <c r="S24" s="139"/>
      <c r="T24" s="55"/>
      <c r="U24" s="49"/>
      <c r="V24" s="140"/>
      <c r="W24" s="39"/>
      <c r="X24" s="141"/>
      <c r="Y24" s="142"/>
      <c r="Z24" s="21"/>
      <c r="AA24" s="21"/>
      <c r="AB24" s="21"/>
    </row>
    <row r="25" ht="20.25" customHeight="1">
      <c r="A25" s="53"/>
      <c r="B25" s="54"/>
      <c r="C25" s="55"/>
      <c r="D25" s="56"/>
      <c r="E25" s="57"/>
      <c r="F25" s="54"/>
      <c r="G25" s="56"/>
      <c r="H25" s="83">
        <f t="shared" si="11"/>
        <v>0</v>
      </c>
      <c r="I25" s="27"/>
      <c r="J25" s="54"/>
      <c r="K25" s="87"/>
      <c r="L25" s="88">
        <f t="shared" si="12"/>
        <v>0</v>
      </c>
      <c r="M25" s="88">
        <f t="shared" si="13"/>
        <v>0</v>
      </c>
      <c r="N25" s="87"/>
      <c r="O25" s="88">
        <f t="shared" si="14"/>
        <v>0</v>
      </c>
      <c r="P25" s="88">
        <f t="shared" si="15"/>
        <v>0</v>
      </c>
      <c r="Q25" s="21"/>
      <c r="R25" s="138"/>
      <c r="S25" s="139"/>
      <c r="T25" s="55"/>
      <c r="U25" s="49"/>
      <c r="V25" s="140"/>
      <c r="W25" s="39"/>
      <c r="X25" s="141"/>
      <c r="Y25" s="142"/>
      <c r="Z25" s="21"/>
      <c r="AA25" s="21"/>
      <c r="AB25" s="21"/>
    </row>
    <row r="26" ht="20.25" customHeight="1">
      <c r="A26" s="53"/>
      <c r="B26" s="54"/>
      <c r="C26" s="55"/>
      <c r="D26" s="56"/>
      <c r="E26" s="57"/>
      <c r="F26" s="54"/>
      <c r="G26" s="56"/>
      <c r="H26" s="83">
        <f t="shared" si="11"/>
        <v>0</v>
      </c>
      <c r="I26" s="27"/>
      <c r="J26" s="54"/>
      <c r="K26" s="87"/>
      <c r="L26" s="88">
        <f t="shared" si="12"/>
        <v>0</v>
      </c>
      <c r="M26" s="88">
        <f t="shared" si="13"/>
        <v>0</v>
      </c>
      <c r="N26" s="87"/>
      <c r="O26" s="88">
        <f t="shared" si="14"/>
        <v>0</v>
      </c>
      <c r="P26" s="88">
        <f t="shared" si="15"/>
        <v>0</v>
      </c>
      <c r="Q26" s="21"/>
      <c r="R26" s="138"/>
      <c r="S26" s="139"/>
      <c r="T26" s="55"/>
      <c r="U26" s="49"/>
      <c r="V26" s="140"/>
      <c r="W26" s="39"/>
      <c r="X26" s="141"/>
      <c r="Y26" s="142"/>
      <c r="Z26" s="21"/>
      <c r="AA26" s="21"/>
      <c r="AB26" s="21"/>
    </row>
    <row r="27" ht="20.25" customHeight="1">
      <c r="A27" s="53"/>
      <c r="B27" s="54"/>
      <c r="C27" s="55"/>
      <c r="D27" s="56"/>
      <c r="E27" s="57"/>
      <c r="F27" s="54"/>
      <c r="G27" s="56"/>
      <c r="H27" s="83">
        <f t="shared" si="11"/>
        <v>0</v>
      </c>
      <c r="I27" s="27"/>
      <c r="J27" s="89" t="s">
        <v>83</v>
      </c>
      <c r="K27" s="88">
        <f t="shared" ref="K27:L27" si="16">SUM(K20:K26)</f>
        <v>0</v>
      </c>
      <c r="L27" s="88">
        <f t="shared" si="16"/>
        <v>0</v>
      </c>
      <c r="M27" s="88">
        <f t="shared" si="13"/>
        <v>0</v>
      </c>
      <c r="N27" s="88">
        <f t="shared" ref="N27:O27" si="17">SUM(N20:N26)</f>
        <v>0</v>
      </c>
      <c r="O27" s="88">
        <f t="shared" si="17"/>
        <v>0</v>
      </c>
      <c r="P27" s="88">
        <f t="shared" si="15"/>
        <v>0</v>
      </c>
      <c r="Q27" s="21"/>
      <c r="R27" s="138"/>
      <c r="S27" s="139"/>
      <c r="T27" s="55"/>
      <c r="U27" s="49"/>
      <c r="V27" s="140"/>
      <c r="W27" s="39"/>
      <c r="X27" s="141"/>
      <c r="Y27" s="142"/>
      <c r="Z27" s="21"/>
      <c r="AA27" s="21"/>
      <c r="AB27" s="21"/>
    </row>
    <row r="28" ht="20.25" customHeight="1">
      <c r="A28" s="53"/>
      <c r="B28" s="54"/>
      <c r="C28" s="55"/>
      <c r="D28" s="67"/>
      <c r="E28" s="57"/>
      <c r="F28" s="54"/>
      <c r="G28" s="56"/>
      <c r="H28" s="83">
        <f t="shared" si="11"/>
        <v>0</v>
      </c>
      <c r="I28" s="27"/>
      <c r="J28" s="90"/>
      <c r="K28" s="91"/>
      <c r="L28" s="92"/>
      <c r="M28" s="92"/>
      <c r="N28" s="92"/>
      <c r="O28" s="93"/>
      <c r="P28" s="94"/>
      <c r="Q28" s="21"/>
      <c r="R28" s="138"/>
      <c r="S28" s="139"/>
      <c r="T28" s="55"/>
      <c r="U28" s="49"/>
      <c r="V28" s="140"/>
      <c r="W28" s="39"/>
      <c r="X28" s="141"/>
      <c r="Y28" s="142"/>
      <c r="Z28" s="21"/>
      <c r="AA28" s="21"/>
      <c r="AB28" s="21"/>
    </row>
    <row r="29" ht="20.25" customHeight="1">
      <c r="A29" s="53"/>
      <c r="B29" s="54"/>
      <c r="C29" s="55"/>
      <c r="D29" s="67"/>
      <c r="E29" s="57"/>
      <c r="F29" s="54"/>
      <c r="G29" s="56"/>
      <c r="H29" s="83">
        <f t="shared" si="11"/>
        <v>0</v>
      </c>
      <c r="I29" s="27"/>
      <c r="J29" s="95" t="s">
        <v>66</v>
      </c>
      <c r="K29" s="80"/>
      <c r="L29" s="81" t="s">
        <v>84</v>
      </c>
      <c r="M29" s="82"/>
      <c r="N29" s="80"/>
      <c r="O29" s="81" t="s">
        <v>85</v>
      </c>
      <c r="P29" s="82"/>
      <c r="Q29" s="21"/>
      <c r="R29" s="138"/>
      <c r="S29" s="139"/>
      <c r="T29" s="55"/>
      <c r="U29" s="49"/>
      <c r="V29" s="140"/>
      <c r="W29" s="39"/>
      <c r="X29" s="141"/>
      <c r="Y29" s="142"/>
      <c r="Z29" s="21"/>
      <c r="AA29" s="21"/>
      <c r="AB29" s="21"/>
    </row>
    <row r="30" ht="20.25" customHeight="1">
      <c r="A30" s="53"/>
      <c r="B30" s="54"/>
      <c r="C30" s="55"/>
      <c r="D30" s="67"/>
      <c r="E30" s="57"/>
      <c r="F30" s="54"/>
      <c r="G30" s="56"/>
      <c r="H30" s="83">
        <f t="shared" si="11"/>
        <v>0</v>
      </c>
      <c r="I30" s="27"/>
      <c r="J30" s="96"/>
      <c r="K30" s="86" t="s">
        <v>65</v>
      </c>
      <c r="L30" s="86" t="s">
        <v>46</v>
      </c>
      <c r="M30" s="86" t="s">
        <v>69</v>
      </c>
      <c r="N30" s="86" t="s">
        <v>65</v>
      </c>
      <c r="O30" s="86" t="s">
        <v>46</v>
      </c>
      <c r="P30" s="86" t="s">
        <v>69</v>
      </c>
      <c r="Q30" s="21"/>
      <c r="R30" s="138"/>
      <c r="S30" s="139"/>
      <c r="T30" s="55"/>
      <c r="U30" s="49"/>
      <c r="V30" s="140"/>
      <c r="W30" s="39"/>
      <c r="X30" s="141"/>
      <c r="Y30" s="142"/>
      <c r="Z30" s="21"/>
      <c r="AA30" s="21"/>
      <c r="AB30" s="21"/>
    </row>
    <row r="31" ht="20.25" customHeight="1">
      <c r="A31" s="69"/>
      <c r="B31" s="70" t="s">
        <v>60</v>
      </c>
      <c r="C31" s="98"/>
      <c r="D31" s="72">
        <f>SUM(D19:D30)</f>
        <v>0</v>
      </c>
      <c r="E31" s="57"/>
      <c r="F31" s="70" t="s">
        <v>60</v>
      </c>
      <c r="G31" s="72">
        <f t="shared" ref="G31:H31" si="18">SUM(G19:G30)</f>
        <v>0</v>
      </c>
      <c r="H31" s="72">
        <f t="shared" si="18"/>
        <v>0</v>
      </c>
      <c r="I31" s="27"/>
      <c r="J31" s="54"/>
      <c r="K31" s="56"/>
      <c r="L31" s="88">
        <f t="shared" ref="L31:L37" si="19">sumifs($X:$X,$S:$S,$L$29,$U:$U,J31)</f>
        <v>0</v>
      </c>
      <c r="M31" s="88">
        <f t="shared" ref="M31:M38" si="20">K31-L31</f>
        <v>0</v>
      </c>
      <c r="N31" s="56"/>
      <c r="O31" s="88">
        <f t="shared" ref="O31:O37" si="21">sumifs($X:$X,$S:$S,$O$29,$U:$U,J31)</f>
        <v>0</v>
      </c>
      <c r="P31" s="88">
        <f t="shared" ref="P31:P38" si="22">N31-O31</f>
        <v>0</v>
      </c>
      <c r="Q31" s="21"/>
      <c r="R31" s="138"/>
      <c r="S31" s="143"/>
      <c r="T31" s="55"/>
      <c r="U31" s="49"/>
      <c r="V31" s="140"/>
      <c r="W31" s="39"/>
      <c r="X31" s="141"/>
      <c r="Y31" s="142"/>
      <c r="Z31" s="21"/>
      <c r="AA31" s="21"/>
      <c r="AB31" s="21"/>
    </row>
    <row r="32" ht="20.25" customHeight="1">
      <c r="A32" s="20"/>
      <c r="B32" s="24"/>
      <c r="C32" s="32"/>
      <c r="D32" s="32"/>
      <c r="E32" s="32"/>
      <c r="F32" s="32"/>
      <c r="G32" s="24"/>
      <c r="H32" s="24"/>
      <c r="I32" s="27"/>
      <c r="J32" s="54"/>
      <c r="K32" s="56"/>
      <c r="L32" s="88">
        <f t="shared" si="19"/>
        <v>0</v>
      </c>
      <c r="M32" s="88">
        <f t="shared" si="20"/>
        <v>0</v>
      </c>
      <c r="N32" s="56"/>
      <c r="O32" s="88">
        <f t="shared" si="21"/>
        <v>0</v>
      </c>
      <c r="P32" s="88">
        <f t="shared" si="22"/>
        <v>0</v>
      </c>
      <c r="Q32" s="21"/>
      <c r="R32" s="138"/>
      <c r="S32" s="143"/>
      <c r="T32" s="55"/>
      <c r="U32" s="49"/>
      <c r="V32" s="140"/>
      <c r="W32" s="39"/>
      <c r="X32" s="141"/>
      <c r="Y32" s="142"/>
      <c r="Z32" s="21"/>
      <c r="AA32" s="21"/>
      <c r="AB32" s="21"/>
    </row>
    <row r="33" ht="20.25" customHeight="1">
      <c r="A33" s="28"/>
      <c r="B33" s="99" t="s">
        <v>86</v>
      </c>
      <c r="C33" s="30"/>
      <c r="D33" s="31"/>
      <c r="E33" s="32"/>
      <c r="F33" s="29" t="s">
        <v>87</v>
      </c>
      <c r="G33" s="31"/>
      <c r="H33" s="100" t="s">
        <v>46</v>
      </c>
      <c r="I33" s="101"/>
      <c r="J33" s="54"/>
      <c r="K33" s="56"/>
      <c r="L33" s="88">
        <f t="shared" si="19"/>
        <v>0</v>
      </c>
      <c r="M33" s="88">
        <f t="shared" si="20"/>
        <v>0</v>
      </c>
      <c r="N33" s="56"/>
      <c r="O33" s="88">
        <f t="shared" si="21"/>
        <v>0</v>
      </c>
      <c r="P33" s="88">
        <f t="shared" si="22"/>
        <v>0</v>
      </c>
      <c r="Q33" s="21"/>
      <c r="R33" s="138"/>
      <c r="S33" s="143"/>
      <c r="T33" s="55"/>
      <c r="U33" s="49"/>
      <c r="V33" s="140"/>
      <c r="W33" s="39"/>
      <c r="X33" s="141"/>
      <c r="Y33" s="142"/>
      <c r="Z33" s="21"/>
      <c r="AA33" s="21"/>
      <c r="AB33" s="21"/>
    </row>
    <row r="34" ht="20.25" customHeight="1">
      <c r="A34" s="40"/>
      <c r="B34" s="41" t="s">
        <v>44</v>
      </c>
      <c r="C34" s="41" t="s">
        <v>43</v>
      </c>
      <c r="D34" s="41" t="s">
        <v>46</v>
      </c>
      <c r="E34" s="57"/>
      <c r="F34" s="102" t="s">
        <v>88</v>
      </c>
      <c r="G34" s="31"/>
      <c r="H34" s="103">
        <f>D14</f>
        <v>0</v>
      </c>
      <c r="I34" s="104"/>
      <c r="J34" s="54"/>
      <c r="K34" s="56"/>
      <c r="L34" s="88">
        <f t="shared" si="19"/>
        <v>0</v>
      </c>
      <c r="M34" s="88">
        <f t="shared" si="20"/>
        <v>0</v>
      </c>
      <c r="N34" s="56"/>
      <c r="O34" s="88">
        <f t="shared" si="21"/>
        <v>0</v>
      </c>
      <c r="P34" s="88">
        <f t="shared" si="22"/>
        <v>0</v>
      </c>
      <c r="Q34" s="21"/>
      <c r="R34" s="138"/>
      <c r="S34" s="143"/>
      <c r="T34" s="55"/>
      <c r="U34" s="49"/>
      <c r="V34" s="140"/>
      <c r="W34" s="39"/>
      <c r="X34" s="141"/>
      <c r="Y34" s="142"/>
      <c r="Z34" s="21"/>
      <c r="AA34" s="21"/>
      <c r="AB34" s="21"/>
    </row>
    <row r="35" ht="20.25" customHeight="1">
      <c r="A35" s="19"/>
      <c r="B35" s="54"/>
      <c r="C35" s="55"/>
      <c r="D35" s="56"/>
      <c r="E35" s="57"/>
      <c r="F35" s="102" t="s">
        <v>90</v>
      </c>
      <c r="G35" s="31"/>
      <c r="H35" s="103">
        <f>H14</f>
        <v>0</v>
      </c>
      <c r="I35" s="104"/>
      <c r="J35" s="54"/>
      <c r="K35" s="56"/>
      <c r="L35" s="88">
        <f t="shared" si="19"/>
        <v>0</v>
      </c>
      <c r="M35" s="88">
        <f t="shared" si="20"/>
        <v>0</v>
      </c>
      <c r="N35" s="56"/>
      <c r="O35" s="88">
        <f t="shared" si="21"/>
        <v>0</v>
      </c>
      <c r="P35" s="88">
        <f t="shared" si="22"/>
        <v>0</v>
      </c>
      <c r="Q35" s="21"/>
      <c r="R35" s="138"/>
      <c r="S35" s="143"/>
      <c r="T35" s="55"/>
      <c r="U35" s="49"/>
      <c r="V35" s="140"/>
      <c r="W35" s="39"/>
      <c r="X35" s="141"/>
      <c r="Y35" s="142"/>
      <c r="Z35" s="21"/>
      <c r="AA35" s="21"/>
      <c r="AB35" s="21"/>
    </row>
    <row r="36" ht="20.25" customHeight="1">
      <c r="A36" s="19"/>
      <c r="B36" s="54"/>
      <c r="C36" s="55"/>
      <c r="D36" s="59"/>
      <c r="E36" s="57"/>
      <c r="F36" s="102" t="s">
        <v>91</v>
      </c>
      <c r="G36" s="31"/>
      <c r="H36" s="103">
        <f>D31+H31</f>
        <v>0</v>
      </c>
      <c r="I36" s="105"/>
      <c r="J36" s="54"/>
      <c r="K36" s="56"/>
      <c r="L36" s="88">
        <f t="shared" si="19"/>
        <v>0</v>
      </c>
      <c r="M36" s="88">
        <f t="shared" si="20"/>
        <v>0</v>
      </c>
      <c r="N36" s="56"/>
      <c r="O36" s="88">
        <f t="shared" si="21"/>
        <v>0</v>
      </c>
      <c r="P36" s="88">
        <f t="shared" si="22"/>
        <v>0</v>
      </c>
      <c r="Q36" s="21"/>
      <c r="R36" s="138"/>
      <c r="S36" s="143"/>
      <c r="T36" s="55"/>
      <c r="U36" s="49"/>
      <c r="V36" s="140"/>
      <c r="W36" s="39"/>
      <c r="X36" s="141"/>
      <c r="Y36" s="142"/>
      <c r="Z36" s="21"/>
      <c r="AA36" s="21"/>
      <c r="AB36" s="21"/>
    </row>
    <row r="37" ht="20.25" customHeight="1">
      <c r="A37" s="19"/>
      <c r="B37" s="54"/>
      <c r="C37" s="55"/>
      <c r="D37" s="59"/>
      <c r="E37" s="57"/>
      <c r="F37" s="102" t="s">
        <v>92</v>
      </c>
      <c r="G37" s="31"/>
      <c r="H37" s="103">
        <f>H34-H35-H36</f>
        <v>0</v>
      </c>
      <c r="I37" s="104"/>
      <c r="J37" s="54"/>
      <c r="K37" s="56"/>
      <c r="L37" s="88">
        <f t="shared" si="19"/>
        <v>0</v>
      </c>
      <c r="M37" s="88">
        <f t="shared" si="20"/>
        <v>0</v>
      </c>
      <c r="N37" s="56"/>
      <c r="O37" s="88">
        <f t="shared" si="21"/>
        <v>0</v>
      </c>
      <c r="P37" s="88">
        <f t="shared" si="22"/>
        <v>0</v>
      </c>
      <c r="Q37" s="21"/>
      <c r="R37" s="138"/>
      <c r="S37" s="143"/>
      <c r="T37" s="55"/>
      <c r="U37" s="49"/>
      <c r="V37" s="140"/>
      <c r="W37" s="39"/>
      <c r="X37" s="141"/>
      <c r="Y37" s="142"/>
      <c r="Z37" s="21"/>
      <c r="AA37" s="21"/>
      <c r="AB37" s="21"/>
    </row>
    <row r="38" ht="20.25" customHeight="1">
      <c r="A38" s="106"/>
      <c r="B38" s="54"/>
      <c r="C38" s="55"/>
      <c r="D38" s="59"/>
      <c r="E38" s="57"/>
      <c r="F38" s="102" t="s">
        <v>93</v>
      </c>
      <c r="G38" s="31"/>
      <c r="H38" s="103">
        <f>H35+H37</f>
        <v>0</v>
      </c>
      <c r="I38" s="107"/>
      <c r="J38" s="89" t="s">
        <v>83</v>
      </c>
      <c r="K38" s="88">
        <f t="shared" ref="K38:L38" si="23">SUM(K31:K37)</f>
        <v>0</v>
      </c>
      <c r="L38" s="88">
        <f t="shared" si="23"/>
        <v>0</v>
      </c>
      <c r="M38" s="88">
        <f t="shared" si="20"/>
        <v>0</v>
      </c>
      <c r="N38" s="88">
        <f t="shared" ref="N38:O38" si="24">SUM(N31:N37)</f>
        <v>0</v>
      </c>
      <c r="O38" s="88">
        <f t="shared" si="24"/>
        <v>0</v>
      </c>
      <c r="P38" s="88">
        <f t="shared" si="22"/>
        <v>0</v>
      </c>
      <c r="Q38" s="21"/>
      <c r="R38" s="138"/>
      <c r="S38" s="143"/>
      <c r="T38" s="55"/>
      <c r="U38" s="49"/>
      <c r="V38" s="140"/>
      <c r="W38" s="39"/>
      <c r="X38" s="141"/>
      <c r="Y38" s="142"/>
      <c r="Z38" s="21"/>
      <c r="AA38" s="21"/>
      <c r="AB38" s="21"/>
    </row>
    <row r="39" ht="20.25" customHeight="1">
      <c r="A39" s="106"/>
      <c r="B39" s="54"/>
      <c r="C39" s="55"/>
      <c r="D39" s="66"/>
      <c r="E39" s="32"/>
      <c r="F39" s="32"/>
      <c r="G39" s="108"/>
      <c r="H39" s="108"/>
      <c r="I39" s="27"/>
      <c r="J39" s="90"/>
      <c r="K39" s="57"/>
      <c r="L39" s="92"/>
      <c r="M39" s="92"/>
      <c r="N39" s="92"/>
      <c r="O39" s="93"/>
      <c r="P39" s="94"/>
      <c r="Q39" s="21"/>
      <c r="R39" s="138"/>
      <c r="S39" s="143"/>
      <c r="T39" s="55"/>
      <c r="U39" s="49"/>
      <c r="V39" s="140"/>
      <c r="W39" s="39"/>
      <c r="X39" s="141"/>
      <c r="Y39" s="142"/>
      <c r="Z39" s="21"/>
      <c r="AA39" s="21"/>
      <c r="AB39" s="21"/>
    </row>
    <row r="40" ht="20.25" customHeight="1">
      <c r="A40" s="69"/>
      <c r="B40" s="109"/>
      <c r="C40" s="55"/>
      <c r="D40" s="110"/>
      <c r="E40" s="32"/>
      <c r="F40" s="111" t="s">
        <v>121</v>
      </c>
      <c r="G40" s="112" t="s">
        <v>122</v>
      </c>
      <c r="H40" s="113"/>
      <c r="I40" s="27"/>
      <c r="J40" s="95" t="s">
        <v>66</v>
      </c>
      <c r="K40" s="80"/>
      <c r="L40" s="81" t="s">
        <v>96</v>
      </c>
      <c r="M40" s="82"/>
      <c r="N40" s="80"/>
      <c r="O40" s="81" t="s">
        <v>83</v>
      </c>
      <c r="P40" s="82"/>
      <c r="Q40" s="21"/>
      <c r="R40" s="138"/>
      <c r="S40" s="143"/>
      <c r="T40" s="55"/>
      <c r="U40" s="49"/>
      <c r="V40" s="140"/>
      <c r="W40" s="39"/>
      <c r="X40" s="141"/>
      <c r="Y40" s="142"/>
      <c r="Z40" s="21"/>
      <c r="AA40" s="21"/>
      <c r="AB40" s="21"/>
    </row>
    <row r="41" ht="20.25" customHeight="1">
      <c r="B41" s="114"/>
      <c r="C41" s="55"/>
      <c r="D41" s="110"/>
      <c r="E41" s="32"/>
      <c r="F41" s="115" t="str">
        <f>H36/H34</f>
        <v>#DIV/0!</v>
      </c>
      <c r="G41" s="116" t="str">
        <f>H38/H34</f>
        <v>#DIV/0!</v>
      </c>
      <c r="H41" s="117"/>
      <c r="I41" s="27"/>
      <c r="J41" s="96"/>
      <c r="K41" s="86" t="s">
        <v>65</v>
      </c>
      <c r="L41" s="86" t="s">
        <v>46</v>
      </c>
      <c r="M41" s="86" t="s">
        <v>69</v>
      </c>
      <c r="N41" s="86" t="s">
        <v>65</v>
      </c>
      <c r="O41" s="86" t="s">
        <v>46</v>
      </c>
      <c r="P41" s="86" t="s">
        <v>69</v>
      </c>
      <c r="Q41" s="21"/>
      <c r="R41" s="138"/>
      <c r="S41" s="143"/>
      <c r="T41" s="55"/>
      <c r="U41" s="49"/>
      <c r="V41" s="140"/>
      <c r="W41" s="39"/>
      <c r="X41" s="141"/>
      <c r="Y41" s="142"/>
      <c r="Z41" s="21"/>
      <c r="AA41" s="21"/>
      <c r="AB41" s="21"/>
    </row>
    <row r="42" ht="20.25" customHeight="1">
      <c r="B42" s="118" t="s">
        <v>60</v>
      </c>
      <c r="C42" s="119"/>
      <c r="D42" s="119">
        <f>SUM(D35:D41)</f>
        <v>0</v>
      </c>
      <c r="E42" s="32"/>
      <c r="F42" s="120"/>
      <c r="G42" s="121"/>
      <c r="H42" s="122"/>
      <c r="I42" s="27"/>
      <c r="J42" s="54"/>
      <c r="K42" s="56"/>
      <c r="L42" s="88">
        <f t="shared" ref="L42:L48" si="26">sumifs($X:$X,$S:$S,$L$40,$U:$U,J42)</f>
        <v>0</v>
      </c>
      <c r="M42" s="88">
        <f t="shared" ref="M42:M49" si="27">K42-L42</f>
        <v>0</v>
      </c>
      <c r="N42" s="83">
        <f t="shared" ref="N42:O42" si="25">K20+N20+K31+N31+K42</f>
        <v>0</v>
      </c>
      <c r="O42" s="83">
        <f t="shared" si="25"/>
        <v>0</v>
      </c>
      <c r="P42" s="88">
        <f t="shared" ref="P42:P49" si="29">N42-O42</f>
        <v>0</v>
      </c>
      <c r="Q42" s="21"/>
      <c r="R42" s="138"/>
      <c r="S42" s="143"/>
      <c r="T42" s="55"/>
      <c r="U42" s="49"/>
      <c r="V42" s="140"/>
      <c r="W42" s="39"/>
      <c r="X42" s="141"/>
      <c r="Y42" s="142"/>
      <c r="Z42" s="21"/>
      <c r="AA42" s="21"/>
      <c r="AB42" s="21"/>
    </row>
    <row r="43" ht="20.25" customHeight="1">
      <c r="A43" s="69"/>
      <c r="B43" s="123"/>
      <c r="C43" s="124"/>
      <c r="D43" s="124" t="s">
        <v>97</v>
      </c>
      <c r="E43" s="25"/>
      <c r="F43" s="125" t="s">
        <v>98</v>
      </c>
      <c r="G43" s="125"/>
      <c r="H43" s="125" t="s">
        <v>99</v>
      </c>
      <c r="I43" s="27"/>
      <c r="J43" s="54"/>
      <c r="K43" s="56"/>
      <c r="L43" s="88">
        <f t="shared" si="26"/>
        <v>0</v>
      </c>
      <c r="M43" s="88">
        <f t="shared" si="27"/>
        <v>0</v>
      </c>
      <c r="N43" s="83">
        <f t="shared" ref="N43:O43" si="28">K21+N21+K32+N32+K43</f>
        <v>0</v>
      </c>
      <c r="O43" s="83">
        <f t="shared" si="28"/>
        <v>0</v>
      </c>
      <c r="P43" s="88">
        <f t="shared" si="29"/>
        <v>0</v>
      </c>
      <c r="Q43" s="21"/>
      <c r="R43" s="138"/>
      <c r="S43" s="143"/>
      <c r="T43" s="55"/>
      <c r="U43" s="49"/>
      <c r="V43" s="140"/>
      <c r="W43" s="39"/>
      <c r="X43" s="141"/>
      <c r="Y43" s="142"/>
      <c r="Z43" s="21"/>
      <c r="AA43" s="21"/>
      <c r="AB43" s="21"/>
    </row>
    <row r="44" ht="20.25" customHeight="1">
      <c r="A44" s="69"/>
      <c r="B44" s="112" t="s">
        <v>100</v>
      </c>
      <c r="C44" s="126"/>
      <c r="D44" s="126"/>
      <c r="E44" s="126"/>
      <c r="F44" s="126"/>
      <c r="G44" s="126"/>
      <c r="H44" s="113"/>
      <c r="I44" s="27"/>
      <c r="J44" s="54"/>
      <c r="K44" s="56"/>
      <c r="L44" s="88">
        <f t="shared" si="26"/>
        <v>0</v>
      </c>
      <c r="M44" s="88">
        <f t="shared" si="27"/>
        <v>0</v>
      </c>
      <c r="N44" s="83">
        <f t="shared" ref="N44:O44" si="30">K22+N22+K33+N33+K44</f>
        <v>0</v>
      </c>
      <c r="O44" s="83">
        <f t="shared" si="30"/>
        <v>0</v>
      </c>
      <c r="P44" s="88">
        <f t="shared" si="29"/>
        <v>0</v>
      </c>
      <c r="Q44" s="21"/>
      <c r="R44" s="138"/>
      <c r="S44" s="143"/>
      <c r="T44" s="55"/>
      <c r="U44" s="49"/>
      <c r="V44" s="140"/>
      <c r="W44" s="39"/>
      <c r="X44" s="141"/>
      <c r="Y44" s="142"/>
      <c r="Z44" s="21"/>
      <c r="AA44" s="21"/>
      <c r="AB44" s="21"/>
    </row>
    <row r="45" ht="20.25" customHeight="1">
      <c r="A45" s="20"/>
      <c r="B45" s="127"/>
      <c r="C45" s="128"/>
      <c r="D45" s="128"/>
      <c r="E45" s="128"/>
      <c r="F45" s="128"/>
      <c r="G45" s="128"/>
      <c r="H45" s="117"/>
      <c r="I45" s="27"/>
      <c r="J45" s="54"/>
      <c r="K45" s="56"/>
      <c r="L45" s="88">
        <f t="shared" si="26"/>
        <v>0</v>
      </c>
      <c r="M45" s="88">
        <f t="shared" si="27"/>
        <v>0</v>
      </c>
      <c r="N45" s="83">
        <f t="shared" ref="N45:O45" si="31">K23+N23+K34+N34+K45</f>
        <v>0</v>
      </c>
      <c r="O45" s="83">
        <f t="shared" si="31"/>
        <v>0</v>
      </c>
      <c r="P45" s="88">
        <f t="shared" si="29"/>
        <v>0</v>
      </c>
      <c r="Q45" s="21"/>
      <c r="R45" s="138"/>
      <c r="S45" s="143"/>
      <c r="T45" s="55"/>
      <c r="U45" s="49"/>
      <c r="V45" s="140"/>
      <c r="W45" s="39"/>
      <c r="X45" s="141"/>
      <c r="Y45" s="142"/>
      <c r="Z45" s="21"/>
      <c r="AA45" s="21"/>
      <c r="AB45" s="21"/>
    </row>
    <row r="46" ht="20.25" customHeight="1">
      <c r="A46" s="20"/>
      <c r="B46" s="129"/>
      <c r="H46" s="130"/>
      <c r="I46" s="27"/>
      <c r="J46" s="54"/>
      <c r="K46" s="56"/>
      <c r="L46" s="88">
        <f t="shared" si="26"/>
        <v>0</v>
      </c>
      <c r="M46" s="88">
        <f t="shared" si="27"/>
        <v>0</v>
      </c>
      <c r="N46" s="83">
        <f t="shared" ref="N46:O46" si="32">K24+N24+K35+N35+K46</f>
        <v>0</v>
      </c>
      <c r="O46" s="83">
        <f t="shared" si="32"/>
        <v>0</v>
      </c>
      <c r="P46" s="88">
        <f t="shared" si="29"/>
        <v>0</v>
      </c>
      <c r="Q46" s="21"/>
      <c r="R46" s="138"/>
      <c r="S46" s="143"/>
      <c r="T46" s="55"/>
      <c r="U46" s="49"/>
      <c r="V46" s="140"/>
      <c r="W46" s="39"/>
      <c r="X46" s="141"/>
      <c r="Y46" s="142"/>
      <c r="Z46" s="21"/>
      <c r="AA46" s="21"/>
      <c r="AB46" s="21"/>
    </row>
    <row r="47" ht="20.25" customHeight="1">
      <c r="A47" s="20"/>
      <c r="B47" s="129"/>
      <c r="H47" s="130"/>
      <c r="I47" s="27"/>
      <c r="J47" s="54"/>
      <c r="K47" s="56"/>
      <c r="L47" s="88">
        <f t="shared" si="26"/>
        <v>0</v>
      </c>
      <c r="M47" s="88">
        <f t="shared" si="27"/>
        <v>0</v>
      </c>
      <c r="N47" s="83">
        <f t="shared" ref="N47:O47" si="33">K25+N25+K36+N36+K47</f>
        <v>0</v>
      </c>
      <c r="O47" s="83">
        <f t="shared" si="33"/>
        <v>0</v>
      </c>
      <c r="P47" s="88">
        <f t="shared" si="29"/>
        <v>0</v>
      </c>
      <c r="Q47" s="21"/>
      <c r="R47" s="138"/>
      <c r="S47" s="143"/>
      <c r="T47" s="55"/>
      <c r="U47" s="49"/>
      <c r="V47" s="140"/>
      <c r="W47" s="39"/>
      <c r="X47" s="141"/>
      <c r="Y47" s="142"/>
      <c r="Z47" s="21"/>
      <c r="AA47" s="21"/>
      <c r="AB47" s="21"/>
    </row>
    <row r="48" ht="20.25" customHeight="1">
      <c r="A48" s="20"/>
      <c r="B48" s="129"/>
      <c r="H48" s="130"/>
      <c r="I48" s="27"/>
      <c r="J48" s="54"/>
      <c r="K48" s="56"/>
      <c r="L48" s="88">
        <f t="shared" si="26"/>
        <v>0</v>
      </c>
      <c r="M48" s="88">
        <f t="shared" si="27"/>
        <v>0</v>
      </c>
      <c r="N48" s="83">
        <f t="shared" ref="N48:O48" si="34">K26+N26+K37+N37+K48</f>
        <v>0</v>
      </c>
      <c r="O48" s="83">
        <f t="shared" si="34"/>
        <v>0</v>
      </c>
      <c r="P48" s="88">
        <f t="shared" si="29"/>
        <v>0</v>
      </c>
      <c r="Q48" s="21"/>
      <c r="R48" s="138"/>
      <c r="S48" s="143"/>
      <c r="T48" s="55"/>
      <c r="U48" s="49"/>
      <c r="V48" s="140"/>
      <c r="W48" s="39"/>
      <c r="X48" s="141"/>
      <c r="Y48" s="142"/>
      <c r="Z48" s="21"/>
      <c r="AA48" s="21"/>
      <c r="AB48" s="21"/>
    </row>
    <row r="49" ht="20.25" customHeight="1">
      <c r="A49" s="20"/>
      <c r="B49" s="121"/>
      <c r="C49" s="131"/>
      <c r="D49" s="131"/>
      <c r="E49" s="131"/>
      <c r="F49" s="131"/>
      <c r="G49" s="131"/>
      <c r="H49" s="122"/>
      <c r="I49" s="27"/>
      <c r="J49" s="89" t="s">
        <v>83</v>
      </c>
      <c r="K49" s="88">
        <f t="shared" ref="K49:L49" si="35">SUM(K42:K48)</f>
        <v>0</v>
      </c>
      <c r="L49" s="88">
        <f t="shared" si="35"/>
        <v>0</v>
      </c>
      <c r="M49" s="88">
        <f t="shared" si="27"/>
        <v>0</v>
      </c>
      <c r="N49" s="88">
        <f t="shared" ref="N49:O49" si="36">SUM(N42:N48)</f>
        <v>0</v>
      </c>
      <c r="O49" s="88">
        <f t="shared" si="36"/>
        <v>0</v>
      </c>
      <c r="P49" s="88">
        <f t="shared" si="29"/>
        <v>0</v>
      </c>
      <c r="Q49" s="21"/>
      <c r="R49" s="138"/>
      <c r="S49" s="143"/>
      <c r="T49" s="55"/>
      <c r="U49" s="49"/>
      <c r="V49" s="140"/>
      <c r="W49" s="39"/>
      <c r="X49" s="141"/>
      <c r="Y49" s="142"/>
      <c r="Z49" s="21"/>
      <c r="AA49" s="21"/>
      <c r="AB49" s="21"/>
    </row>
    <row r="50" ht="6.75" customHeight="1">
      <c r="A50" s="20"/>
      <c r="E50" s="25"/>
      <c r="F50" s="132"/>
      <c r="G50" s="125"/>
      <c r="H50" s="125"/>
      <c r="I50" s="27"/>
      <c r="J50" s="133"/>
      <c r="K50" s="19"/>
      <c r="L50" s="78"/>
      <c r="M50" s="78"/>
      <c r="N50" s="78"/>
      <c r="O50" s="134"/>
      <c r="P50" s="94"/>
      <c r="Q50" s="21"/>
      <c r="R50" s="135"/>
      <c r="S50" s="135"/>
      <c r="T50" s="135"/>
      <c r="U50" s="137"/>
      <c r="V50" s="135"/>
      <c r="W50" s="135"/>
      <c r="X50" s="135"/>
      <c r="Y50" s="135"/>
      <c r="Z50" s="21"/>
      <c r="AA50" s="21"/>
      <c r="AB50" s="21"/>
    </row>
    <row r="51" hidden="1">
      <c r="F51" s="19"/>
      <c r="G51" s="106"/>
      <c r="H51" s="10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</row>
  </sheetData>
  <mergeCells count="67">
    <mergeCell ref="V32:W32"/>
    <mergeCell ref="V37:W37"/>
    <mergeCell ref="G40:H40"/>
    <mergeCell ref="J40:J41"/>
    <mergeCell ref="F41:F42"/>
    <mergeCell ref="G41:H42"/>
    <mergeCell ref="B44:H44"/>
    <mergeCell ref="B45:H49"/>
    <mergeCell ref="B33:D33"/>
    <mergeCell ref="F33:G33"/>
    <mergeCell ref="F34:G34"/>
    <mergeCell ref="F35:G35"/>
    <mergeCell ref="F36:G36"/>
    <mergeCell ref="F37:G37"/>
    <mergeCell ref="F38:G38"/>
    <mergeCell ref="V44:W44"/>
    <mergeCell ref="V45:W45"/>
    <mergeCell ref="V46:W46"/>
    <mergeCell ref="V47:W47"/>
    <mergeCell ref="V48:W48"/>
    <mergeCell ref="V49:W49"/>
    <mergeCell ref="V31:W31"/>
    <mergeCell ref="V38:W38"/>
    <mergeCell ref="V39:W39"/>
    <mergeCell ref="V40:W40"/>
    <mergeCell ref="V41:W41"/>
    <mergeCell ref="V42:W42"/>
    <mergeCell ref="V43:W43"/>
    <mergeCell ref="R2:Y2"/>
    <mergeCell ref="B4:D4"/>
    <mergeCell ref="F4:H4"/>
    <mergeCell ref="V4:W4"/>
    <mergeCell ref="V5:W5"/>
    <mergeCell ref="V6:W6"/>
    <mergeCell ref="V7:W7"/>
    <mergeCell ref="V15:W15"/>
    <mergeCell ref="B16:D16"/>
    <mergeCell ref="F16:H16"/>
    <mergeCell ref="J16:P16"/>
    <mergeCell ref="V16:W16"/>
    <mergeCell ref="J18:J19"/>
    <mergeCell ref="V18:W18"/>
    <mergeCell ref="V19:W19"/>
    <mergeCell ref="V8:W8"/>
    <mergeCell ref="V9:W9"/>
    <mergeCell ref="V10:W10"/>
    <mergeCell ref="V11:W11"/>
    <mergeCell ref="V12:W12"/>
    <mergeCell ref="V13:W13"/>
    <mergeCell ref="V14:W14"/>
    <mergeCell ref="V26:W26"/>
    <mergeCell ref="V27:W27"/>
    <mergeCell ref="V28:W28"/>
    <mergeCell ref="J29:J30"/>
    <mergeCell ref="V29:W29"/>
    <mergeCell ref="V30:W30"/>
    <mergeCell ref="V17:W17"/>
    <mergeCell ref="V20:W20"/>
    <mergeCell ref="V21:W21"/>
    <mergeCell ref="V22:W22"/>
    <mergeCell ref="V23:W23"/>
    <mergeCell ref="V24:W24"/>
    <mergeCell ref="V25:W25"/>
    <mergeCell ref="V34:W34"/>
    <mergeCell ref="V35:W35"/>
    <mergeCell ref="V33:W33"/>
    <mergeCell ref="V36:W36"/>
  </mergeCells>
  <conditionalFormatting sqref="J5:P5 J7:P7 J9:P9 J11:P11 J13:P13">
    <cfRule type="expression" dxfId="4" priority="1">
      <formula>MONTH(J5)&lt;&gt;$B$1</formula>
    </cfRule>
  </conditionalFormatting>
  <dataValidations>
    <dataValidation type="list" allowBlank="1" sqref="B6:B13">
      <formula1>list!$A$2:$A51</formula1>
    </dataValidation>
    <dataValidation type="list" allowBlank="1" sqref="F6:F13">
      <formula1>list!$B$2:$B51</formula1>
    </dataValidation>
    <dataValidation type="list" allowBlank="1" sqref="J20:J26 B19:B30 F19:F30 J31:J37 J42:J48">
      <formula1>list!$C$2:$C51</formula1>
    </dataValidation>
    <dataValidation type="list" allowBlank="1" sqref="C6:C13 G6:G13 C19:C30 C35:C41 T5:T49">
      <formula1>list!$F$2:$F51</formula1>
    </dataValidation>
    <dataValidation type="list" allowBlank="1" sqref="U5:U49">
      <formula1>list!$C$2:$C51</formula1>
    </dataValidation>
    <dataValidation type="list" allowBlank="1" sqref="B35:B41">
      <formula1>list!$D$2:$D51</formula1>
    </dataValidation>
    <dataValidation type="list" allowBlank="1" showErrorMessage="1" sqref="S5:S49">
      <formula1>"1week,2week,3week,4week,5week"</formula1>
    </dataValidation>
    <dataValidation type="custom" allowBlank="1" showDropDown="1" showErrorMessage="1" sqref="J28 J39 R5:R49 J50 R50:Y50">
      <formula1>OR(NOT(ISERROR(DATEVALUE(J5))), AND(ISNUMBER(J5), LEFT(CELL("format", J5))="D"))</formula1>
    </dataValidation>
    <dataValidation type="list" allowBlank="1" showErrorMessage="1" sqref="Y5:Y49">
      <formula1>"〇,△,✕"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DB3B7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3.5"/>
    <col customWidth="1" min="3" max="3" width="27.25"/>
    <col customWidth="1" min="4" max="4" width="15.13"/>
    <col customWidth="1" min="5" max="18" width="13.25"/>
    <col customWidth="1" min="19" max="19" width="2.13"/>
    <col customWidth="1" hidden="1" min="20" max="21" width="11.0"/>
  </cols>
  <sheetData>
    <row r="1" ht="24.0" customHeight="1">
      <c r="A1" s="10" t="s">
        <v>123</v>
      </c>
      <c r="B1" s="15"/>
      <c r="D1" s="12" t="s">
        <v>124</v>
      </c>
      <c r="E1" s="14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44"/>
      <c r="R1" s="144"/>
      <c r="S1" s="144"/>
      <c r="T1" s="16"/>
      <c r="U1" s="16"/>
    </row>
    <row r="2" ht="11.25" customHeight="1">
      <c r="A2" s="24"/>
      <c r="B2" s="27"/>
      <c r="D2" s="25"/>
      <c r="E2" s="24"/>
      <c r="F2" s="27"/>
      <c r="G2" s="145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</row>
    <row r="3" ht="22.5" customHeight="1">
      <c r="A3" s="146" t="s">
        <v>125</v>
      </c>
      <c r="B3" s="147"/>
      <c r="C3" s="148" t="s">
        <v>44</v>
      </c>
      <c r="D3" s="148" t="s">
        <v>126</v>
      </c>
      <c r="E3" s="148" t="s">
        <v>127</v>
      </c>
      <c r="F3" s="148" t="s">
        <v>128</v>
      </c>
      <c r="G3" s="149" t="s">
        <v>129</v>
      </c>
      <c r="H3" s="149" t="s">
        <v>130</v>
      </c>
      <c r="I3" s="149" t="s">
        <v>131</v>
      </c>
      <c r="J3" s="149" t="s">
        <v>132</v>
      </c>
      <c r="K3" s="149" t="s">
        <v>133</v>
      </c>
      <c r="L3" s="149" t="s">
        <v>134</v>
      </c>
      <c r="M3" s="149" t="s">
        <v>135</v>
      </c>
      <c r="N3" s="149" t="s">
        <v>136</v>
      </c>
      <c r="O3" s="149" t="s">
        <v>137</v>
      </c>
      <c r="P3" s="150" t="s">
        <v>138</v>
      </c>
      <c r="Q3" s="151" t="s">
        <v>139</v>
      </c>
      <c r="R3" s="152" t="s">
        <v>140</v>
      </c>
      <c r="S3" s="153"/>
      <c r="T3" s="154" t="str">
        <f t="array" ref="T3:T54">{"年間合計";ByRow(E13:P63, Lambda(row, Sum(row)))}</f>
        <v>年間合計</v>
      </c>
      <c r="U3" s="155"/>
    </row>
    <row r="4" ht="22.5" customHeight="1">
      <c r="A4" s="156" t="s">
        <v>32</v>
      </c>
      <c r="B4" s="157"/>
      <c r="C4" s="158" t="s">
        <v>52</v>
      </c>
      <c r="D4" s="159"/>
      <c r="E4" s="160">
        <f>SUMIF('1月'!$B$6:$B$13,$C4,'1月'!$D$6:$D$13)</f>
        <v>250000</v>
      </c>
      <c r="F4" s="160">
        <f>SUMIF('2月'!$B$6:$B$13,$C4,'2月'!$D$6:$D$13)</f>
        <v>0</v>
      </c>
      <c r="G4" s="160">
        <f>SUMIF('3月'!$B$6:$B$13,$C4,'3月'!$D$6:$D$13)</f>
        <v>0</v>
      </c>
      <c r="H4" s="160">
        <f>SUMIF('4月'!$B$6:$B$13,$C4,'4月'!$D$6:$D$13)</f>
        <v>0</v>
      </c>
      <c r="I4" s="160">
        <f>SUMIF('5月'!$B$6:$B$13,$C4,'5月'!$D$6:$D$13)</f>
        <v>0</v>
      </c>
      <c r="J4" s="160">
        <f>SUMIF('6月'!$B$6:$B$13,$C4,'6月'!$D$6:$D$13)</f>
        <v>0</v>
      </c>
      <c r="K4" s="160">
        <f>SUMIF('7月'!$B$6:$B$13,$C4,'7月'!$D$6:$D$13)</f>
        <v>0</v>
      </c>
      <c r="L4" s="160">
        <f>SUMIF('8月'!$B$6:$B$13,$C4,'8月'!$D$6:$D$13)</f>
        <v>0</v>
      </c>
      <c r="M4" s="160">
        <f>SUMIF('9月'!$B$6:$B$13,$C4,'9月'!$D$6:$D$13)</f>
        <v>0</v>
      </c>
      <c r="N4" s="160">
        <f>SUMIF('10月'!$B$6:$B$13,$C4,'10月'!$D$6:$D$13)</f>
        <v>0</v>
      </c>
      <c r="O4" s="160">
        <f>SUMIF('11月'!$B$6:$B$13,$C4,'11月'!$D$6:$D$13)</f>
        <v>0</v>
      </c>
      <c r="P4" s="161">
        <f>SUMIF('12月'!$B$6:$B$13,$C4,'12月'!$D$6:$D$13)</f>
        <v>0</v>
      </c>
      <c r="Q4" s="162">
        <f t="shared" ref="Q4:Q39" si="1">AVERAGE(E4:P4)</f>
        <v>20833.33333</v>
      </c>
      <c r="R4" s="163">
        <f t="shared" ref="R4:R39" si="2">SUM(E4:P4)</f>
        <v>250000</v>
      </c>
      <c r="S4" s="164"/>
      <c r="T4" s="165">
        <v>100000.0</v>
      </c>
      <c r="U4" s="166"/>
    </row>
    <row r="5" ht="22.5" customHeight="1">
      <c r="A5" s="167"/>
      <c r="C5" s="158" t="s">
        <v>55</v>
      </c>
      <c r="D5" s="159"/>
      <c r="E5" s="160">
        <f>SUMIF('1月'!$B$6:$B$13,$C5,'1月'!$D$6:$D$13)</f>
        <v>150000</v>
      </c>
      <c r="F5" s="160">
        <f>SUMIF('2月'!$B$6:$B$13,$C5,'2月'!$D$6:$D$13)</f>
        <v>0</v>
      </c>
      <c r="G5" s="160">
        <f>SUMIF('3月'!$B$6:$B$13,$C5,'3月'!$D$6:$D$13)</f>
        <v>0</v>
      </c>
      <c r="H5" s="160">
        <f>SUMIF('4月'!$B$6:$B$13,$C5,'4月'!$D$6:$D$13)</f>
        <v>0</v>
      </c>
      <c r="I5" s="160">
        <f>SUMIF('5月'!$B$6:$B$13,$C5,'5月'!$D$6:$D$13)</f>
        <v>0</v>
      </c>
      <c r="J5" s="160">
        <f>SUMIF('6月'!$B$6:$B$13,$C5,'6月'!$D$6:$D$13)</f>
        <v>0</v>
      </c>
      <c r="K5" s="160">
        <f>SUMIF('7月'!$B$6:$B$13,$C5,'7月'!$D$6:$D$13)</f>
        <v>0</v>
      </c>
      <c r="L5" s="160">
        <f>SUMIF('8月'!$B$6:$B$13,$C5,'8月'!$D$6:$D$13)</f>
        <v>0</v>
      </c>
      <c r="M5" s="160">
        <f>SUMIF('9月'!$B$6:$B$13,$C5,'9月'!$D$6:$D$13)</f>
        <v>0</v>
      </c>
      <c r="N5" s="160">
        <f>SUMIF('10月'!$B$6:$B$13,$C5,'10月'!$D$6:$D$13)</f>
        <v>0</v>
      </c>
      <c r="O5" s="160">
        <f>SUMIF('11月'!$B$6:$B$13,$C5,'11月'!$D$6:$D$13)</f>
        <v>0</v>
      </c>
      <c r="P5" s="161">
        <f>SUMIF('12月'!$B$6:$B$13,$C5,'12月'!$D$6:$D$13)</f>
        <v>0</v>
      </c>
      <c r="Q5" s="162">
        <f t="shared" si="1"/>
        <v>12500</v>
      </c>
      <c r="R5" s="163">
        <f t="shared" si="2"/>
        <v>150000</v>
      </c>
      <c r="S5" s="164"/>
      <c r="T5" s="165">
        <v>8000.0</v>
      </c>
      <c r="U5" s="166"/>
    </row>
    <row r="6" ht="22.5" customHeight="1">
      <c r="A6" s="167"/>
      <c r="C6" s="158" t="s">
        <v>141</v>
      </c>
      <c r="D6" s="159"/>
      <c r="E6" s="160">
        <f>SUMIF('1月'!$B$6:$B$13,$C6,'1月'!$D$6:$D$13)</f>
        <v>0</v>
      </c>
      <c r="F6" s="160">
        <f>SUMIF('2月'!$B$6:$B$13,$C6,'2月'!$D$6:$D$13)</f>
        <v>0</v>
      </c>
      <c r="G6" s="160">
        <f>SUMIF('3月'!$B$6:$B$13,$C6,'3月'!$D$6:$D$13)</f>
        <v>0</v>
      </c>
      <c r="H6" s="160">
        <f>SUMIF('4月'!$B$6:$B$13,$C6,'4月'!$D$6:$D$13)</f>
        <v>0</v>
      </c>
      <c r="I6" s="160">
        <f>SUMIF('5月'!$B$6:$B$13,$C6,'5月'!$D$6:$D$13)</f>
        <v>0</v>
      </c>
      <c r="J6" s="160">
        <f>SUMIF('6月'!$B$6:$B$13,$C6,'6月'!$D$6:$D$13)</f>
        <v>0</v>
      </c>
      <c r="K6" s="160">
        <f>SUMIF('7月'!$B$6:$B$13,$C6,'7月'!$D$6:$D$13)</f>
        <v>0</v>
      </c>
      <c r="L6" s="160">
        <f>SUMIF('8月'!$B$6:$B$13,$C6,'8月'!$D$6:$D$13)</f>
        <v>0</v>
      </c>
      <c r="M6" s="160">
        <f>SUMIF('9月'!$B$6:$B$13,$C6,'9月'!$D$6:$D$13)</f>
        <v>0</v>
      </c>
      <c r="N6" s="160">
        <f>SUMIF('10月'!$B$6:$B$13,$C6,'10月'!$D$6:$D$13)</f>
        <v>0</v>
      </c>
      <c r="O6" s="160">
        <f>SUMIF('11月'!$B$6:$B$13,$C6,'11月'!$D$6:$D$13)</f>
        <v>0</v>
      </c>
      <c r="P6" s="161">
        <f>SUMIF('12月'!$B$6:$B$13,$C6,'12月'!$D$6:$D$13)</f>
        <v>0</v>
      </c>
      <c r="Q6" s="162">
        <f t="shared" si="1"/>
        <v>0</v>
      </c>
      <c r="R6" s="163">
        <f t="shared" si="2"/>
        <v>0</v>
      </c>
      <c r="S6" s="164"/>
      <c r="T6" s="165">
        <v>5000.0</v>
      </c>
      <c r="U6" s="166"/>
    </row>
    <row r="7" ht="22.5" customHeight="1">
      <c r="A7" s="167"/>
      <c r="C7" s="158" t="s">
        <v>142</v>
      </c>
      <c r="D7" s="159"/>
      <c r="E7" s="160">
        <f>SUMIF('1月'!$B$6:$B$13,$C7,'1月'!$D$6:$D$13)</f>
        <v>0</v>
      </c>
      <c r="F7" s="160">
        <f>SUMIF('2月'!$B$6:$B$13,$C7,'2月'!$D$6:$D$13)</f>
        <v>0</v>
      </c>
      <c r="G7" s="160">
        <f>SUMIF('3月'!$B$6:$B$13,$C7,'3月'!$D$6:$D$13)</f>
        <v>0</v>
      </c>
      <c r="H7" s="160">
        <f>SUMIF('4月'!$B$6:$B$13,$C7,'4月'!$D$6:$D$13)</f>
        <v>0</v>
      </c>
      <c r="I7" s="160">
        <f>SUMIF('5月'!$B$6:$B$13,$C7,'5月'!$D$6:$D$13)</f>
        <v>0</v>
      </c>
      <c r="J7" s="160">
        <f>SUMIF('6月'!$B$6:$B$13,$C7,'6月'!$D$6:$D$13)</f>
        <v>0</v>
      </c>
      <c r="K7" s="160">
        <f>SUMIF('7月'!$B$6:$B$13,$C7,'7月'!$D$6:$D$13)</f>
        <v>0</v>
      </c>
      <c r="L7" s="160">
        <f>SUMIF('8月'!$B$6:$B$13,$C7,'8月'!$D$6:$D$13)</f>
        <v>0</v>
      </c>
      <c r="M7" s="160">
        <f>SUMIF('9月'!$B$6:$B$13,$C7,'9月'!$D$6:$D$13)</f>
        <v>0</v>
      </c>
      <c r="N7" s="160">
        <f>SUMIF('10月'!$B$6:$B$13,$C7,'10月'!$D$6:$D$13)</f>
        <v>0</v>
      </c>
      <c r="O7" s="160">
        <f>SUMIF('11月'!$B$6:$B$13,$C7,'11月'!$D$6:$D$13)</f>
        <v>0</v>
      </c>
      <c r="P7" s="161">
        <f>SUMIF('12月'!$B$6:$B$13,$C7,'12月'!$D$6:$D$13)</f>
        <v>0</v>
      </c>
      <c r="Q7" s="162">
        <f t="shared" si="1"/>
        <v>0</v>
      </c>
      <c r="R7" s="163">
        <f t="shared" si="2"/>
        <v>0</v>
      </c>
      <c r="S7" s="164"/>
      <c r="T7" s="165">
        <v>2000.0</v>
      </c>
      <c r="U7" s="166"/>
    </row>
    <row r="8" ht="22.5" customHeight="1">
      <c r="A8" s="167"/>
      <c r="C8" s="158" t="s">
        <v>143</v>
      </c>
      <c r="D8" s="159"/>
      <c r="E8" s="160">
        <f>SUMIF('1月'!$B$6:$B$13,$C8,'1月'!$D$6:$D$13)</f>
        <v>0</v>
      </c>
      <c r="F8" s="160">
        <f>SUMIF('2月'!$B$6:$B$13,$C8,'2月'!$D$6:$D$13)</f>
        <v>0</v>
      </c>
      <c r="G8" s="160">
        <f>SUMIF('3月'!$B$6:$B$13,$C8,'3月'!$D$6:$D$13)</f>
        <v>0</v>
      </c>
      <c r="H8" s="160">
        <f>SUMIF('4月'!$B$6:$B$13,$C8,'4月'!$D$6:$D$13)</f>
        <v>0</v>
      </c>
      <c r="I8" s="160">
        <f>SUMIF('5月'!$B$6:$B$13,$C8,'5月'!$D$6:$D$13)</f>
        <v>0</v>
      </c>
      <c r="J8" s="160">
        <f>SUMIF('6月'!$B$6:$B$13,$C8,'6月'!$D$6:$D$13)</f>
        <v>0</v>
      </c>
      <c r="K8" s="160">
        <f>SUMIF('7月'!$B$6:$B$13,$C8,'7月'!$D$6:$D$13)</f>
        <v>0</v>
      </c>
      <c r="L8" s="160">
        <f>SUMIF('8月'!$B$6:$B$13,$C8,'8月'!$D$6:$D$13)</f>
        <v>0</v>
      </c>
      <c r="M8" s="160">
        <f>SUMIF('9月'!$B$6:$B$13,$C8,'9月'!$D$6:$D$13)</f>
        <v>0</v>
      </c>
      <c r="N8" s="160">
        <f>SUMIF('10月'!$B$6:$B$13,$C8,'10月'!$D$6:$D$13)</f>
        <v>0</v>
      </c>
      <c r="O8" s="160">
        <f>SUMIF('11月'!$B$6:$B$13,$C8,'11月'!$D$6:$D$13)</f>
        <v>0</v>
      </c>
      <c r="P8" s="161">
        <f>SUMIF('12月'!$B$6:$B$13,$C8,'12月'!$D$6:$D$13)</f>
        <v>0</v>
      </c>
      <c r="Q8" s="162">
        <f t="shared" si="1"/>
        <v>0</v>
      </c>
      <c r="R8" s="163">
        <f t="shared" si="2"/>
        <v>0</v>
      </c>
      <c r="S8" s="164"/>
      <c r="T8" s="165">
        <v>30000.0</v>
      </c>
      <c r="U8" s="166"/>
    </row>
    <row r="9" ht="22.5" customHeight="1">
      <c r="A9" s="167"/>
      <c r="C9" s="158" t="s">
        <v>144</v>
      </c>
      <c r="D9" s="159"/>
      <c r="E9" s="160">
        <f>SUMIF('1月'!$B$6:$B$13,$C9,'1月'!$D$6:$D$13)</f>
        <v>0</v>
      </c>
      <c r="F9" s="160">
        <f>SUMIF('2月'!$B$6:$B$13,$C9,'2月'!$D$6:$D$13)</f>
        <v>0</v>
      </c>
      <c r="G9" s="160">
        <f>SUMIF('3月'!$B$6:$B$13,$C9,'3月'!$D$6:$D$13)</f>
        <v>0</v>
      </c>
      <c r="H9" s="160">
        <f>SUMIF('4月'!$B$6:$B$13,$C9,'4月'!$D$6:$D$13)</f>
        <v>0</v>
      </c>
      <c r="I9" s="160">
        <f>SUMIF('5月'!$B$6:$B$13,$C9,'5月'!$D$6:$D$13)</f>
        <v>0</v>
      </c>
      <c r="J9" s="160">
        <f>SUMIF('6月'!$B$6:$B$13,$C9,'6月'!$D$6:$D$13)</f>
        <v>0</v>
      </c>
      <c r="K9" s="160">
        <f>SUMIF('7月'!$B$6:$B$13,$C9,'7月'!$D$6:$D$13)</f>
        <v>0</v>
      </c>
      <c r="L9" s="160">
        <f>SUMIF('8月'!$B$6:$B$13,$C9,'8月'!$D$6:$D$13)</f>
        <v>0</v>
      </c>
      <c r="M9" s="160">
        <f>SUMIF('9月'!$B$6:$B$13,$C9,'9月'!$D$6:$D$13)</f>
        <v>0</v>
      </c>
      <c r="N9" s="160">
        <f>SUMIF('10月'!$B$6:$B$13,$C9,'10月'!$D$6:$D$13)</f>
        <v>0</v>
      </c>
      <c r="O9" s="160">
        <f>SUMIF('11月'!$B$6:$B$13,$C9,'11月'!$D$6:$D$13)</f>
        <v>0</v>
      </c>
      <c r="P9" s="161">
        <f>SUMIF('12月'!$B$6:$B$13,$C9,'12月'!$D$6:$D$13)</f>
        <v>0</v>
      </c>
      <c r="Q9" s="162">
        <f t="shared" si="1"/>
        <v>0</v>
      </c>
      <c r="R9" s="163">
        <f t="shared" si="2"/>
        <v>0</v>
      </c>
      <c r="S9" s="164"/>
      <c r="T9" s="165">
        <v>5000.0</v>
      </c>
      <c r="U9" s="166"/>
    </row>
    <row r="10" ht="22.5" customHeight="1">
      <c r="A10" s="167"/>
      <c r="C10" s="158"/>
      <c r="D10" s="159"/>
      <c r="E10" s="160">
        <f>SUMIF('1月'!$B$6:$B$13,$C10,'1月'!$D$6:$D$13)</f>
        <v>0</v>
      </c>
      <c r="F10" s="160">
        <f>SUMIF('2月'!$B$6:$B$13,$C10,'2月'!$D$6:$D$13)</f>
        <v>0</v>
      </c>
      <c r="G10" s="160">
        <f>SUMIF('3月'!$B$6:$B$13,$C10,'3月'!$D$6:$D$13)</f>
        <v>0</v>
      </c>
      <c r="H10" s="160">
        <f>SUMIF('4月'!$B$6:$B$13,$C10,'4月'!$D$6:$D$13)</f>
        <v>0</v>
      </c>
      <c r="I10" s="160">
        <f>SUMIF('5月'!$B$6:$B$13,$C10,'5月'!$D$6:$D$13)</f>
        <v>0</v>
      </c>
      <c r="J10" s="160">
        <f>SUMIF('6月'!$B$6:$B$13,$C10,'6月'!$D$6:$D$13)</f>
        <v>0</v>
      </c>
      <c r="K10" s="160">
        <f>SUMIF('7月'!$B$6:$B$13,$C10,'7月'!$D$6:$D$13)</f>
        <v>0</v>
      </c>
      <c r="L10" s="160">
        <f>SUMIF('8月'!$B$6:$B$13,$C10,'8月'!$D$6:$D$13)</f>
        <v>0</v>
      </c>
      <c r="M10" s="160">
        <f>SUMIF('9月'!$B$6:$B$13,$C10,'9月'!$D$6:$D$13)</f>
        <v>0</v>
      </c>
      <c r="N10" s="160">
        <f>SUMIF('10月'!$B$6:$B$13,$C10,'10月'!$D$6:$D$13)</f>
        <v>0</v>
      </c>
      <c r="O10" s="160">
        <f>SUMIF('11月'!$B$6:$B$13,$C10,'11月'!$D$6:$D$13)</f>
        <v>0</v>
      </c>
      <c r="P10" s="161">
        <f>SUMIF('12月'!$B$6:$B$13,$C10,'12月'!$D$6:$D$13)</f>
        <v>0</v>
      </c>
      <c r="Q10" s="162">
        <f t="shared" si="1"/>
        <v>0</v>
      </c>
      <c r="R10" s="163">
        <f t="shared" si="2"/>
        <v>0</v>
      </c>
      <c r="S10" s="164"/>
      <c r="T10" s="165">
        <v>2000.0</v>
      </c>
      <c r="U10" s="166"/>
    </row>
    <row r="11" ht="22.5" customHeight="1">
      <c r="A11" s="167"/>
      <c r="C11" s="158"/>
      <c r="D11" s="159"/>
      <c r="E11" s="160">
        <f>SUMIF('1月'!$B$6:$B$13,$C11,'1月'!$D$6:$D$13)</f>
        <v>0</v>
      </c>
      <c r="F11" s="160">
        <f>SUMIF('2月'!$B$6:$B$13,$C11,'2月'!$D$6:$D$13)</f>
        <v>0</v>
      </c>
      <c r="G11" s="160">
        <f>SUMIF('3月'!$B$6:$B$13,$C11,'3月'!$D$6:$D$13)</f>
        <v>0</v>
      </c>
      <c r="H11" s="160">
        <f>SUMIF('4月'!$B$6:$B$13,$C11,'4月'!$D$6:$D$13)</f>
        <v>0</v>
      </c>
      <c r="I11" s="160">
        <f>SUMIF('5月'!$B$6:$B$13,$C11,'5月'!$D$6:$D$13)</f>
        <v>0</v>
      </c>
      <c r="J11" s="160">
        <f>SUMIF('6月'!$B$6:$B$13,$C11,'6月'!$D$6:$D$13)</f>
        <v>0</v>
      </c>
      <c r="K11" s="160">
        <f>SUMIF('7月'!$B$6:$B$13,$C11,'7月'!$D$6:$D$13)</f>
        <v>0</v>
      </c>
      <c r="L11" s="160">
        <f>SUMIF('8月'!$B$6:$B$13,$C11,'8月'!$D$6:$D$13)</f>
        <v>0</v>
      </c>
      <c r="M11" s="160">
        <f>SUMIF('9月'!$B$6:$B$13,$C11,'9月'!$D$6:$D$13)</f>
        <v>0</v>
      </c>
      <c r="N11" s="160">
        <f>SUMIF('10月'!$B$6:$B$13,$C11,'10月'!$D$6:$D$13)</f>
        <v>0</v>
      </c>
      <c r="O11" s="160">
        <f>SUMIF('11月'!$B$6:$B$13,$C11,'11月'!$D$6:$D$13)</f>
        <v>0</v>
      </c>
      <c r="P11" s="161">
        <f>SUMIF('12月'!$B$6:$B$13,$C11,'12月'!$D$6:$D$13)</f>
        <v>0</v>
      </c>
      <c r="Q11" s="162">
        <f t="shared" si="1"/>
        <v>0</v>
      </c>
      <c r="R11" s="163">
        <f t="shared" si="2"/>
        <v>0</v>
      </c>
      <c r="S11" s="164"/>
      <c r="T11" s="165">
        <v>5000.0</v>
      </c>
      <c r="U11" s="166"/>
    </row>
    <row r="12" ht="22.5" customHeight="1">
      <c r="A12" s="168"/>
      <c r="B12" s="169"/>
      <c r="C12" s="170" t="s">
        <v>145</v>
      </c>
      <c r="D12" s="171"/>
      <c r="E12" s="172">
        <f t="shared" ref="E12:P12" si="3">SUM(E4:E11)</f>
        <v>400000</v>
      </c>
      <c r="F12" s="172">
        <f t="shared" si="3"/>
        <v>0</v>
      </c>
      <c r="G12" s="172">
        <f t="shared" si="3"/>
        <v>0</v>
      </c>
      <c r="H12" s="172">
        <f t="shared" si="3"/>
        <v>0</v>
      </c>
      <c r="I12" s="172">
        <f t="shared" si="3"/>
        <v>0</v>
      </c>
      <c r="J12" s="172">
        <f t="shared" si="3"/>
        <v>0</v>
      </c>
      <c r="K12" s="172">
        <f t="shared" si="3"/>
        <v>0</v>
      </c>
      <c r="L12" s="172">
        <f t="shared" si="3"/>
        <v>0</v>
      </c>
      <c r="M12" s="172">
        <f t="shared" si="3"/>
        <v>0</v>
      </c>
      <c r="N12" s="172">
        <f t="shared" si="3"/>
        <v>0</v>
      </c>
      <c r="O12" s="172">
        <f t="shared" si="3"/>
        <v>0</v>
      </c>
      <c r="P12" s="173">
        <f t="shared" si="3"/>
        <v>0</v>
      </c>
      <c r="Q12" s="174">
        <f t="shared" si="1"/>
        <v>33333.33333</v>
      </c>
      <c r="R12" s="175">
        <f t="shared" si="2"/>
        <v>400000</v>
      </c>
      <c r="S12" s="176"/>
      <c r="T12" s="165">
        <v>0.0</v>
      </c>
      <c r="U12" s="166"/>
    </row>
    <row r="13" ht="22.5" customHeight="1">
      <c r="A13" s="177" t="s">
        <v>61</v>
      </c>
      <c r="B13" s="178" t="s">
        <v>63</v>
      </c>
      <c r="C13" s="49" t="s">
        <v>68</v>
      </c>
      <c r="D13" s="159"/>
      <c r="E13" s="160">
        <f>SUMIF('1月'!$B$19:$B$30,$C13,'1月'!$D$19:$D$30)</f>
        <v>100000</v>
      </c>
      <c r="F13" s="160">
        <f>SUMIF('2月'!$B$19:$B$30,$C13,'2月'!$D$19:$D$30)</f>
        <v>0</v>
      </c>
      <c r="G13" s="160">
        <f>SUMIF('3月'!$B$19:$B$30,$C13,'3月'!$D$19:$D$30)</f>
        <v>0</v>
      </c>
      <c r="H13" s="160">
        <f>SUMIF('4月'!$B$19:$B$30,$C13,'4月'!$D$19:$D$30)</f>
        <v>0</v>
      </c>
      <c r="I13" s="160">
        <f>SUMIF('5月'!$B$19:$B$30,$C13,'5月'!$D$19:$D$30)</f>
        <v>0</v>
      </c>
      <c r="J13" s="160">
        <f>SUMIF('6月'!$B$19:$B$30,$C13,'6月'!$D$19:$D$30)</f>
        <v>0</v>
      </c>
      <c r="K13" s="160">
        <f>SUMIF('7月'!$B$19:$B$30,$C13,'7月'!$D$19:$D$30)</f>
        <v>0</v>
      </c>
      <c r="L13" s="160">
        <f>SUMIF('8月'!$B$19:$B$30,$C13,'8月'!$D$19:$D$30)</f>
        <v>0</v>
      </c>
      <c r="M13" s="160">
        <f>SUMIF('9月'!$B$19:$B$30,$C13,'9月'!$D$19:$D$30)</f>
        <v>0</v>
      </c>
      <c r="N13" s="160">
        <f>SUMIF('10月'!$B$19:$B$30,$C13,'10月'!$D$19:$D$30)</f>
        <v>0</v>
      </c>
      <c r="O13" s="160">
        <f>SUMIF('11月'!$B$19:$B$30,$C13,'11月'!$D$19:$D$30)</f>
        <v>0</v>
      </c>
      <c r="P13" s="160">
        <f>SUMIF('12月'!$B$19:$B$30,$C13,'12月'!$D$19:$D$30)</f>
        <v>0</v>
      </c>
      <c r="Q13" s="162">
        <f t="shared" si="1"/>
        <v>8333.333333</v>
      </c>
      <c r="R13" s="163">
        <f t="shared" si="2"/>
        <v>100000</v>
      </c>
      <c r="S13" s="164"/>
      <c r="T13" s="165">
        <v>0.0</v>
      </c>
      <c r="U13" s="166"/>
    </row>
    <row r="14" ht="22.5" customHeight="1">
      <c r="A14" s="179"/>
      <c r="B14" s="179"/>
      <c r="C14" s="49" t="s">
        <v>70</v>
      </c>
      <c r="D14" s="159"/>
      <c r="E14" s="160">
        <f>SUMIF('1月'!$B$19:$B$30,$C14,'1月'!$D$19:$D$30)</f>
        <v>8000</v>
      </c>
      <c r="F14" s="160">
        <f>SUMIF('2月'!$B$19:$B$30,$C14,'2月'!$D$19:$D$30)</f>
        <v>0</v>
      </c>
      <c r="G14" s="160">
        <f>SUMIF('3月'!$B$19:$B$30,$C14,'3月'!$D$19:$D$30)</f>
        <v>0</v>
      </c>
      <c r="H14" s="160">
        <f>SUMIF('4月'!$B$19:$B$30,$C14,'4月'!$D$19:$D$30)</f>
        <v>0</v>
      </c>
      <c r="I14" s="160">
        <f>SUMIF('5月'!$B$19:$B$30,$C14,'5月'!$D$19:$D$30)</f>
        <v>0</v>
      </c>
      <c r="J14" s="160">
        <f>SUMIF('6月'!$B$19:$B$30,$C14,'6月'!$D$19:$D$30)</f>
        <v>0</v>
      </c>
      <c r="K14" s="160">
        <f>SUMIF('7月'!$B$19:$B$30,$C14,'7月'!$D$19:$D$30)</f>
        <v>0</v>
      </c>
      <c r="L14" s="160">
        <f>SUMIF('8月'!$B$19:$B$30,$C14,'8月'!$D$19:$D$30)</f>
        <v>0</v>
      </c>
      <c r="M14" s="160">
        <f>SUMIF('9月'!$B$19:$B$30,$C14,'9月'!$D$19:$D$30)</f>
        <v>0</v>
      </c>
      <c r="N14" s="160">
        <f>SUMIF('10月'!$B$19:$B$30,$C14,'10月'!$D$19:$D$30)</f>
        <v>0</v>
      </c>
      <c r="O14" s="160">
        <f>SUMIF('11月'!$B$19:$B$30,$C14,'11月'!$D$19:$D$30)</f>
        <v>0</v>
      </c>
      <c r="P14" s="160">
        <f>SUMIF('12月'!$B$19:$B$30,$C14,'12月'!$D$19:$D$30)</f>
        <v>0</v>
      </c>
      <c r="Q14" s="162">
        <f t="shared" si="1"/>
        <v>666.6666667</v>
      </c>
      <c r="R14" s="163">
        <f t="shared" si="2"/>
        <v>8000</v>
      </c>
      <c r="S14" s="164"/>
      <c r="T14" s="165">
        <v>0.0</v>
      </c>
      <c r="U14" s="166"/>
    </row>
    <row r="15" ht="22.5" customHeight="1">
      <c r="A15" s="179"/>
      <c r="B15" s="179"/>
      <c r="C15" s="49" t="s">
        <v>73</v>
      </c>
      <c r="D15" s="159"/>
      <c r="E15" s="160">
        <f>SUMIF('1月'!$B$19:$B$30,$C15,'1月'!$D$19:$D$30)</f>
        <v>5000</v>
      </c>
      <c r="F15" s="160">
        <f>SUMIF('2月'!$B$19:$B$30,$C15,'2月'!$D$19:$D$30)</f>
        <v>0</v>
      </c>
      <c r="G15" s="160">
        <f>SUMIF('3月'!$B$19:$B$30,$C15,'3月'!$D$19:$D$30)</f>
        <v>0</v>
      </c>
      <c r="H15" s="160">
        <f>SUMIF('4月'!$B$19:$B$30,$C15,'4月'!$D$19:$D$30)</f>
        <v>0</v>
      </c>
      <c r="I15" s="160">
        <f>SUMIF('5月'!$B$19:$B$30,$C15,'5月'!$D$19:$D$30)</f>
        <v>0</v>
      </c>
      <c r="J15" s="160">
        <f>SUMIF('6月'!$B$19:$B$30,$C15,'6月'!$D$19:$D$30)</f>
        <v>0</v>
      </c>
      <c r="K15" s="160">
        <f>SUMIF('7月'!$B$19:$B$30,$C15,'7月'!$D$19:$D$30)</f>
        <v>0</v>
      </c>
      <c r="L15" s="160">
        <f>SUMIF('8月'!$B$19:$B$30,$C15,'8月'!$D$19:$D$30)</f>
        <v>0</v>
      </c>
      <c r="M15" s="160">
        <f>SUMIF('9月'!$B$19:$B$30,$C15,'9月'!$D$19:$D$30)</f>
        <v>0</v>
      </c>
      <c r="N15" s="160">
        <f>SUMIF('10月'!$B$19:$B$30,$C15,'10月'!$D$19:$D$30)</f>
        <v>0</v>
      </c>
      <c r="O15" s="160">
        <f>SUMIF('11月'!$B$19:$B$30,$C15,'11月'!$D$19:$D$30)</f>
        <v>0</v>
      </c>
      <c r="P15" s="160">
        <f>SUMIF('12月'!$B$19:$B$30,$C15,'12月'!$D$19:$D$30)</f>
        <v>0</v>
      </c>
      <c r="Q15" s="162">
        <f t="shared" si="1"/>
        <v>416.6666667</v>
      </c>
      <c r="R15" s="163">
        <f t="shared" si="2"/>
        <v>5000</v>
      </c>
      <c r="S15" s="164"/>
      <c r="T15" s="165">
        <v>0.0</v>
      </c>
      <c r="U15" s="166"/>
    </row>
    <row r="16" ht="22.5" customHeight="1">
      <c r="A16" s="179"/>
      <c r="B16" s="179"/>
      <c r="C16" s="49" t="s">
        <v>75</v>
      </c>
      <c r="D16" s="159"/>
      <c r="E16" s="160">
        <f>SUMIF('1月'!$B$19:$B$30,$C16,'1月'!$D$19:$D$30)</f>
        <v>2000</v>
      </c>
      <c r="F16" s="160">
        <f>SUMIF('2月'!$B$19:$B$30,$C16,'2月'!$D$19:$D$30)</f>
        <v>0</v>
      </c>
      <c r="G16" s="160">
        <f>SUMIF('3月'!$B$19:$B$30,$C16,'3月'!$D$19:$D$30)</f>
        <v>0</v>
      </c>
      <c r="H16" s="160">
        <f>SUMIF('4月'!$B$19:$B$30,$C16,'4月'!$D$19:$D$30)</f>
        <v>0</v>
      </c>
      <c r="I16" s="160">
        <f>SUMIF('5月'!$B$19:$B$30,$C16,'5月'!$D$19:$D$30)</f>
        <v>0</v>
      </c>
      <c r="J16" s="160">
        <f>SUMIF('6月'!$B$19:$B$30,$C16,'6月'!$D$19:$D$30)</f>
        <v>0</v>
      </c>
      <c r="K16" s="160">
        <f>SUMIF('7月'!$B$19:$B$30,$C16,'7月'!$D$19:$D$30)</f>
        <v>0</v>
      </c>
      <c r="L16" s="160">
        <f>SUMIF('8月'!$B$19:$B$30,$C16,'8月'!$D$19:$D$30)</f>
        <v>0</v>
      </c>
      <c r="M16" s="160">
        <f>SUMIF('9月'!$B$19:$B$30,$C16,'9月'!$D$19:$D$30)</f>
        <v>0</v>
      </c>
      <c r="N16" s="160">
        <f>SUMIF('10月'!$B$19:$B$30,$C16,'10月'!$D$19:$D$30)</f>
        <v>0</v>
      </c>
      <c r="O16" s="160">
        <f>SUMIF('11月'!$B$19:$B$30,$C16,'11月'!$D$19:$D$30)</f>
        <v>0</v>
      </c>
      <c r="P16" s="160">
        <f>SUMIF('12月'!$B$19:$B$30,$C16,'12月'!$D$19:$D$30)</f>
        <v>0</v>
      </c>
      <c r="Q16" s="162">
        <f t="shared" si="1"/>
        <v>166.6666667</v>
      </c>
      <c r="R16" s="163">
        <f t="shared" si="2"/>
        <v>2000</v>
      </c>
      <c r="S16" s="164"/>
      <c r="T16" s="165">
        <v>157000.0</v>
      </c>
      <c r="U16" s="166"/>
    </row>
    <row r="17" ht="22.5" customHeight="1">
      <c r="A17" s="179"/>
      <c r="B17" s="179"/>
      <c r="C17" s="49" t="s">
        <v>82</v>
      </c>
      <c r="D17" s="159"/>
      <c r="E17" s="160">
        <f>SUMIF('1月'!$B$19:$B$30,$C17,'1月'!$D$19:$D$30)</f>
        <v>30000</v>
      </c>
      <c r="F17" s="160">
        <f>SUMIF('2月'!$B$19:$B$30,$C17,'2月'!$D$19:$D$30)</f>
        <v>0</v>
      </c>
      <c r="G17" s="160">
        <f>SUMIF('3月'!$B$19:$B$30,$C17,'3月'!$D$19:$D$30)</f>
        <v>0</v>
      </c>
      <c r="H17" s="160">
        <f>SUMIF('4月'!$B$19:$B$30,$C17,'4月'!$D$19:$D$30)</f>
        <v>0</v>
      </c>
      <c r="I17" s="160">
        <f>SUMIF('5月'!$B$19:$B$30,$C17,'5月'!$D$19:$D$30)</f>
        <v>0</v>
      </c>
      <c r="J17" s="160">
        <f>SUMIF('6月'!$B$19:$B$30,$C17,'6月'!$D$19:$D$30)</f>
        <v>0</v>
      </c>
      <c r="K17" s="160">
        <f>SUMIF('7月'!$B$19:$B$30,$C17,'7月'!$D$19:$D$30)</f>
        <v>0</v>
      </c>
      <c r="L17" s="160">
        <f>SUMIF('8月'!$B$19:$B$30,$C17,'8月'!$D$19:$D$30)</f>
        <v>0</v>
      </c>
      <c r="M17" s="160">
        <f>SUMIF('9月'!$B$19:$B$30,$C17,'9月'!$D$19:$D$30)</f>
        <v>0</v>
      </c>
      <c r="N17" s="160">
        <f>SUMIF('10月'!$B$19:$B$30,$C17,'10月'!$D$19:$D$30)</f>
        <v>0</v>
      </c>
      <c r="O17" s="160">
        <f>SUMIF('11月'!$B$19:$B$30,$C17,'11月'!$D$19:$D$30)</f>
        <v>0</v>
      </c>
      <c r="P17" s="160">
        <f>SUMIF('12月'!$B$19:$B$30,$C17,'12月'!$D$19:$D$30)</f>
        <v>0</v>
      </c>
      <c r="Q17" s="162">
        <f t="shared" si="1"/>
        <v>2500</v>
      </c>
      <c r="R17" s="163">
        <f t="shared" si="2"/>
        <v>30000</v>
      </c>
      <c r="S17" s="164"/>
      <c r="T17" s="165">
        <v>1000.0</v>
      </c>
      <c r="U17" s="166"/>
    </row>
    <row r="18" ht="22.5" customHeight="1">
      <c r="A18" s="179"/>
      <c r="B18" s="179"/>
      <c r="C18" s="49" t="s">
        <v>77</v>
      </c>
      <c r="D18" s="159"/>
      <c r="E18" s="160">
        <f>SUMIF('1月'!$B$19:$B$30,$C18,'1月'!$D$19:$D$30)</f>
        <v>5000</v>
      </c>
      <c r="F18" s="160">
        <f>SUMIF('2月'!$B$19:$B$30,$C18,'2月'!$D$19:$D$30)</f>
        <v>0</v>
      </c>
      <c r="G18" s="160">
        <f>SUMIF('3月'!$B$19:$B$30,$C18,'3月'!$D$19:$D$30)</f>
        <v>0</v>
      </c>
      <c r="H18" s="160">
        <f>SUMIF('4月'!$B$19:$B$30,$C18,'4月'!$D$19:$D$30)</f>
        <v>0</v>
      </c>
      <c r="I18" s="160">
        <f>SUMIF('5月'!$B$19:$B$30,$C18,'5月'!$D$19:$D$30)</f>
        <v>0</v>
      </c>
      <c r="J18" s="160">
        <f>SUMIF('6月'!$B$19:$B$30,$C18,'6月'!$D$19:$D$30)</f>
        <v>0</v>
      </c>
      <c r="K18" s="160">
        <f>SUMIF('7月'!$B$19:$B$30,$C18,'7月'!$D$19:$D$30)</f>
        <v>0</v>
      </c>
      <c r="L18" s="160">
        <f>SUMIF('8月'!$B$19:$B$30,$C18,'8月'!$D$19:$D$30)</f>
        <v>0</v>
      </c>
      <c r="M18" s="160">
        <f>SUMIF('9月'!$B$19:$B$30,$C18,'9月'!$D$19:$D$30)</f>
        <v>0</v>
      </c>
      <c r="N18" s="160">
        <f>SUMIF('10月'!$B$19:$B$30,$C18,'10月'!$D$19:$D$30)</f>
        <v>0</v>
      </c>
      <c r="O18" s="160">
        <f>SUMIF('11月'!$B$19:$B$30,$C18,'11月'!$D$19:$D$30)</f>
        <v>0</v>
      </c>
      <c r="P18" s="160">
        <f>SUMIF('12月'!$B$19:$B$30,$C18,'12月'!$D$19:$D$30)</f>
        <v>0</v>
      </c>
      <c r="Q18" s="162">
        <f t="shared" si="1"/>
        <v>416.6666667</v>
      </c>
      <c r="R18" s="163">
        <f t="shared" si="2"/>
        <v>5000</v>
      </c>
      <c r="S18" s="164"/>
      <c r="T18" s="165">
        <v>0.0</v>
      </c>
      <c r="U18" s="166"/>
    </row>
    <row r="19" ht="22.5" customHeight="1">
      <c r="A19" s="179"/>
      <c r="B19" s="179"/>
      <c r="C19" s="49" t="s">
        <v>79</v>
      </c>
      <c r="D19" s="159"/>
      <c r="E19" s="160">
        <f>SUMIF('1月'!$B$19:$B$30,$C19,'1月'!$D$19:$D$30)</f>
        <v>2000</v>
      </c>
      <c r="F19" s="160">
        <f>SUMIF('2月'!$B$19:$B$30,$C19,'2月'!$D$19:$D$30)</f>
        <v>0</v>
      </c>
      <c r="G19" s="160">
        <f>SUMIF('3月'!$B$19:$B$30,$C19,'3月'!$D$19:$D$30)</f>
        <v>0</v>
      </c>
      <c r="H19" s="160">
        <f>SUMIF('4月'!$B$19:$B$30,$C19,'4月'!$D$19:$D$30)</f>
        <v>0</v>
      </c>
      <c r="I19" s="160">
        <f>SUMIF('5月'!$B$19:$B$30,$C19,'5月'!$D$19:$D$30)</f>
        <v>0</v>
      </c>
      <c r="J19" s="160">
        <f>SUMIF('6月'!$B$19:$B$30,$C19,'6月'!$D$19:$D$30)</f>
        <v>0</v>
      </c>
      <c r="K19" s="160">
        <f>SUMIF('7月'!$B$19:$B$30,$C19,'7月'!$D$19:$D$30)</f>
        <v>0</v>
      </c>
      <c r="L19" s="160">
        <f>SUMIF('8月'!$B$19:$B$30,$C19,'8月'!$D$19:$D$30)</f>
        <v>0</v>
      </c>
      <c r="M19" s="160">
        <f>SUMIF('9月'!$B$19:$B$30,$C19,'9月'!$D$19:$D$30)</f>
        <v>0</v>
      </c>
      <c r="N19" s="160">
        <f>SUMIF('10月'!$B$19:$B$30,$C19,'10月'!$D$19:$D$30)</f>
        <v>0</v>
      </c>
      <c r="O19" s="160">
        <f>SUMIF('11月'!$B$19:$B$30,$C19,'11月'!$D$19:$D$30)</f>
        <v>0</v>
      </c>
      <c r="P19" s="160">
        <f>SUMIF('12月'!$B$19:$B$30,$C19,'12月'!$D$19:$D$30)</f>
        <v>0</v>
      </c>
      <c r="Q19" s="162">
        <f t="shared" si="1"/>
        <v>166.6666667</v>
      </c>
      <c r="R19" s="163">
        <f t="shared" si="2"/>
        <v>2000</v>
      </c>
      <c r="S19" s="164"/>
      <c r="T19" s="165">
        <v>0.0</v>
      </c>
      <c r="U19" s="166"/>
    </row>
    <row r="20" ht="22.5" customHeight="1">
      <c r="A20" s="179"/>
      <c r="B20" s="179"/>
      <c r="C20" s="49" t="s">
        <v>81</v>
      </c>
      <c r="D20" s="159"/>
      <c r="E20" s="160">
        <f>SUMIF('1月'!$B$19:$B$30,$C20,'1月'!$D$19:$D$30)</f>
        <v>5000</v>
      </c>
      <c r="F20" s="160">
        <f>SUMIF('2月'!$B$19:$B$30,$C20,'2月'!$D$19:$D$30)</f>
        <v>0</v>
      </c>
      <c r="G20" s="160">
        <f>SUMIF('3月'!$B$19:$B$30,$C20,'3月'!$D$19:$D$30)</f>
        <v>0</v>
      </c>
      <c r="H20" s="160">
        <f>SUMIF('4月'!$B$19:$B$30,$C20,'4月'!$D$19:$D$30)</f>
        <v>0</v>
      </c>
      <c r="I20" s="160">
        <f>SUMIF('5月'!$B$19:$B$30,$C20,'5月'!$D$19:$D$30)</f>
        <v>0</v>
      </c>
      <c r="J20" s="160">
        <f>SUMIF('6月'!$B$19:$B$30,$C20,'6月'!$D$19:$D$30)</f>
        <v>0</v>
      </c>
      <c r="K20" s="160">
        <f>SUMIF('7月'!$B$19:$B$30,$C20,'7月'!$D$19:$D$30)</f>
        <v>0</v>
      </c>
      <c r="L20" s="160">
        <f>SUMIF('8月'!$B$19:$B$30,$C20,'8月'!$D$19:$D$30)</f>
        <v>0</v>
      </c>
      <c r="M20" s="160">
        <f>SUMIF('9月'!$B$19:$B$30,$C20,'9月'!$D$19:$D$30)</f>
        <v>0</v>
      </c>
      <c r="N20" s="160">
        <f>SUMIF('10月'!$B$19:$B$30,$C20,'10月'!$D$19:$D$30)</f>
        <v>0</v>
      </c>
      <c r="O20" s="160">
        <f>SUMIF('11月'!$B$19:$B$30,$C20,'11月'!$D$19:$D$30)</f>
        <v>0</v>
      </c>
      <c r="P20" s="160">
        <f>SUMIF('12月'!$B$19:$B$30,$C20,'12月'!$D$19:$D$30)</f>
        <v>0</v>
      </c>
      <c r="Q20" s="162">
        <f t="shared" si="1"/>
        <v>416.6666667</v>
      </c>
      <c r="R20" s="163">
        <f t="shared" si="2"/>
        <v>5000</v>
      </c>
      <c r="S20" s="164"/>
      <c r="T20" s="165">
        <v>0.0</v>
      </c>
      <c r="U20" s="166"/>
    </row>
    <row r="21" ht="22.5" customHeight="1">
      <c r="A21" s="179"/>
      <c r="B21" s="179"/>
      <c r="C21" s="158"/>
      <c r="D21" s="159"/>
      <c r="E21" s="160">
        <f>SUMIF('1月'!$B$19:$B$30,$C21,'1月'!$D$19:$D$30)</f>
        <v>0</v>
      </c>
      <c r="F21" s="160">
        <f>SUMIF('2月'!$B$19:$B$30,$C21,'2月'!$D$19:$D$30)</f>
        <v>0</v>
      </c>
      <c r="G21" s="160">
        <f>SUMIF('3月'!$B$19:$B$30,$C21,'3月'!$D$19:$D$30)</f>
        <v>0</v>
      </c>
      <c r="H21" s="160">
        <f>SUMIF('4月'!$B$19:$B$30,$C21,'4月'!$D$19:$D$30)</f>
        <v>0</v>
      </c>
      <c r="I21" s="160">
        <f>SUMIF('5月'!$B$19:$B$30,$C21,'5月'!$D$19:$D$30)</f>
        <v>0</v>
      </c>
      <c r="J21" s="160">
        <f>SUMIF('6月'!$B$19:$B$30,$C21,'6月'!$D$19:$D$30)</f>
        <v>0</v>
      </c>
      <c r="K21" s="160">
        <f>SUMIF('7月'!$B$19:$B$30,$C21,'7月'!$D$19:$D$30)</f>
        <v>0</v>
      </c>
      <c r="L21" s="160">
        <f>SUMIF('8月'!$B$19:$B$30,$C21,'8月'!$D$19:$D$30)</f>
        <v>0</v>
      </c>
      <c r="M21" s="160">
        <f>SUMIF('9月'!$B$19:$B$30,$C21,'9月'!$D$19:$D$30)</f>
        <v>0</v>
      </c>
      <c r="N21" s="160">
        <f>SUMIF('10月'!$B$19:$B$30,$C21,'10月'!$D$19:$D$30)</f>
        <v>0</v>
      </c>
      <c r="O21" s="160">
        <f>SUMIF('11月'!$B$19:$B$30,$C21,'11月'!$D$19:$D$30)</f>
        <v>0</v>
      </c>
      <c r="P21" s="160">
        <f>SUMIF('12月'!$B$19:$B$30,$C21,'12月'!$D$19:$D$30)</f>
        <v>0</v>
      </c>
      <c r="Q21" s="162">
        <f t="shared" si="1"/>
        <v>0</v>
      </c>
      <c r="R21" s="163">
        <f t="shared" si="2"/>
        <v>0</v>
      </c>
      <c r="S21" s="164"/>
      <c r="T21" s="165">
        <v>0.0</v>
      </c>
      <c r="U21" s="166"/>
    </row>
    <row r="22" ht="22.5" customHeight="1">
      <c r="A22" s="179"/>
      <c r="B22" s="179"/>
      <c r="C22" s="158"/>
      <c r="D22" s="159"/>
      <c r="E22" s="160">
        <f>SUMIF('1月'!$B$19:$B$30,$C22,'1月'!$D$19:$D$30)</f>
        <v>0</v>
      </c>
      <c r="F22" s="160">
        <f>SUMIF('2月'!$B$19:$B$30,$C22,'2月'!$D$19:$D$30)</f>
        <v>0</v>
      </c>
      <c r="G22" s="160">
        <f>SUMIF('3月'!$B$19:$B$30,$C22,'3月'!$D$19:$D$30)</f>
        <v>0</v>
      </c>
      <c r="H22" s="160">
        <f>SUMIF('4月'!$B$19:$B$30,$C22,'4月'!$D$19:$D$30)</f>
        <v>0</v>
      </c>
      <c r="I22" s="160">
        <f>SUMIF('5月'!$B$19:$B$30,$C22,'5月'!$D$19:$D$30)</f>
        <v>0</v>
      </c>
      <c r="J22" s="160">
        <f>SUMIF('6月'!$B$19:$B$30,$C22,'6月'!$D$19:$D$30)</f>
        <v>0</v>
      </c>
      <c r="K22" s="160">
        <f>SUMIF('7月'!$B$19:$B$30,$C22,'7月'!$D$19:$D$30)</f>
        <v>0</v>
      </c>
      <c r="L22" s="160">
        <f>SUMIF('8月'!$B$19:$B$30,$C22,'8月'!$D$19:$D$30)</f>
        <v>0</v>
      </c>
      <c r="M22" s="160">
        <f>SUMIF('9月'!$B$19:$B$30,$C22,'9月'!$D$19:$D$30)</f>
        <v>0</v>
      </c>
      <c r="N22" s="160">
        <f>SUMIF('10月'!$B$19:$B$30,$C22,'10月'!$D$19:$D$30)</f>
        <v>0</v>
      </c>
      <c r="O22" s="160">
        <f>SUMIF('11月'!$B$19:$B$30,$C22,'11月'!$D$19:$D$30)</f>
        <v>0</v>
      </c>
      <c r="P22" s="160">
        <f>SUMIF('12月'!$B$19:$B$30,$C22,'12月'!$D$19:$D$30)</f>
        <v>0</v>
      </c>
      <c r="Q22" s="162">
        <f t="shared" si="1"/>
        <v>0</v>
      </c>
      <c r="R22" s="163">
        <f t="shared" si="2"/>
        <v>0</v>
      </c>
      <c r="S22" s="164"/>
      <c r="T22" s="165">
        <v>0.0</v>
      </c>
      <c r="U22" s="166"/>
    </row>
    <row r="23" ht="22.5" customHeight="1">
      <c r="A23" s="179"/>
      <c r="B23" s="179"/>
      <c r="C23" s="158"/>
      <c r="D23" s="159"/>
      <c r="E23" s="160">
        <f>SUMIF('1月'!$B$19:$B$30,$C23,'1月'!$D$19:$D$30)</f>
        <v>0</v>
      </c>
      <c r="F23" s="160">
        <f>SUMIF('2月'!$B$19:$B$30,$C23,'2月'!$D$19:$D$30)</f>
        <v>0</v>
      </c>
      <c r="G23" s="160">
        <f>SUMIF('3月'!$B$19:$B$30,$C23,'3月'!$D$19:$D$30)</f>
        <v>0</v>
      </c>
      <c r="H23" s="160">
        <f>SUMIF('4月'!$B$19:$B$30,$C23,'4月'!$D$19:$D$30)</f>
        <v>0</v>
      </c>
      <c r="I23" s="160">
        <f>SUMIF('5月'!$B$19:$B$30,$C23,'5月'!$D$19:$D$30)</f>
        <v>0</v>
      </c>
      <c r="J23" s="160">
        <f>SUMIF('6月'!$B$19:$B$30,$C23,'6月'!$D$19:$D$30)</f>
        <v>0</v>
      </c>
      <c r="K23" s="160">
        <f>SUMIF('7月'!$B$19:$B$30,$C23,'7月'!$D$19:$D$30)</f>
        <v>0</v>
      </c>
      <c r="L23" s="160">
        <f>SUMIF('8月'!$B$19:$B$30,$C23,'8月'!$D$19:$D$30)</f>
        <v>0</v>
      </c>
      <c r="M23" s="160">
        <f>SUMIF('9月'!$B$19:$B$30,$C23,'9月'!$D$19:$D$30)</f>
        <v>0</v>
      </c>
      <c r="N23" s="160">
        <f>SUMIF('10月'!$B$19:$B$30,$C23,'10月'!$D$19:$D$30)</f>
        <v>0</v>
      </c>
      <c r="O23" s="160">
        <f>SUMIF('11月'!$B$19:$B$30,$C23,'11月'!$D$19:$D$30)</f>
        <v>0</v>
      </c>
      <c r="P23" s="160">
        <f>SUMIF('12月'!$B$19:$B$30,$C23,'12月'!$D$19:$D$30)</f>
        <v>0</v>
      </c>
      <c r="Q23" s="162">
        <f t="shared" si="1"/>
        <v>0</v>
      </c>
      <c r="R23" s="163">
        <f t="shared" si="2"/>
        <v>0</v>
      </c>
      <c r="S23" s="164"/>
      <c r="T23" s="165">
        <v>0.0</v>
      </c>
      <c r="U23" s="166"/>
    </row>
    <row r="24" ht="22.5" customHeight="1">
      <c r="A24" s="179"/>
      <c r="B24" s="179"/>
      <c r="C24" s="158"/>
      <c r="D24" s="159"/>
      <c r="E24" s="160">
        <f>SUMIF('1月'!$B$19:$B$30,$C24,'1月'!$D$19:$D$30)</f>
        <v>0</v>
      </c>
      <c r="F24" s="160">
        <f>SUMIF('2月'!$B$19:$B$30,$C24,'2月'!$D$19:$D$30)</f>
        <v>0</v>
      </c>
      <c r="G24" s="160">
        <f>SUMIF('3月'!$B$19:$B$30,$C24,'3月'!$D$19:$D$30)</f>
        <v>0</v>
      </c>
      <c r="H24" s="160">
        <f>SUMIF('4月'!$B$19:$B$30,$C24,'4月'!$D$19:$D$30)</f>
        <v>0</v>
      </c>
      <c r="I24" s="160">
        <f>SUMIF('5月'!$B$19:$B$30,$C24,'5月'!$D$19:$D$30)</f>
        <v>0</v>
      </c>
      <c r="J24" s="160">
        <f>SUMIF('6月'!$B$19:$B$30,$C24,'6月'!$D$19:$D$30)</f>
        <v>0</v>
      </c>
      <c r="K24" s="160">
        <f>SUMIF('7月'!$B$19:$B$30,$C24,'7月'!$D$19:$D$30)</f>
        <v>0</v>
      </c>
      <c r="L24" s="160">
        <f>SUMIF('8月'!$B$19:$B$30,$C24,'8月'!$D$19:$D$30)</f>
        <v>0</v>
      </c>
      <c r="M24" s="160">
        <f>SUMIF('9月'!$B$19:$B$30,$C24,'9月'!$D$19:$D$30)</f>
        <v>0</v>
      </c>
      <c r="N24" s="160">
        <f>SUMIF('10月'!$B$19:$B$30,$C24,'10月'!$D$19:$D$30)</f>
        <v>0</v>
      </c>
      <c r="O24" s="160">
        <f>SUMIF('11月'!$B$19:$B$30,$C24,'11月'!$D$19:$D$30)</f>
        <v>0</v>
      </c>
      <c r="P24" s="160">
        <f>SUMIF('12月'!$B$19:$B$30,$C24,'12月'!$D$19:$D$30)</f>
        <v>0</v>
      </c>
      <c r="Q24" s="162">
        <f t="shared" si="1"/>
        <v>0</v>
      </c>
      <c r="R24" s="163">
        <f t="shared" si="2"/>
        <v>0</v>
      </c>
      <c r="S24" s="164"/>
      <c r="T24" s="165">
        <v>0.0</v>
      </c>
      <c r="U24" s="166"/>
    </row>
    <row r="25" ht="22.5" customHeight="1">
      <c r="A25" s="179"/>
      <c r="B25" s="180"/>
      <c r="C25" s="181" t="s">
        <v>146</v>
      </c>
      <c r="D25" s="39"/>
      <c r="E25" s="182">
        <f t="shared" ref="E25:P25" si="4">SUM(E13:E24)</f>
        <v>157000</v>
      </c>
      <c r="F25" s="182">
        <f t="shared" si="4"/>
        <v>0</v>
      </c>
      <c r="G25" s="182">
        <f t="shared" si="4"/>
        <v>0</v>
      </c>
      <c r="H25" s="182">
        <f t="shared" si="4"/>
        <v>0</v>
      </c>
      <c r="I25" s="182">
        <f t="shared" si="4"/>
        <v>0</v>
      </c>
      <c r="J25" s="182">
        <f t="shared" si="4"/>
        <v>0</v>
      </c>
      <c r="K25" s="182">
        <f t="shared" si="4"/>
        <v>0</v>
      </c>
      <c r="L25" s="182">
        <f t="shared" si="4"/>
        <v>0</v>
      </c>
      <c r="M25" s="182">
        <f t="shared" si="4"/>
        <v>0</v>
      </c>
      <c r="N25" s="182">
        <f t="shared" si="4"/>
        <v>0</v>
      </c>
      <c r="O25" s="182">
        <f t="shared" si="4"/>
        <v>0</v>
      </c>
      <c r="P25" s="183">
        <f t="shared" si="4"/>
        <v>0</v>
      </c>
      <c r="Q25" s="184">
        <f t="shared" si="1"/>
        <v>13083.33333</v>
      </c>
      <c r="R25" s="185">
        <f t="shared" si="2"/>
        <v>157000</v>
      </c>
      <c r="S25" s="164"/>
      <c r="T25" s="165">
        <v>0.0</v>
      </c>
      <c r="U25" s="166"/>
    </row>
    <row r="26" ht="22.5" customHeight="1">
      <c r="A26" s="179"/>
      <c r="B26" s="178" t="s">
        <v>64</v>
      </c>
      <c r="C26" s="49" t="s">
        <v>51</v>
      </c>
      <c r="D26" s="159"/>
      <c r="E26" s="160">
        <f>SUMIF('1月'!$F$19:$F$30,$C26,'1月'!$H$19:$H$30)</f>
        <v>1000</v>
      </c>
      <c r="F26" s="160">
        <f>SUMIF('2月'!$F$19:$F$30,$C26,'2月'!$H$19:$H$30)</f>
        <v>0</v>
      </c>
      <c r="G26" s="160">
        <f>SUMIF('3月'!$F$19:$F$30,$C26,'3月'!$H$19:$H$30)</f>
        <v>0</v>
      </c>
      <c r="H26" s="160">
        <f>SUMIF('4月'!$F$19:$F$30,$C26,'4月'!$H$19:$H$30)</f>
        <v>0</v>
      </c>
      <c r="I26" s="160">
        <f>SUMIF('5月'!$F$19:$F$30,$C26,'5月'!$H$19:$H$30)</f>
        <v>0</v>
      </c>
      <c r="J26" s="160">
        <f>SUMIF('6月'!$F$19:$F$30,$C26,'6月'!$H$19:$H$30)</f>
        <v>0</v>
      </c>
      <c r="K26" s="160">
        <f>SUMIF('7月'!$F$19:$F$30,$C26,'7月'!$H$19:$H$30)</f>
        <v>0</v>
      </c>
      <c r="L26" s="160">
        <f>SUMIF('8月'!$F$19:$F$30,$C26,'8月'!$H$19:$H$30)</f>
        <v>0</v>
      </c>
      <c r="M26" s="160">
        <f>SUMIF('9月'!$F$19:$F$30,$C26,'9月'!$H$19:$H$30)</f>
        <v>0</v>
      </c>
      <c r="N26" s="160">
        <f>SUMIF('10月'!$F$19:$F$30,$C26,'10月'!$H$19:$H$30)</f>
        <v>0</v>
      </c>
      <c r="O26" s="160">
        <f>SUMIF('11月'!$F$19:$F$30,$C26,'11月'!$H$19:$H$30)</f>
        <v>0</v>
      </c>
      <c r="P26" s="160">
        <f>SUMIF('12月'!$F$19:$F$30,$C26,'12月'!$H$19:$H$30)</f>
        <v>0</v>
      </c>
      <c r="Q26" s="162">
        <f t="shared" si="1"/>
        <v>83.33333333</v>
      </c>
      <c r="R26" s="163">
        <f t="shared" si="2"/>
        <v>1000</v>
      </c>
      <c r="S26" s="164"/>
      <c r="T26" s="165">
        <v>0.0</v>
      </c>
      <c r="U26" s="166"/>
    </row>
    <row r="27" ht="22.5" customHeight="1">
      <c r="A27" s="179"/>
      <c r="B27" s="179"/>
      <c r="C27" s="49" t="s">
        <v>72</v>
      </c>
      <c r="D27" s="159"/>
      <c r="E27" s="160">
        <f>SUMIF('1月'!$F$19:$F$30,$C27,'1月'!$H$19:$H$30)</f>
        <v>0</v>
      </c>
      <c r="F27" s="160">
        <f>SUMIF('2月'!$F$19:$F$30,$C27,'2月'!$H$19:$H$30)</f>
        <v>0</v>
      </c>
      <c r="G27" s="160">
        <f>SUMIF('3月'!$F$19:$F$30,$C27,'3月'!$H$19:$H$30)</f>
        <v>0</v>
      </c>
      <c r="H27" s="160">
        <f>SUMIF('4月'!$F$19:$F$30,$C27,'4月'!$H$19:$H$30)</f>
        <v>0</v>
      </c>
      <c r="I27" s="160">
        <f>SUMIF('5月'!$F$19:$F$30,$C27,'5月'!$H$19:$H$30)</f>
        <v>0</v>
      </c>
      <c r="J27" s="160">
        <f>SUMIF('6月'!$F$19:$F$30,$C27,'6月'!$H$19:$H$30)</f>
        <v>0</v>
      </c>
      <c r="K27" s="160">
        <f>SUMIF('7月'!$F$19:$F$30,$C27,'7月'!$H$19:$H$30)</f>
        <v>0</v>
      </c>
      <c r="L27" s="160">
        <f>SUMIF('8月'!$F$19:$F$30,$C27,'8月'!$H$19:$H$30)</f>
        <v>0</v>
      </c>
      <c r="M27" s="160">
        <f>SUMIF('9月'!$F$19:$F$30,$C27,'9月'!$H$19:$H$30)</f>
        <v>0</v>
      </c>
      <c r="N27" s="160">
        <f>SUMIF('10月'!$F$19:$F$30,$C27,'10月'!$H$19:$H$30)</f>
        <v>0</v>
      </c>
      <c r="O27" s="160">
        <f>SUMIF('11月'!$F$19:$F$30,$C27,'11月'!$H$19:$H$30)</f>
        <v>0</v>
      </c>
      <c r="P27" s="160">
        <f>SUMIF('12月'!$F$19:$F$30,$C27,'12月'!$H$19:$H$30)</f>
        <v>0</v>
      </c>
      <c r="Q27" s="162">
        <f t="shared" si="1"/>
        <v>0</v>
      </c>
      <c r="R27" s="163">
        <f t="shared" si="2"/>
        <v>0</v>
      </c>
      <c r="S27" s="164"/>
      <c r="T27" s="165">
        <v>0.0</v>
      </c>
      <c r="U27" s="166"/>
    </row>
    <row r="28" ht="22.5" customHeight="1">
      <c r="A28" s="179"/>
      <c r="B28" s="179"/>
      <c r="C28" s="49" t="s">
        <v>147</v>
      </c>
      <c r="D28" s="159"/>
      <c r="E28" s="160">
        <f>SUMIF('1月'!$F$19:$F$30,$C28,'1月'!$H$19:$H$30)</f>
        <v>0</v>
      </c>
      <c r="F28" s="160">
        <f>SUMIF('2月'!$F$19:$F$30,$C28,'2月'!$H$19:$H$30)</f>
        <v>0</v>
      </c>
      <c r="G28" s="160">
        <f>SUMIF('3月'!$F$19:$F$30,$C28,'3月'!$H$19:$H$30)</f>
        <v>0</v>
      </c>
      <c r="H28" s="160">
        <f>SUMIF('4月'!$F$19:$F$30,$C28,'4月'!$H$19:$H$30)</f>
        <v>0</v>
      </c>
      <c r="I28" s="160">
        <f>SUMIF('5月'!$F$19:$F$30,$C28,'5月'!$H$19:$H$30)</f>
        <v>0</v>
      </c>
      <c r="J28" s="160">
        <f>SUMIF('6月'!$F$19:$F$30,$C28,'6月'!$H$19:$H$30)</f>
        <v>0</v>
      </c>
      <c r="K28" s="160">
        <f>SUMIF('7月'!$F$19:$F$30,$C28,'7月'!$H$19:$H$30)</f>
        <v>0</v>
      </c>
      <c r="L28" s="160">
        <f>SUMIF('8月'!$F$19:$F$30,$C28,'8月'!$H$19:$H$30)</f>
        <v>0</v>
      </c>
      <c r="M28" s="160">
        <f>SUMIF('9月'!$F$19:$F$30,$C28,'9月'!$H$19:$H$30)</f>
        <v>0</v>
      </c>
      <c r="N28" s="160">
        <f>SUMIF('10月'!$F$19:$F$30,$C28,'10月'!$H$19:$H$30)</f>
        <v>0</v>
      </c>
      <c r="O28" s="160">
        <f>SUMIF('11月'!$F$19:$F$30,$C28,'11月'!$H$19:$H$30)</f>
        <v>0</v>
      </c>
      <c r="P28" s="160">
        <f>SUMIF('12月'!$F$19:$F$30,$C28,'12月'!$H$19:$H$30)</f>
        <v>0</v>
      </c>
      <c r="Q28" s="162">
        <f t="shared" si="1"/>
        <v>0</v>
      </c>
      <c r="R28" s="163">
        <f t="shared" si="2"/>
        <v>0</v>
      </c>
      <c r="S28" s="164"/>
      <c r="T28" s="165">
        <v>0.0</v>
      </c>
      <c r="U28" s="166"/>
    </row>
    <row r="29" ht="22.5" customHeight="1">
      <c r="A29" s="179"/>
      <c r="B29" s="179"/>
      <c r="C29" s="49" t="s">
        <v>74</v>
      </c>
      <c r="D29" s="159"/>
      <c r="E29" s="160">
        <f>SUMIF('1月'!$F$19:$F$30,$C29,'1月'!$H$19:$H$30)</f>
        <v>0</v>
      </c>
      <c r="F29" s="160">
        <f>SUMIF('2月'!$F$19:$F$30,$C29,'2月'!$H$19:$H$30)</f>
        <v>0</v>
      </c>
      <c r="G29" s="160">
        <f>SUMIF('3月'!$F$19:$F$30,$C29,'3月'!$H$19:$H$30)</f>
        <v>0</v>
      </c>
      <c r="H29" s="160">
        <f>SUMIF('4月'!$F$19:$F$30,$C29,'4月'!$H$19:$H$30)</f>
        <v>0</v>
      </c>
      <c r="I29" s="160">
        <f>SUMIF('5月'!$F$19:$F$30,$C29,'5月'!$H$19:$H$30)</f>
        <v>0</v>
      </c>
      <c r="J29" s="160">
        <f>SUMIF('6月'!$F$19:$F$30,$C29,'6月'!$H$19:$H$30)</f>
        <v>0</v>
      </c>
      <c r="K29" s="160">
        <f>SUMIF('7月'!$F$19:$F$30,$C29,'7月'!$H$19:$H$30)</f>
        <v>0</v>
      </c>
      <c r="L29" s="160">
        <f>SUMIF('8月'!$F$19:$F$30,$C29,'8月'!$H$19:$H$30)</f>
        <v>0</v>
      </c>
      <c r="M29" s="160">
        <f>SUMIF('9月'!$F$19:$F$30,$C29,'9月'!$H$19:$H$30)</f>
        <v>0</v>
      </c>
      <c r="N29" s="160">
        <f>SUMIF('10月'!$F$19:$F$30,$C29,'10月'!$H$19:$H$30)</f>
        <v>0</v>
      </c>
      <c r="O29" s="160">
        <f>SUMIF('11月'!$F$19:$F$30,$C29,'11月'!$H$19:$H$30)</f>
        <v>0</v>
      </c>
      <c r="P29" s="160">
        <f>SUMIF('12月'!$F$19:$F$30,$C29,'12月'!$H$19:$H$30)</f>
        <v>0</v>
      </c>
      <c r="Q29" s="162">
        <f t="shared" si="1"/>
        <v>0</v>
      </c>
      <c r="R29" s="163">
        <f t="shared" si="2"/>
        <v>0</v>
      </c>
      <c r="S29" s="164"/>
      <c r="T29" s="165">
        <v>1000.0</v>
      </c>
      <c r="U29" s="166"/>
    </row>
    <row r="30" ht="22.5" customHeight="1">
      <c r="A30" s="179"/>
      <c r="B30" s="179"/>
      <c r="C30" s="49" t="s">
        <v>148</v>
      </c>
      <c r="D30" s="159"/>
      <c r="E30" s="160">
        <f>SUMIF('1月'!$F$19:$F$30,$C30,'1月'!$H$19:$H$30)</f>
        <v>0</v>
      </c>
      <c r="F30" s="160">
        <f>SUMIF('2月'!$F$19:$F$30,$C30,'2月'!$H$19:$H$30)</f>
        <v>0</v>
      </c>
      <c r="G30" s="160">
        <f>SUMIF('3月'!$F$19:$F$30,$C30,'3月'!$H$19:$H$30)</f>
        <v>0</v>
      </c>
      <c r="H30" s="160">
        <f>SUMIF('4月'!$F$19:$F$30,$C30,'4月'!$H$19:$H$30)</f>
        <v>0</v>
      </c>
      <c r="I30" s="160">
        <f>SUMIF('5月'!$F$19:$F$30,$C30,'5月'!$H$19:$H$30)</f>
        <v>0</v>
      </c>
      <c r="J30" s="160">
        <f>SUMIF('6月'!$F$19:$F$30,$C30,'6月'!$H$19:$H$30)</f>
        <v>0</v>
      </c>
      <c r="K30" s="160">
        <f>SUMIF('7月'!$F$19:$F$30,$C30,'7月'!$H$19:$H$30)</f>
        <v>0</v>
      </c>
      <c r="L30" s="160">
        <f>SUMIF('8月'!$F$19:$F$30,$C30,'8月'!$H$19:$H$30)</f>
        <v>0</v>
      </c>
      <c r="M30" s="160">
        <f>SUMIF('9月'!$F$19:$F$30,$C30,'9月'!$H$19:$H$30)</f>
        <v>0</v>
      </c>
      <c r="N30" s="160">
        <f>SUMIF('10月'!$F$19:$F$30,$C30,'10月'!$H$19:$H$30)</f>
        <v>0</v>
      </c>
      <c r="O30" s="160">
        <f>SUMIF('11月'!$F$19:$F$30,$C30,'11月'!$H$19:$H$30)</f>
        <v>0</v>
      </c>
      <c r="P30" s="160">
        <f>SUMIF('12月'!$F$19:$F$30,$C30,'12月'!$H$19:$H$30)</f>
        <v>0</v>
      </c>
      <c r="Q30" s="162">
        <f t="shared" si="1"/>
        <v>0</v>
      </c>
      <c r="R30" s="163">
        <f t="shared" si="2"/>
        <v>0</v>
      </c>
      <c r="S30" s="164"/>
      <c r="T30" s="165">
        <v>158000.0</v>
      </c>
      <c r="U30" s="166"/>
    </row>
    <row r="31" ht="22.5" customHeight="1">
      <c r="A31" s="179"/>
      <c r="B31" s="179"/>
      <c r="C31" s="49" t="s">
        <v>78</v>
      </c>
      <c r="D31" s="159"/>
      <c r="E31" s="160">
        <f>SUMIF('1月'!$F$19:$F$30,$C31,'1月'!$H$19:$H$30)</f>
        <v>0</v>
      </c>
      <c r="F31" s="160">
        <f>SUMIF('2月'!$F$19:$F$30,$C31,'2月'!$H$19:$H$30)</f>
        <v>0</v>
      </c>
      <c r="G31" s="160">
        <f>SUMIF('3月'!$F$19:$F$30,$C31,'3月'!$H$19:$H$30)</f>
        <v>0</v>
      </c>
      <c r="H31" s="160">
        <f>SUMIF('4月'!$F$19:$F$30,$C31,'4月'!$H$19:$H$30)</f>
        <v>0</v>
      </c>
      <c r="I31" s="160">
        <f>SUMIF('5月'!$F$19:$F$30,$C31,'5月'!$H$19:$H$30)</f>
        <v>0</v>
      </c>
      <c r="J31" s="160">
        <f>SUMIF('6月'!$F$19:$F$30,$C31,'6月'!$H$19:$H$30)</f>
        <v>0</v>
      </c>
      <c r="K31" s="160">
        <f>SUMIF('7月'!$F$19:$F$30,$C31,'7月'!$H$19:$H$30)</f>
        <v>0</v>
      </c>
      <c r="L31" s="160">
        <f>SUMIF('8月'!$F$19:$F$30,$C31,'8月'!$H$19:$H$30)</f>
        <v>0</v>
      </c>
      <c r="M31" s="160">
        <f>SUMIF('9月'!$F$19:$F$30,$C31,'9月'!$H$19:$H$30)</f>
        <v>0</v>
      </c>
      <c r="N31" s="160">
        <f>SUMIF('10月'!$F$19:$F$30,$C31,'10月'!$H$19:$H$30)</f>
        <v>0</v>
      </c>
      <c r="O31" s="160">
        <f>SUMIF('11月'!$F$19:$F$30,$C31,'11月'!$H$19:$H$30)</f>
        <v>0</v>
      </c>
      <c r="P31" s="160">
        <f>SUMIF('12月'!$F$19:$F$30,$C31,'12月'!$H$19:$H$30)</f>
        <v>0</v>
      </c>
      <c r="Q31" s="162">
        <f t="shared" si="1"/>
        <v>0</v>
      </c>
      <c r="R31" s="163">
        <f t="shared" si="2"/>
        <v>0</v>
      </c>
      <c r="S31" s="164"/>
      <c r="T31" s="165">
        <v>0.395</v>
      </c>
      <c r="U31" s="166"/>
    </row>
    <row r="32" ht="22.5" customHeight="1">
      <c r="A32" s="179"/>
      <c r="B32" s="179"/>
      <c r="C32" s="49" t="s">
        <v>76</v>
      </c>
      <c r="D32" s="159"/>
      <c r="E32" s="160">
        <f>SUMIF('1月'!$F$19:$F$30,$C32,'1月'!$H$19:$H$30)</f>
        <v>0</v>
      </c>
      <c r="F32" s="160">
        <f>SUMIF('2月'!$F$19:$F$30,$C32,'2月'!$H$19:$H$30)</f>
        <v>0</v>
      </c>
      <c r="G32" s="160">
        <f>SUMIF('3月'!$F$19:$F$30,$C32,'3月'!$H$19:$H$30)</f>
        <v>0</v>
      </c>
      <c r="H32" s="160">
        <f>SUMIF('4月'!$F$19:$F$30,$C32,'4月'!$H$19:$H$30)</f>
        <v>0</v>
      </c>
      <c r="I32" s="160">
        <f>SUMIF('5月'!$F$19:$F$30,$C32,'5月'!$H$19:$H$30)</f>
        <v>0</v>
      </c>
      <c r="J32" s="160">
        <f>SUMIF('6月'!$F$19:$F$30,$C32,'6月'!$H$19:$H$30)</f>
        <v>0</v>
      </c>
      <c r="K32" s="160">
        <f>SUMIF('7月'!$F$19:$F$30,$C32,'7月'!$H$19:$H$30)</f>
        <v>0</v>
      </c>
      <c r="L32" s="160">
        <f>SUMIF('8月'!$F$19:$F$30,$C32,'8月'!$H$19:$H$30)</f>
        <v>0</v>
      </c>
      <c r="M32" s="160">
        <f>SUMIF('9月'!$F$19:$F$30,$C32,'9月'!$H$19:$H$30)</f>
        <v>0</v>
      </c>
      <c r="N32" s="160">
        <f>SUMIF('10月'!$F$19:$F$30,$C32,'10月'!$H$19:$H$30)</f>
        <v>0</v>
      </c>
      <c r="O32" s="160">
        <f>SUMIF('11月'!$F$19:$F$30,$C32,'11月'!$H$19:$H$30)</f>
        <v>0</v>
      </c>
      <c r="P32" s="160">
        <f>SUMIF('12月'!$F$19:$F$30,$C32,'12月'!$H$19:$H$30)</f>
        <v>0</v>
      </c>
      <c r="Q32" s="162">
        <f t="shared" si="1"/>
        <v>0</v>
      </c>
      <c r="R32" s="163">
        <f t="shared" si="2"/>
        <v>0</v>
      </c>
      <c r="S32" s="164"/>
      <c r="T32" s="165">
        <v>0.0</v>
      </c>
      <c r="U32" s="166"/>
    </row>
    <row r="33" ht="22.5" customHeight="1">
      <c r="A33" s="179"/>
      <c r="B33" s="179"/>
      <c r="C33" s="49" t="s">
        <v>149</v>
      </c>
      <c r="D33" s="159"/>
      <c r="E33" s="160">
        <f>SUMIF('1月'!$F$19:$F$30,$C33,'1月'!$H$19:$H$30)</f>
        <v>0</v>
      </c>
      <c r="F33" s="160">
        <f>SUMIF('2月'!$F$19:$F$30,$C33,'2月'!$H$19:$H$30)</f>
        <v>0</v>
      </c>
      <c r="G33" s="160">
        <f>SUMIF('3月'!$F$19:$F$30,$C33,'3月'!$H$19:$H$30)</f>
        <v>0</v>
      </c>
      <c r="H33" s="160">
        <f>SUMIF('4月'!$F$19:$F$30,$C33,'4月'!$H$19:$H$30)</f>
        <v>0</v>
      </c>
      <c r="I33" s="160">
        <f>SUMIF('5月'!$F$19:$F$30,$C33,'5月'!$H$19:$H$30)</f>
        <v>0</v>
      </c>
      <c r="J33" s="160">
        <f>SUMIF('6月'!$F$19:$F$30,$C33,'6月'!$H$19:$H$30)</f>
        <v>0</v>
      </c>
      <c r="K33" s="160">
        <f>SUMIF('7月'!$F$19:$F$30,$C33,'7月'!$H$19:$H$30)</f>
        <v>0</v>
      </c>
      <c r="L33" s="160">
        <f>SUMIF('8月'!$F$19:$F$30,$C33,'8月'!$H$19:$H$30)</f>
        <v>0</v>
      </c>
      <c r="M33" s="160">
        <f>SUMIF('9月'!$F$19:$F$30,$C33,'9月'!$H$19:$H$30)</f>
        <v>0</v>
      </c>
      <c r="N33" s="160">
        <f>SUMIF('10月'!$F$19:$F$30,$C33,'10月'!$H$19:$H$30)</f>
        <v>0</v>
      </c>
      <c r="O33" s="160">
        <f>SUMIF('11月'!$F$19:$F$30,$C33,'11月'!$H$19:$H$30)</f>
        <v>0</v>
      </c>
      <c r="P33" s="160">
        <f>SUMIF('12月'!$F$19:$F$30,$C33,'12月'!$H$19:$H$30)</f>
        <v>0</v>
      </c>
      <c r="Q33" s="162">
        <f t="shared" si="1"/>
        <v>0</v>
      </c>
      <c r="R33" s="163">
        <f t="shared" si="2"/>
        <v>0</v>
      </c>
      <c r="S33" s="164"/>
      <c r="T33" s="165">
        <v>12000.0</v>
      </c>
      <c r="U33" s="166"/>
    </row>
    <row r="34" ht="22.5" customHeight="1">
      <c r="A34" s="179"/>
      <c r="B34" s="179"/>
      <c r="C34" s="49" t="s">
        <v>150</v>
      </c>
      <c r="D34" s="159"/>
      <c r="E34" s="160">
        <f>SUMIF('1月'!$F$19:$F$30,$C34,'1月'!$H$19:$H$30)</f>
        <v>0</v>
      </c>
      <c r="F34" s="160">
        <f>SUMIF('2月'!$F$19:$F$30,$C34,'2月'!$H$19:$H$30)</f>
        <v>0</v>
      </c>
      <c r="G34" s="160">
        <f>SUMIF('3月'!$F$19:$F$30,$C34,'3月'!$H$19:$H$30)</f>
        <v>0</v>
      </c>
      <c r="H34" s="160">
        <f>SUMIF('4月'!$F$19:$F$30,$C34,'4月'!$H$19:$H$30)</f>
        <v>0</v>
      </c>
      <c r="I34" s="160">
        <f>SUMIF('5月'!$F$19:$F$30,$C34,'5月'!$H$19:$H$30)</f>
        <v>0</v>
      </c>
      <c r="J34" s="160">
        <f>SUMIF('6月'!$F$19:$F$30,$C34,'6月'!$H$19:$H$30)</f>
        <v>0</v>
      </c>
      <c r="K34" s="160">
        <f>SUMIF('7月'!$F$19:$F$30,$C34,'7月'!$H$19:$H$30)</f>
        <v>0</v>
      </c>
      <c r="L34" s="160">
        <f>SUMIF('8月'!$F$19:$F$30,$C34,'8月'!$H$19:$H$30)</f>
        <v>0</v>
      </c>
      <c r="M34" s="160">
        <f>SUMIF('9月'!$F$19:$F$30,$C34,'9月'!$H$19:$H$30)</f>
        <v>0</v>
      </c>
      <c r="N34" s="160">
        <f>SUMIF('10月'!$F$19:$F$30,$C34,'10月'!$H$19:$H$30)</f>
        <v>0</v>
      </c>
      <c r="O34" s="160">
        <f>SUMIF('11月'!$F$19:$F$30,$C34,'11月'!$H$19:$H$30)</f>
        <v>0</v>
      </c>
      <c r="P34" s="160">
        <f>SUMIF('12月'!$F$19:$F$30,$C34,'12月'!$H$19:$H$30)</f>
        <v>0</v>
      </c>
      <c r="Q34" s="162">
        <f t="shared" si="1"/>
        <v>0</v>
      </c>
      <c r="R34" s="163">
        <f t="shared" si="2"/>
        <v>0</v>
      </c>
      <c r="S34" s="164"/>
      <c r="T34" s="165">
        <v>0.0</v>
      </c>
      <c r="U34" s="166"/>
    </row>
    <row r="35" ht="22.5" customHeight="1">
      <c r="A35" s="179"/>
      <c r="B35" s="179"/>
      <c r="C35" s="158"/>
      <c r="D35" s="158"/>
      <c r="E35" s="160">
        <f>SUMIF('1月'!$F$19:$F$30,$C35,'1月'!$H$19:$H$30)</f>
        <v>0</v>
      </c>
      <c r="F35" s="160">
        <f>SUMIF('2月'!$F$19:$F$30,$C35,'2月'!$H$19:$H$30)</f>
        <v>0</v>
      </c>
      <c r="G35" s="160">
        <f>SUMIF('3月'!$F$19:$F$30,$C35,'3月'!$H$19:$H$30)</f>
        <v>0</v>
      </c>
      <c r="H35" s="160">
        <f>SUMIF('4月'!$F$19:$F$30,$C35,'4月'!$H$19:$H$30)</f>
        <v>0</v>
      </c>
      <c r="I35" s="160">
        <f>SUMIF('5月'!$F$19:$F$30,$C35,'5月'!$H$19:$H$30)</f>
        <v>0</v>
      </c>
      <c r="J35" s="160">
        <f>SUMIF('6月'!$F$19:$F$30,$C35,'6月'!$H$19:$H$30)</f>
        <v>0</v>
      </c>
      <c r="K35" s="160">
        <f>SUMIF('7月'!$F$19:$F$30,$C35,'7月'!$H$19:$H$30)</f>
        <v>0</v>
      </c>
      <c r="L35" s="160">
        <f>SUMIF('8月'!$F$19:$F$30,$C35,'8月'!$H$19:$H$30)</f>
        <v>0</v>
      </c>
      <c r="M35" s="160">
        <f>SUMIF('9月'!$F$19:$F$30,$C35,'9月'!$H$19:$H$30)</f>
        <v>0</v>
      </c>
      <c r="N35" s="160">
        <f>SUMIF('10月'!$F$19:$F$30,$C35,'10月'!$H$19:$H$30)</f>
        <v>0</v>
      </c>
      <c r="O35" s="160">
        <f>SUMIF('11月'!$F$19:$F$30,$C35,'11月'!$H$19:$H$30)</f>
        <v>0</v>
      </c>
      <c r="P35" s="160">
        <f>SUMIF('12月'!$F$19:$F$30,$C35,'12月'!$H$19:$H$30)</f>
        <v>0</v>
      </c>
      <c r="Q35" s="162">
        <f t="shared" si="1"/>
        <v>0</v>
      </c>
      <c r="R35" s="163">
        <f t="shared" si="2"/>
        <v>0</v>
      </c>
      <c r="S35" s="164"/>
      <c r="T35" s="165">
        <v>0.0</v>
      </c>
      <c r="U35" s="166"/>
    </row>
    <row r="36" ht="22.5" customHeight="1">
      <c r="A36" s="179"/>
      <c r="B36" s="179"/>
      <c r="C36" s="158"/>
      <c r="D36" s="159"/>
      <c r="E36" s="160">
        <f>SUMIF('1月'!$F$19:$F$30,$C36,'1月'!$H$19:$H$30)</f>
        <v>0</v>
      </c>
      <c r="F36" s="160">
        <f>SUMIF('2月'!$F$19:$F$30,$C36,'2月'!$H$19:$H$30)</f>
        <v>0</v>
      </c>
      <c r="G36" s="160">
        <f>SUMIF('3月'!$F$19:$F$30,$C36,'3月'!$H$19:$H$30)</f>
        <v>0</v>
      </c>
      <c r="H36" s="160">
        <f>SUMIF('4月'!$F$19:$F$30,$C36,'4月'!$H$19:$H$30)</f>
        <v>0</v>
      </c>
      <c r="I36" s="160">
        <f>SUMIF('5月'!$F$19:$F$30,$C36,'5月'!$H$19:$H$30)</f>
        <v>0</v>
      </c>
      <c r="J36" s="160">
        <f>SUMIF('6月'!$F$19:$F$30,$C36,'6月'!$H$19:$H$30)</f>
        <v>0</v>
      </c>
      <c r="K36" s="160">
        <f>SUMIF('7月'!$F$19:$F$30,$C36,'7月'!$H$19:$H$30)</f>
        <v>0</v>
      </c>
      <c r="L36" s="160">
        <f>SUMIF('8月'!$F$19:$F$30,$C36,'8月'!$H$19:$H$30)</f>
        <v>0</v>
      </c>
      <c r="M36" s="160">
        <f>SUMIF('9月'!$F$19:$F$30,$C36,'9月'!$H$19:$H$30)</f>
        <v>0</v>
      </c>
      <c r="N36" s="160">
        <f>SUMIF('10月'!$F$19:$F$30,$C36,'10月'!$H$19:$H$30)</f>
        <v>0</v>
      </c>
      <c r="O36" s="160">
        <f>SUMIF('11月'!$F$19:$F$30,$C36,'11月'!$H$19:$H$30)</f>
        <v>0</v>
      </c>
      <c r="P36" s="160">
        <f>SUMIF('12月'!$F$19:$F$30,$C36,'12月'!$H$19:$H$30)</f>
        <v>0</v>
      </c>
      <c r="Q36" s="162">
        <f t="shared" si="1"/>
        <v>0</v>
      </c>
      <c r="R36" s="163">
        <f t="shared" si="2"/>
        <v>0</v>
      </c>
      <c r="S36" s="164"/>
      <c r="T36" s="165">
        <v>0.0</v>
      </c>
      <c r="U36" s="166"/>
    </row>
    <row r="37" ht="22.5" customHeight="1">
      <c r="A37" s="179"/>
      <c r="B37" s="179"/>
      <c r="C37" s="158"/>
      <c r="D37" s="159"/>
      <c r="E37" s="160">
        <f>SUMIF('1月'!$F$19:$F$30,$C37,'1月'!$H$19:$H$30)</f>
        <v>0</v>
      </c>
      <c r="F37" s="160">
        <f>SUMIF('2月'!$F$19:$F$30,$C37,'2月'!$H$19:$H$30)</f>
        <v>0</v>
      </c>
      <c r="G37" s="160">
        <f>SUMIF('3月'!$F$19:$F$30,$C37,'3月'!$H$19:$H$30)</f>
        <v>0</v>
      </c>
      <c r="H37" s="160">
        <f>SUMIF('4月'!$F$19:$F$30,$C37,'4月'!$H$19:$H$30)</f>
        <v>0</v>
      </c>
      <c r="I37" s="160">
        <f>SUMIF('5月'!$F$19:$F$30,$C37,'5月'!$H$19:$H$30)</f>
        <v>0</v>
      </c>
      <c r="J37" s="160">
        <f>SUMIF('6月'!$F$19:$F$30,$C37,'6月'!$H$19:$H$30)</f>
        <v>0</v>
      </c>
      <c r="K37" s="160">
        <f>SUMIF('7月'!$F$19:$F$30,$C37,'7月'!$H$19:$H$30)</f>
        <v>0</v>
      </c>
      <c r="L37" s="160">
        <f>SUMIF('8月'!$F$19:$F$30,$C37,'8月'!$H$19:$H$30)</f>
        <v>0</v>
      </c>
      <c r="M37" s="160">
        <f>SUMIF('9月'!$F$19:$F$30,$C37,'9月'!$H$19:$H$30)</f>
        <v>0</v>
      </c>
      <c r="N37" s="160">
        <f>SUMIF('10月'!$F$19:$F$30,$C37,'10月'!$H$19:$H$30)</f>
        <v>0</v>
      </c>
      <c r="O37" s="160">
        <f>SUMIF('11月'!$F$19:$F$30,$C37,'11月'!$H$19:$H$30)</f>
        <v>0</v>
      </c>
      <c r="P37" s="160">
        <f>SUMIF('12月'!$F$19:$F$30,$C37,'12月'!$H$19:$H$30)</f>
        <v>0</v>
      </c>
      <c r="Q37" s="162">
        <f t="shared" si="1"/>
        <v>0</v>
      </c>
      <c r="R37" s="163">
        <f t="shared" si="2"/>
        <v>0</v>
      </c>
      <c r="S37" s="164"/>
      <c r="T37" s="165">
        <v>0.0</v>
      </c>
      <c r="U37" s="166"/>
    </row>
    <row r="38" ht="22.5" customHeight="1">
      <c r="A38" s="179"/>
      <c r="B38" s="180"/>
      <c r="C38" s="181" t="s">
        <v>151</v>
      </c>
      <c r="D38" s="39"/>
      <c r="E38" s="182">
        <f t="shared" ref="E38:P38" si="5">SUM(E26:E37)</f>
        <v>1000</v>
      </c>
      <c r="F38" s="182">
        <f t="shared" si="5"/>
        <v>0</v>
      </c>
      <c r="G38" s="182">
        <f t="shared" si="5"/>
        <v>0</v>
      </c>
      <c r="H38" s="182">
        <f t="shared" si="5"/>
        <v>0</v>
      </c>
      <c r="I38" s="182">
        <f t="shared" si="5"/>
        <v>0</v>
      </c>
      <c r="J38" s="182">
        <f t="shared" si="5"/>
        <v>0</v>
      </c>
      <c r="K38" s="182">
        <f t="shared" si="5"/>
        <v>0</v>
      </c>
      <c r="L38" s="182">
        <f t="shared" si="5"/>
        <v>0</v>
      </c>
      <c r="M38" s="182">
        <f t="shared" si="5"/>
        <v>0</v>
      </c>
      <c r="N38" s="182">
        <f t="shared" si="5"/>
        <v>0</v>
      </c>
      <c r="O38" s="182">
        <f t="shared" si="5"/>
        <v>0</v>
      </c>
      <c r="P38" s="183">
        <f t="shared" si="5"/>
        <v>0</v>
      </c>
      <c r="Q38" s="184">
        <f t="shared" si="1"/>
        <v>83.33333333</v>
      </c>
      <c r="R38" s="185">
        <f t="shared" si="2"/>
        <v>1000</v>
      </c>
      <c r="S38" s="164"/>
      <c r="T38" s="165">
        <v>0.0</v>
      </c>
      <c r="U38" s="166"/>
    </row>
    <row r="39" ht="22.5" customHeight="1">
      <c r="A39" s="179"/>
      <c r="B39" s="170" t="s">
        <v>152</v>
      </c>
      <c r="C39" s="186"/>
      <c r="D39" s="39"/>
      <c r="E39" s="172">
        <f t="shared" ref="E39:P39" si="6">E25+E38</f>
        <v>158000</v>
      </c>
      <c r="F39" s="172">
        <f t="shared" si="6"/>
        <v>0</v>
      </c>
      <c r="G39" s="172">
        <f t="shared" si="6"/>
        <v>0</v>
      </c>
      <c r="H39" s="172">
        <f t="shared" si="6"/>
        <v>0</v>
      </c>
      <c r="I39" s="172">
        <f t="shared" si="6"/>
        <v>0</v>
      </c>
      <c r="J39" s="172">
        <f t="shared" si="6"/>
        <v>0</v>
      </c>
      <c r="K39" s="172">
        <f t="shared" si="6"/>
        <v>0</v>
      </c>
      <c r="L39" s="172">
        <f t="shared" si="6"/>
        <v>0</v>
      </c>
      <c r="M39" s="172">
        <f t="shared" si="6"/>
        <v>0</v>
      </c>
      <c r="N39" s="172">
        <f t="shared" si="6"/>
        <v>0</v>
      </c>
      <c r="O39" s="172">
        <f t="shared" si="6"/>
        <v>0</v>
      </c>
      <c r="P39" s="173">
        <f t="shared" si="6"/>
        <v>0</v>
      </c>
      <c r="Q39" s="174">
        <f t="shared" si="1"/>
        <v>13166.66667</v>
      </c>
      <c r="R39" s="175">
        <f t="shared" si="2"/>
        <v>158000</v>
      </c>
      <c r="S39" s="164"/>
      <c r="T39" s="165">
        <v>0.0</v>
      </c>
      <c r="U39" s="166"/>
    </row>
    <row r="40" ht="22.5" customHeight="1">
      <c r="A40" s="179"/>
      <c r="B40" s="170" t="s">
        <v>153</v>
      </c>
      <c r="C40" s="186"/>
      <c r="D40" s="187" t="s">
        <v>154</v>
      </c>
      <c r="E40" s="188">
        <f t="shared" ref="E40:R40" si="7">IFERROR(E39/E12,"")</f>
        <v>0.395</v>
      </c>
      <c r="F40" s="188" t="str">
        <f t="shared" si="7"/>
        <v/>
      </c>
      <c r="G40" s="188" t="str">
        <f t="shared" si="7"/>
        <v/>
      </c>
      <c r="H40" s="188" t="str">
        <f t="shared" si="7"/>
        <v/>
      </c>
      <c r="I40" s="188" t="str">
        <f t="shared" si="7"/>
        <v/>
      </c>
      <c r="J40" s="188" t="str">
        <f t="shared" si="7"/>
        <v/>
      </c>
      <c r="K40" s="188" t="str">
        <f t="shared" si="7"/>
        <v/>
      </c>
      <c r="L40" s="188" t="str">
        <f t="shared" si="7"/>
        <v/>
      </c>
      <c r="M40" s="188" t="str">
        <f t="shared" si="7"/>
        <v/>
      </c>
      <c r="N40" s="188" t="str">
        <f t="shared" si="7"/>
        <v/>
      </c>
      <c r="O40" s="188" t="str">
        <f t="shared" si="7"/>
        <v/>
      </c>
      <c r="P40" s="188" t="str">
        <f t="shared" si="7"/>
        <v/>
      </c>
      <c r="Q40" s="189">
        <f t="shared" si="7"/>
        <v>0.395</v>
      </c>
      <c r="R40" s="190">
        <f t="shared" si="7"/>
        <v>0.395</v>
      </c>
      <c r="S40" s="191"/>
      <c r="T40" s="165">
        <v>0.0</v>
      </c>
      <c r="U40" s="166"/>
    </row>
    <row r="41" ht="22.5" customHeight="1">
      <c r="A41" s="179"/>
      <c r="B41" s="178" t="s">
        <v>86</v>
      </c>
      <c r="C41" s="192" t="s">
        <v>155</v>
      </c>
      <c r="D41" s="159"/>
      <c r="E41" s="160">
        <f>SUMIF('1月'!$B$35:$B$41,$C41,'1月'!$D$35:$D$41)</f>
        <v>0</v>
      </c>
      <c r="F41" s="160">
        <f>SUMIF('2月'!$B$35:$B$41,$C41,'2月'!$D$35:$D$41)</f>
        <v>0</v>
      </c>
      <c r="G41" s="160">
        <f>SUMIF('3月'!$B$35:$B$41,$C41,'3月'!$D$35:$D$41)</f>
        <v>0</v>
      </c>
      <c r="H41" s="160">
        <f>SUMIF('4月'!$B$35:$B$41,$C41,'4月'!$D$35:$D$41)</f>
        <v>0</v>
      </c>
      <c r="I41" s="160">
        <f>SUMIF('5月'!$B$35:$B$41,$C41,'5月'!$D$35:$D$41)</f>
        <v>0</v>
      </c>
      <c r="J41" s="160">
        <f>SUMIF('6月'!$B$35:$B$41,$C41,'6月'!$D$35:$D$41)</f>
        <v>0</v>
      </c>
      <c r="K41" s="160">
        <f>SUMIF('7月'!$B$35:$B$41,$C41,'7月'!$D$35:$D$41)</f>
        <v>0</v>
      </c>
      <c r="L41" s="160">
        <f>SUMIF('8月'!$B$35:$B$41,$C41,'8月'!$D$35:$D$41)</f>
        <v>0</v>
      </c>
      <c r="M41" s="160">
        <f>SUMIF('9月'!$B$35:$B$41,$C41,'9月'!$D$35:$D$41)</f>
        <v>0</v>
      </c>
      <c r="N41" s="160">
        <f>SUMIF('10月'!$B$35:$B$41,$C41,'10月'!$D$35:$D$41)</f>
        <v>0</v>
      </c>
      <c r="O41" s="160">
        <f>SUMIF('11月'!$B$35:$B$41,$C41,'11月'!$D$35:$D$41)</f>
        <v>0</v>
      </c>
      <c r="P41" s="160">
        <f>SUMIF('12月'!$B$35:$B$41,$C41,'12月'!$D$35:$D$41)</f>
        <v>0</v>
      </c>
      <c r="Q41" s="162">
        <f t="shared" ref="Q41:Q62" si="8">AVERAGE(E41:P41)</f>
        <v>0</v>
      </c>
      <c r="R41" s="163">
        <f t="shared" ref="R41:R62" si="9">SUM(E41:P41)</f>
        <v>0</v>
      </c>
      <c r="S41" s="164"/>
      <c r="T41" s="165">
        <v>0.0</v>
      </c>
      <c r="U41" s="166"/>
    </row>
    <row r="42" ht="22.5" customHeight="1">
      <c r="A42" s="179"/>
      <c r="B42" s="179"/>
      <c r="C42" s="192" t="s">
        <v>89</v>
      </c>
      <c r="D42" s="159"/>
      <c r="E42" s="160">
        <f>SUMIF('1月'!$B$35:$B$41,$C42,'1月'!$D$35:$D$41)</f>
        <v>12000</v>
      </c>
      <c r="F42" s="160">
        <f>SUMIF('2月'!$B$35:$B$41,$C42,'2月'!$D$35:$D$41)</f>
        <v>0</v>
      </c>
      <c r="G42" s="160">
        <f>SUMIF('3月'!$B$35:$B$41,$C42,'3月'!$D$35:$D$41)</f>
        <v>0</v>
      </c>
      <c r="H42" s="160">
        <f>SUMIF('4月'!$B$35:$B$41,$C42,'4月'!$D$35:$D$41)</f>
        <v>0</v>
      </c>
      <c r="I42" s="160">
        <f>SUMIF('5月'!$B$35:$B$41,$C42,'5月'!$D$35:$D$41)</f>
        <v>0</v>
      </c>
      <c r="J42" s="160">
        <f>SUMIF('6月'!$B$35:$B$41,$C42,'6月'!$D$35:$D$41)</f>
        <v>0</v>
      </c>
      <c r="K42" s="160">
        <f>SUMIF('7月'!$B$35:$B$41,$C42,'7月'!$D$35:$D$41)</f>
        <v>0</v>
      </c>
      <c r="L42" s="160">
        <f>SUMIF('8月'!$B$35:$B$41,$C42,'8月'!$D$35:$D$41)</f>
        <v>0</v>
      </c>
      <c r="M42" s="160">
        <f>SUMIF('9月'!$B$35:$B$41,$C42,'9月'!$D$35:$D$41)</f>
        <v>0</v>
      </c>
      <c r="N42" s="160">
        <f>SUMIF('10月'!$B$35:$B$41,$C42,'10月'!$D$35:$D$41)</f>
        <v>0</v>
      </c>
      <c r="O42" s="160">
        <f>SUMIF('11月'!$B$35:$B$41,$C42,'11月'!$D$35:$D$41)</f>
        <v>0</v>
      </c>
      <c r="P42" s="160">
        <f>SUMIF('12月'!$B$35:$B$41,$C42,'12月'!$D$35:$D$41)</f>
        <v>0</v>
      </c>
      <c r="Q42" s="162">
        <f t="shared" si="8"/>
        <v>1000</v>
      </c>
      <c r="R42" s="163">
        <f t="shared" si="9"/>
        <v>12000</v>
      </c>
      <c r="S42" s="164"/>
      <c r="T42" s="165">
        <v>12000.0</v>
      </c>
      <c r="U42" s="166"/>
    </row>
    <row r="43" ht="22.5" customHeight="1">
      <c r="A43" s="179"/>
      <c r="B43" s="179"/>
      <c r="C43" s="192" t="s">
        <v>156</v>
      </c>
      <c r="D43" s="159"/>
      <c r="E43" s="160">
        <f>SUMIF('1月'!$B$35:$B$41,$C43,'1月'!$D$35:$D$41)</f>
        <v>0</v>
      </c>
      <c r="F43" s="160">
        <f>SUMIF('2月'!$B$35:$B$41,$C43,'2月'!$D$35:$D$41)</f>
        <v>0</v>
      </c>
      <c r="G43" s="160">
        <f>SUMIF('3月'!$B$35:$B$41,$C43,'3月'!$D$35:$D$41)</f>
        <v>0</v>
      </c>
      <c r="H43" s="160">
        <f>SUMIF('4月'!$B$35:$B$41,$C43,'4月'!$D$35:$D$41)</f>
        <v>0</v>
      </c>
      <c r="I43" s="160">
        <f>SUMIF('5月'!$B$35:$B$41,$C43,'5月'!$D$35:$D$41)</f>
        <v>0</v>
      </c>
      <c r="J43" s="160">
        <f>SUMIF('6月'!$B$35:$B$41,$C43,'6月'!$D$35:$D$41)</f>
        <v>0</v>
      </c>
      <c r="K43" s="160">
        <f>SUMIF('7月'!$B$35:$B$41,$C43,'7月'!$D$35:$D$41)</f>
        <v>0</v>
      </c>
      <c r="L43" s="160">
        <f>SUMIF('8月'!$B$35:$B$41,$C43,'8月'!$D$35:$D$41)</f>
        <v>0</v>
      </c>
      <c r="M43" s="160">
        <f>SUMIF('9月'!$B$35:$B$41,$C43,'9月'!$D$35:$D$41)</f>
        <v>0</v>
      </c>
      <c r="N43" s="160">
        <f>SUMIF('10月'!$B$35:$B$41,$C43,'10月'!$D$35:$D$41)</f>
        <v>0</v>
      </c>
      <c r="O43" s="160">
        <f>SUMIF('11月'!$B$35:$B$41,$C43,'11月'!$D$35:$D$41)</f>
        <v>0</v>
      </c>
      <c r="P43" s="160">
        <f>SUMIF('12月'!$B$35:$B$41,$C43,'12月'!$D$35:$D$41)</f>
        <v>0</v>
      </c>
      <c r="Q43" s="162">
        <f t="shared" si="8"/>
        <v>0</v>
      </c>
      <c r="R43" s="163">
        <f t="shared" si="9"/>
        <v>0</v>
      </c>
      <c r="S43" s="164"/>
      <c r="T43" s="165">
        <v>20000.0</v>
      </c>
      <c r="U43" s="166"/>
    </row>
    <row r="44" ht="22.5" customHeight="1">
      <c r="A44" s="179"/>
      <c r="B44" s="179"/>
      <c r="C44" s="192" t="s">
        <v>157</v>
      </c>
      <c r="D44" s="159"/>
      <c r="E44" s="160">
        <f>SUMIF('1月'!$B$35:$B$41,$C44,'1月'!$D$35:$D$41)</f>
        <v>0</v>
      </c>
      <c r="F44" s="160">
        <f>SUMIF('2月'!$B$35:$B$41,$C44,'2月'!$D$35:$D$41)</f>
        <v>0</v>
      </c>
      <c r="G44" s="160">
        <f>SUMIF('3月'!$B$35:$B$41,$C44,'3月'!$D$35:$D$41)</f>
        <v>0</v>
      </c>
      <c r="H44" s="160">
        <f>SUMIF('4月'!$B$35:$B$41,$C44,'4月'!$D$35:$D$41)</f>
        <v>0</v>
      </c>
      <c r="I44" s="160">
        <f>SUMIF('5月'!$B$35:$B$41,$C44,'5月'!$D$35:$D$41)</f>
        <v>0</v>
      </c>
      <c r="J44" s="160">
        <f>SUMIF('6月'!$B$35:$B$41,$C44,'6月'!$D$35:$D$41)</f>
        <v>0</v>
      </c>
      <c r="K44" s="160">
        <f>SUMIF('7月'!$B$35:$B$41,$C44,'7月'!$D$35:$D$41)</f>
        <v>0</v>
      </c>
      <c r="L44" s="160">
        <f>SUMIF('8月'!$B$35:$B$41,$C44,'8月'!$D$35:$D$41)</f>
        <v>0</v>
      </c>
      <c r="M44" s="160">
        <f>SUMIF('9月'!$B$35:$B$41,$C44,'9月'!$D$35:$D$41)</f>
        <v>0</v>
      </c>
      <c r="N44" s="160">
        <f>SUMIF('10月'!$B$35:$B$41,$C44,'10月'!$D$35:$D$41)</f>
        <v>0</v>
      </c>
      <c r="O44" s="160">
        <f>SUMIF('11月'!$B$35:$B$41,$C44,'11月'!$D$35:$D$41)</f>
        <v>0</v>
      </c>
      <c r="P44" s="160">
        <f>SUMIF('12月'!$B$35:$B$41,$C44,'12月'!$D$35:$D$41)</f>
        <v>0</v>
      </c>
      <c r="Q44" s="162">
        <f t="shared" si="8"/>
        <v>0</v>
      </c>
      <c r="R44" s="163">
        <f t="shared" si="9"/>
        <v>0</v>
      </c>
      <c r="S44" s="164"/>
      <c r="T44" s="165">
        <v>30000.0</v>
      </c>
      <c r="U44" s="166"/>
    </row>
    <row r="45" ht="22.5" customHeight="1">
      <c r="A45" s="179"/>
      <c r="B45" s="179"/>
      <c r="C45" s="192" t="s">
        <v>158</v>
      </c>
      <c r="D45" s="159"/>
      <c r="E45" s="160">
        <f>SUMIF('1月'!$B$35:$B$41,$C45,'1月'!$D$35:$D$41)</f>
        <v>0</v>
      </c>
      <c r="F45" s="160">
        <f>SUMIF('2月'!$B$35:$B$41,$C45,'2月'!$D$35:$D$41)</f>
        <v>0</v>
      </c>
      <c r="G45" s="160">
        <f>SUMIF('3月'!$B$35:$B$41,$C45,'3月'!$D$35:$D$41)</f>
        <v>0</v>
      </c>
      <c r="H45" s="160">
        <f>SUMIF('4月'!$B$35:$B$41,$C45,'4月'!$D$35:$D$41)</f>
        <v>0</v>
      </c>
      <c r="I45" s="160">
        <f>SUMIF('5月'!$B$35:$B$41,$C45,'5月'!$D$35:$D$41)</f>
        <v>0</v>
      </c>
      <c r="J45" s="160">
        <f>SUMIF('6月'!$B$35:$B$41,$C45,'6月'!$D$35:$D$41)</f>
        <v>0</v>
      </c>
      <c r="K45" s="160">
        <f>SUMIF('7月'!$B$35:$B$41,$C45,'7月'!$D$35:$D$41)</f>
        <v>0</v>
      </c>
      <c r="L45" s="160">
        <f>SUMIF('8月'!$B$35:$B$41,$C45,'8月'!$D$35:$D$41)</f>
        <v>0</v>
      </c>
      <c r="M45" s="160">
        <f>SUMIF('9月'!$B$35:$B$41,$C45,'9月'!$D$35:$D$41)</f>
        <v>0</v>
      </c>
      <c r="N45" s="160">
        <f>SUMIF('10月'!$B$35:$B$41,$C45,'10月'!$D$35:$D$41)</f>
        <v>0</v>
      </c>
      <c r="O45" s="160">
        <f>SUMIF('11月'!$B$35:$B$41,$C45,'11月'!$D$35:$D$41)</f>
        <v>0</v>
      </c>
      <c r="P45" s="160">
        <f>SUMIF('12月'!$B$35:$B$41,$C45,'12月'!$D$35:$D$41)</f>
        <v>0</v>
      </c>
      <c r="Q45" s="162">
        <f t="shared" si="8"/>
        <v>0</v>
      </c>
      <c r="R45" s="163">
        <f t="shared" si="9"/>
        <v>0</v>
      </c>
      <c r="S45" s="164"/>
      <c r="T45" s="165">
        <v>0.0</v>
      </c>
      <c r="U45" s="166"/>
    </row>
    <row r="46" ht="22.5" customHeight="1">
      <c r="A46" s="179"/>
      <c r="B46" s="179"/>
      <c r="C46" s="192" t="s">
        <v>80</v>
      </c>
      <c r="D46" s="159"/>
      <c r="E46" s="160">
        <f>SUMIF('1月'!$B$35:$B$41,$C46,'1月'!$D$35:$D$41)</f>
        <v>0</v>
      </c>
      <c r="F46" s="160">
        <f>SUMIF('2月'!$B$35:$B$41,$C46,'2月'!$D$35:$D$41)</f>
        <v>0</v>
      </c>
      <c r="G46" s="160">
        <f>SUMIF('3月'!$B$35:$B$41,$C46,'3月'!$D$35:$D$41)</f>
        <v>0</v>
      </c>
      <c r="H46" s="160">
        <f>SUMIF('4月'!$B$35:$B$41,$C46,'4月'!$D$35:$D$41)</f>
        <v>0</v>
      </c>
      <c r="I46" s="160">
        <f>SUMIF('5月'!$B$35:$B$41,$C46,'5月'!$D$35:$D$41)</f>
        <v>0</v>
      </c>
      <c r="J46" s="160">
        <f>SUMIF('6月'!$B$35:$B$41,$C46,'6月'!$D$35:$D$41)</f>
        <v>0</v>
      </c>
      <c r="K46" s="160">
        <f>SUMIF('7月'!$B$35:$B$41,$C46,'7月'!$D$35:$D$41)</f>
        <v>0</v>
      </c>
      <c r="L46" s="160">
        <f>SUMIF('8月'!$B$35:$B$41,$C46,'8月'!$D$35:$D$41)</f>
        <v>0</v>
      </c>
      <c r="M46" s="160">
        <f>SUMIF('9月'!$B$35:$B$41,$C46,'9月'!$D$35:$D$41)</f>
        <v>0</v>
      </c>
      <c r="N46" s="160">
        <f>SUMIF('10月'!$B$35:$B$41,$C46,'10月'!$D$35:$D$41)</f>
        <v>0</v>
      </c>
      <c r="O46" s="160">
        <f>SUMIF('11月'!$B$35:$B$41,$C46,'11月'!$D$35:$D$41)</f>
        <v>0</v>
      </c>
      <c r="P46" s="160">
        <f>SUMIF('12月'!$B$35:$B$41,$C46,'12月'!$D$35:$D$41)</f>
        <v>0</v>
      </c>
      <c r="Q46" s="162">
        <f t="shared" si="8"/>
        <v>0</v>
      </c>
      <c r="R46" s="163">
        <f t="shared" si="9"/>
        <v>0</v>
      </c>
      <c r="S46" s="164"/>
      <c r="T46" s="165">
        <v>30000.0</v>
      </c>
      <c r="U46" s="166"/>
    </row>
    <row r="47" ht="22.5" customHeight="1">
      <c r="A47" s="179"/>
      <c r="B47" s="179"/>
      <c r="C47" s="192"/>
      <c r="D47" s="159"/>
      <c r="E47" s="160">
        <f>SUMIF('1月'!$B$35:$B$41,$C47,'1月'!$D$35:$D$41)</f>
        <v>0</v>
      </c>
      <c r="F47" s="160">
        <f>SUMIF('2月'!$B$35:$B$41,$C47,'2月'!$D$35:$D$41)</f>
        <v>0</v>
      </c>
      <c r="G47" s="160">
        <f>SUMIF('3月'!$B$35:$B$41,$C47,'3月'!$D$35:$D$41)</f>
        <v>0</v>
      </c>
      <c r="H47" s="160">
        <f>SUMIF('4月'!$B$35:$B$41,$C47,'4月'!$D$35:$D$41)</f>
        <v>0</v>
      </c>
      <c r="I47" s="160">
        <f>SUMIF('5月'!$B$35:$B$41,$C47,'5月'!$D$35:$D$41)</f>
        <v>0</v>
      </c>
      <c r="J47" s="160">
        <f>SUMIF('6月'!$B$35:$B$41,$C47,'6月'!$D$35:$D$41)</f>
        <v>0</v>
      </c>
      <c r="K47" s="160">
        <f>SUMIF('7月'!$B$35:$B$41,$C47,'7月'!$D$35:$D$41)</f>
        <v>0</v>
      </c>
      <c r="L47" s="160">
        <f>SUMIF('8月'!$B$35:$B$41,$C47,'8月'!$D$35:$D$41)</f>
        <v>0</v>
      </c>
      <c r="M47" s="160">
        <f>SUMIF('9月'!$B$35:$B$41,$C47,'9月'!$D$35:$D$41)</f>
        <v>0</v>
      </c>
      <c r="N47" s="160">
        <f>SUMIF('10月'!$B$35:$B$41,$C47,'10月'!$D$35:$D$41)</f>
        <v>0</v>
      </c>
      <c r="O47" s="160">
        <f>SUMIF('11月'!$B$35:$B$41,$C47,'11月'!$D$35:$D$41)</f>
        <v>0</v>
      </c>
      <c r="P47" s="160">
        <f>SUMIF('12月'!$B$35:$B$41,$C47,'12月'!$D$35:$D$41)</f>
        <v>0</v>
      </c>
      <c r="Q47" s="162">
        <f t="shared" si="8"/>
        <v>0</v>
      </c>
      <c r="R47" s="163">
        <f t="shared" si="9"/>
        <v>0</v>
      </c>
      <c r="S47" s="164"/>
      <c r="T47" s="165">
        <v>0.0</v>
      </c>
      <c r="U47" s="166"/>
    </row>
    <row r="48" ht="22.5" customHeight="1">
      <c r="A48" s="179"/>
      <c r="B48" s="179"/>
      <c r="C48" s="192"/>
      <c r="D48" s="159"/>
      <c r="E48" s="160">
        <f>SUMIF('1月'!$B$35:$B$41,$C48,'1月'!$D$35:$D$41)</f>
        <v>0</v>
      </c>
      <c r="F48" s="160">
        <f>SUMIF('2月'!$B$35:$B$41,$C48,'2月'!$D$35:$D$41)</f>
        <v>0</v>
      </c>
      <c r="G48" s="160">
        <f>SUMIF('3月'!$B$35:$B$41,$C48,'3月'!$D$35:$D$41)</f>
        <v>0</v>
      </c>
      <c r="H48" s="160">
        <f>SUMIF('4月'!$B$35:$B$41,$C48,'4月'!$D$35:$D$41)</f>
        <v>0</v>
      </c>
      <c r="I48" s="160">
        <f>SUMIF('5月'!$B$35:$B$41,$C48,'5月'!$D$35:$D$41)</f>
        <v>0</v>
      </c>
      <c r="J48" s="160">
        <f>SUMIF('6月'!$B$35:$B$41,$C48,'6月'!$D$35:$D$41)</f>
        <v>0</v>
      </c>
      <c r="K48" s="160">
        <f>SUMIF('7月'!$B$35:$B$41,$C48,'7月'!$D$35:$D$41)</f>
        <v>0</v>
      </c>
      <c r="L48" s="160">
        <f>SUMIF('8月'!$B$35:$B$41,$C48,'8月'!$D$35:$D$41)</f>
        <v>0</v>
      </c>
      <c r="M48" s="160">
        <f>SUMIF('9月'!$B$35:$B$41,$C48,'9月'!$D$35:$D$41)</f>
        <v>0</v>
      </c>
      <c r="N48" s="160">
        <f>SUMIF('10月'!$B$35:$B$41,$C48,'10月'!$D$35:$D$41)</f>
        <v>0</v>
      </c>
      <c r="O48" s="160">
        <f>SUMIF('11月'!$B$35:$B$41,$C48,'11月'!$D$35:$D$41)</f>
        <v>0</v>
      </c>
      <c r="P48" s="160">
        <f>SUMIF('12月'!$B$35:$B$41,$C48,'12月'!$D$35:$D$41)</f>
        <v>0</v>
      </c>
      <c r="Q48" s="162">
        <f t="shared" si="8"/>
        <v>0</v>
      </c>
      <c r="R48" s="163">
        <f t="shared" si="9"/>
        <v>0</v>
      </c>
      <c r="S48" s="164"/>
      <c r="T48" s="165">
        <v>0.0</v>
      </c>
      <c r="U48" s="166"/>
    </row>
    <row r="49" ht="22.5" customHeight="1">
      <c r="A49" s="179"/>
      <c r="B49" s="179"/>
      <c r="C49" s="192"/>
      <c r="D49" s="159"/>
      <c r="E49" s="160">
        <f>SUMIF('1月'!$B$35:$B$41,$C49,'1月'!$D$35:$D$41)</f>
        <v>0</v>
      </c>
      <c r="F49" s="160">
        <f>SUMIF('2月'!$B$35:$B$41,$C49,'2月'!$D$35:$D$41)</f>
        <v>0</v>
      </c>
      <c r="G49" s="160">
        <f>SUMIF('3月'!$B$35:$B$41,$C49,'3月'!$D$35:$D$41)</f>
        <v>0</v>
      </c>
      <c r="H49" s="160">
        <f>SUMIF('4月'!$B$35:$B$41,$C49,'4月'!$D$35:$D$41)</f>
        <v>0</v>
      </c>
      <c r="I49" s="160">
        <f>SUMIF('5月'!$B$35:$B$41,$C49,'5月'!$D$35:$D$41)</f>
        <v>0</v>
      </c>
      <c r="J49" s="160">
        <f>SUMIF('6月'!$B$35:$B$41,$C49,'6月'!$D$35:$D$41)</f>
        <v>0</v>
      </c>
      <c r="K49" s="160">
        <f>SUMIF('7月'!$B$35:$B$41,$C49,'7月'!$D$35:$D$41)</f>
        <v>0</v>
      </c>
      <c r="L49" s="160">
        <f>SUMIF('8月'!$B$35:$B$41,$C49,'8月'!$D$35:$D$41)</f>
        <v>0</v>
      </c>
      <c r="M49" s="160">
        <f>SUMIF('9月'!$B$35:$B$41,$C49,'9月'!$D$35:$D$41)</f>
        <v>0</v>
      </c>
      <c r="N49" s="160">
        <f>SUMIF('10月'!$B$35:$B$41,$C49,'10月'!$D$35:$D$41)</f>
        <v>0</v>
      </c>
      <c r="O49" s="160">
        <f>SUMIF('11月'!$B$35:$B$41,$C49,'11月'!$D$35:$D$41)</f>
        <v>0</v>
      </c>
      <c r="P49" s="160">
        <f>SUMIF('12月'!$B$35:$B$41,$C49,'12月'!$D$35:$D$41)</f>
        <v>0</v>
      </c>
      <c r="Q49" s="162">
        <f t="shared" si="8"/>
        <v>0</v>
      </c>
      <c r="R49" s="163">
        <f t="shared" si="9"/>
        <v>0</v>
      </c>
      <c r="S49" s="164"/>
      <c r="T49" s="165">
        <v>0.0</v>
      </c>
      <c r="U49" s="166"/>
    </row>
    <row r="50" ht="22.5" customHeight="1">
      <c r="A50" s="179"/>
      <c r="B50" s="179"/>
      <c r="C50" s="192"/>
      <c r="D50" s="159"/>
      <c r="E50" s="160">
        <f>SUMIF('1月'!$B$35:$B$41,$C50,'1月'!$D$35:$D$41)</f>
        <v>0</v>
      </c>
      <c r="F50" s="160">
        <f>SUMIF('2月'!$B$35:$B$41,$C50,'2月'!$D$35:$D$41)</f>
        <v>0</v>
      </c>
      <c r="G50" s="160">
        <f>SUMIF('3月'!$B$35:$B$41,$C50,'3月'!$D$35:$D$41)</f>
        <v>0</v>
      </c>
      <c r="H50" s="160">
        <f>SUMIF('4月'!$B$35:$B$41,$C50,'4月'!$D$35:$D$41)</f>
        <v>0</v>
      </c>
      <c r="I50" s="160">
        <f>SUMIF('5月'!$B$35:$B$41,$C50,'5月'!$D$35:$D$41)</f>
        <v>0</v>
      </c>
      <c r="J50" s="160">
        <f>SUMIF('6月'!$B$35:$B$41,$C50,'6月'!$D$35:$D$41)</f>
        <v>0</v>
      </c>
      <c r="K50" s="160">
        <f>SUMIF('7月'!$B$35:$B$41,$C50,'7月'!$D$35:$D$41)</f>
        <v>0</v>
      </c>
      <c r="L50" s="160">
        <f>SUMIF('8月'!$B$35:$B$41,$C50,'8月'!$D$35:$D$41)</f>
        <v>0</v>
      </c>
      <c r="M50" s="160">
        <f>SUMIF('9月'!$B$35:$B$41,$C50,'9月'!$D$35:$D$41)</f>
        <v>0</v>
      </c>
      <c r="N50" s="160">
        <f>SUMIF('10月'!$B$35:$B$41,$C50,'10月'!$D$35:$D$41)</f>
        <v>0</v>
      </c>
      <c r="O50" s="160">
        <f>SUMIF('11月'!$B$35:$B$41,$C50,'11月'!$D$35:$D$41)</f>
        <v>0</v>
      </c>
      <c r="P50" s="160">
        <f>SUMIF('12月'!$B$35:$B$41,$C50,'12月'!$D$35:$D$41)</f>
        <v>0</v>
      </c>
      <c r="Q50" s="162">
        <f t="shared" si="8"/>
        <v>0</v>
      </c>
      <c r="R50" s="163">
        <f t="shared" si="9"/>
        <v>0</v>
      </c>
      <c r="S50" s="164"/>
      <c r="T50" s="165">
        <v>0.0</v>
      </c>
      <c r="U50" s="166"/>
    </row>
    <row r="51" ht="22.5" customHeight="1">
      <c r="A51" s="180"/>
      <c r="B51" s="193" t="s">
        <v>159</v>
      </c>
      <c r="C51" s="186"/>
      <c r="D51" s="39"/>
      <c r="E51" s="172">
        <f t="shared" ref="E51:P51" si="10">SUM(E41:E50)</f>
        <v>12000</v>
      </c>
      <c r="F51" s="172">
        <f t="shared" si="10"/>
        <v>0</v>
      </c>
      <c r="G51" s="172">
        <f t="shared" si="10"/>
        <v>0</v>
      </c>
      <c r="H51" s="172">
        <f t="shared" si="10"/>
        <v>0</v>
      </c>
      <c r="I51" s="172">
        <f t="shared" si="10"/>
        <v>0</v>
      </c>
      <c r="J51" s="172">
        <f t="shared" si="10"/>
        <v>0</v>
      </c>
      <c r="K51" s="172">
        <f t="shared" si="10"/>
        <v>0</v>
      </c>
      <c r="L51" s="172">
        <f t="shared" si="10"/>
        <v>0</v>
      </c>
      <c r="M51" s="172">
        <f t="shared" si="10"/>
        <v>0</v>
      </c>
      <c r="N51" s="172">
        <f t="shared" si="10"/>
        <v>0</v>
      </c>
      <c r="O51" s="172">
        <f t="shared" si="10"/>
        <v>0</v>
      </c>
      <c r="P51" s="173">
        <f t="shared" si="10"/>
        <v>0</v>
      </c>
      <c r="Q51" s="174">
        <f t="shared" si="8"/>
        <v>1000</v>
      </c>
      <c r="R51" s="175">
        <f t="shared" si="9"/>
        <v>12000</v>
      </c>
      <c r="S51" s="164"/>
      <c r="T51" s="165">
        <v>80000.0</v>
      </c>
      <c r="U51" s="166"/>
    </row>
    <row r="52" ht="22.5" customHeight="1">
      <c r="A52" s="156" t="s">
        <v>33</v>
      </c>
      <c r="B52" s="194"/>
      <c r="C52" s="195" t="s">
        <v>54</v>
      </c>
      <c r="D52" s="196"/>
      <c r="E52" s="160">
        <f>SUMIF('1月'!$F$6:$F$13,$C52,'1月'!$H$6:$H$13)</f>
        <v>20000</v>
      </c>
      <c r="F52" s="160">
        <f>SUMIF('2月'!$F$6:$F$13,$C52,'2月'!$H$6:$H$13)</f>
        <v>0</v>
      </c>
      <c r="G52" s="160">
        <f>SUMIF('3月'!$F$6:$F$13,$C52,'3月'!$H$6:$H$13)</f>
        <v>0</v>
      </c>
      <c r="H52" s="160">
        <f>SUMIF('4月'!$F$6:$F$13,$C52,'4月'!$H$6:$H$13)</f>
        <v>0</v>
      </c>
      <c r="I52" s="160">
        <f>SUMIF('5月'!$F$6:$F$13,$C52,'5月'!$H$6:$H$13)</f>
        <v>0</v>
      </c>
      <c r="J52" s="160">
        <f>SUMIF('6月'!$F$6:$F$13,$C52,'6月'!$H$6:$H$13)</f>
        <v>0</v>
      </c>
      <c r="K52" s="160">
        <f>SUMIF('7月'!$F$6:$F$13,$C52,'7月'!$H$6:$H$13)</f>
        <v>0</v>
      </c>
      <c r="L52" s="160">
        <f>SUMIF('8月'!$F$6:$F$13,$C52,'8月'!$H$6:$H$13)</f>
        <v>0</v>
      </c>
      <c r="M52" s="160">
        <f>SUMIF('9月'!$F$6:$F$13,$C52,'9月'!$H$6:$H$13)</f>
        <v>0</v>
      </c>
      <c r="N52" s="160">
        <f>SUMIF('10月'!$F$6:$F$13,$C52,'10月'!$H$6:$H$13)</f>
        <v>0</v>
      </c>
      <c r="O52" s="160">
        <f>SUMIF('11月'!$F$6:$F$13,$C52,'11月'!$H$6:$H$13)</f>
        <v>0</v>
      </c>
      <c r="P52" s="161">
        <f>SUMIF('12月'!$F$6:$F$13,$C52,'12月'!$H$6:$H$13)</f>
        <v>0</v>
      </c>
      <c r="Q52" s="162">
        <f t="shared" si="8"/>
        <v>1666.666667</v>
      </c>
      <c r="R52" s="163">
        <f t="shared" si="9"/>
        <v>20000</v>
      </c>
      <c r="S52" s="164"/>
      <c r="T52" s="165">
        <v>162000.0</v>
      </c>
      <c r="U52" s="166"/>
    </row>
    <row r="53" ht="22.5" customHeight="1">
      <c r="A53" s="167"/>
      <c r="B53" s="197"/>
      <c r="C53" s="195" t="s">
        <v>57</v>
      </c>
      <c r="D53" s="196"/>
      <c r="E53" s="160">
        <f>SUMIF('1月'!$F$6:$F$13,$C53,'1月'!$H$6:$H$13)</f>
        <v>30000</v>
      </c>
      <c r="F53" s="160">
        <f>SUMIF('2月'!$F$6:$F$13,$C53,'2月'!$H$6:$H$13)</f>
        <v>0</v>
      </c>
      <c r="G53" s="160">
        <f>SUMIF('3月'!$F$6:$F$13,$C53,'3月'!$H$6:$H$13)</f>
        <v>0</v>
      </c>
      <c r="H53" s="160">
        <f>SUMIF('4月'!$F$6:$F$13,$C53,'4月'!$H$6:$H$13)</f>
        <v>0</v>
      </c>
      <c r="I53" s="160">
        <f>SUMIF('5月'!$F$6:$F$13,$C53,'5月'!$H$6:$H$13)</f>
        <v>0</v>
      </c>
      <c r="J53" s="160">
        <f>SUMIF('6月'!$F$6:$F$13,$C53,'6月'!$H$6:$H$13)</f>
        <v>0</v>
      </c>
      <c r="K53" s="160">
        <f>SUMIF('7月'!$F$6:$F$13,$C53,'7月'!$H$6:$H$13)</f>
        <v>0</v>
      </c>
      <c r="L53" s="160">
        <f>SUMIF('8月'!$F$6:$F$13,$C53,'8月'!$H$6:$H$13)</f>
        <v>0</v>
      </c>
      <c r="M53" s="160">
        <f>SUMIF('9月'!$F$6:$F$13,$C53,'9月'!$H$6:$H$13)</f>
        <v>0</v>
      </c>
      <c r="N53" s="160">
        <f>SUMIF('10月'!$F$6:$F$13,$C53,'10月'!$H$6:$H$13)</f>
        <v>0</v>
      </c>
      <c r="O53" s="160">
        <f>SUMIF('11月'!$F$6:$F$13,$C53,'11月'!$H$6:$H$13)</f>
        <v>0</v>
      </c>
      <c r="P53" s="161">
        <f>SUMIF('12月'!$F$6:$F$13,$C53,'12月'!$H$6:$H$13)</f>
        <v>0</v>
      </c>
      <c r="Q53" s="162">
        <f t="shared" si="8"/>
        <v>2500</v>
      </c>
      <c r="R53" s="163">
        <f t="shared" si="9"/>
        <v>30000</v>
      </c>
      <c r="S53" s="164"/>
      <c r="T53" s="165">
        <v>242000.0</v>
      </c>
      <c r="U53" s="166"/>
    </row>
    <row r="54" ht="22.5" customHeight="1">
      <c r="A54" s="167"/>
      <c r="B54" s="197"/>
      <c r="C54" s="195" t="s">
        <v>160</v>
      </c>
      <c r="D54" s="198"/>
      <c r="E54" s="160">
        <f>SUMIF('1月'!$F$6:$F$13,$C54,'1月'!$H$6:$H$13)</f>
        <v>0</v>
      </c>
      <c r="F54" s="160">
        <f>SUMIF('2月'!$F$6:$F$13,$C54,'2月'!$H$6:$H$13)</f>
        <v>0</v>
      </c>
      <c r="G54" s="160">
        <f>SUMIF('3月'!$F$6:$F$13,$C54,'3月'!$H$6:$H$13)</f>
        <v>0</v>
      </c>
      <c r="H54" s="160">
        <f>SUMIF('4月'!$F$6:$F$13,$C54,'4月'!$H$6:$H$13)</f>
        <v>0</v>
      </c>
      <c r="I54" s="160">
        <f>SUMIF('5月'!$F$6:$F$13,$C54,'5月'!$H$6:$H$13)</f>
        <v>0</v>
      </c>
      <c r="J54" s="160">
        <f>SUMIF('6月'!$F$6:$F$13,$C54,'6月'!$H$6:$H$13)</f>
        <v>0</v>
      </c>
      <c r="K54" s="160">
        <f>SUMIF('7月'!$F$6:$F$13,$C54,'7月'!$H$6:$H$13)</f>
        <v>0</v>
      </c>
      <c r="L54" s="160">
        <f>SUMIF('8月'!$F$6:$F$13,$C54,'8月'!$H$6:$H$13)</f>
        <v>0</v>
      </c>
      <c r="M54" s="160">
        <f>SUMIF('9月'!$F$6:$F$13,$C54,'9月'!$H$6:$H$13)</f>
        <v>0</v>
      </c>
      <c r="N54" s="160">
        <f>SUMIF('10月'!$F$6:$F$13,$C54,'10月'!$H$6:$H$13)</f>
        <v>0</v>
      </c>
      <c r="O54" s="160">
        <f>SUMIF('11月'!$F$6:$F$13,$C54,'11月'!$H$6:$H$13)</f>
        <v>0</v>
      </c>
      <c r="P54" s="161">
        <f>SUMIF('12月'!$F$6:$F$13,$C54,'12月'!$H$6:$H$13)</f>
        <v>0</v>
      </c>
      <c r="Q54" s="162">
        <f t="shared" si="8"/>
        <v>0</v>
      </c>
      <c r="R54" s="163">
        <f t="shared" si="9"/>
        <v>0</v>
      </c>
      <c r="S54" s="164"/>
      <c r="T54" s="165">
        <v>0.605</v>
      </c>
      <c r="U54" s="166"/>
    </row>
    <row r="55" ht="22.5" customHeight="1">
      <c r="A55" s="167"/>
      <c r="B55" s="197"/>
      <c r="C55" s="195" t="s">
        <v>59</v>
      </c>
      <c r="D55" s="198"/>
      <c r="E55" s="160">
        <f>SUMIF('1月'!$F$6:$F$13,$C55,'1月'!$H$6:$H$13)</f>
        <v>30000</v>
      </c>
      <c r="F55" s="160">
        <f>SUMIF('2月'!$F$6:$F$13,$C55,'2月'!$H$6:$H$13)</f>
        <v>0</v>
      </c>
      <c r="G55" s="160">
        <f>SUMIF('3月'!$F$6:$F$13,$C55,'3月'!$H$6:$H$13)</f>
        <v>0</v>
      </c>
      <c r="H55" s="160">
        <f>SUMIF('4月'!$F$6:$F$13,$C55,'4月'!$H$6:$H$13)</f>
        <v>0</v>
      </c>
      <c r="I55" s="160">
        <f>SUMIF('5月'!$F$6:$F$13,$C55,'5月'!$H$6:$H$13)</f>
        <v>0</v>
      </c>
      <c r="J55" s="160">
        <f>SUMIF('6月'!$F$6:$F$13,$C55,'6月'!$H$6:$H$13)</f>
        <v>0</v>
      </c>
      <c r="K55" s="160">
        <f>SUMIF('7月'!$F$6:$F$13,$C55,'7月'!$H$6:$H$13)</f>
        <v>0</v>
      </c>
      <c r="L55" s="160">
        <f>SUMIF('8月'!$F$6:$F$13,$C55,'8月'!$H$6:$H$13)</f>
        <v>0</v>
      </c>
      <c r="M55" s="160">
        <f>SUMIF('9月'!$F$6:$F$13,$C55,'9月'!$H$6:$H$13)</f>
        <v>0</v>
      </c>
      <c r="N55" s="160">
        <f>SUMIF('10月'!$F$6:$F$13,$C55,'10月'!$H$6:$H$13)</f>
        <v>0</v>
      </c>
      <c r="O55" s="160">
        <f>SUMIF('11月'!$F$6:$F$13,$C55,'11月'!$H$6:$H$13)</f>
        <v>0</v>
      </c>
      <c r="P55" s="161">
        <f>SUMIF('12月'!$F$6:$F$13,$C55,'12月'!$H$6:$H$13)</f>
        <v>0</v>
      </c>
      <c r="Q55" s="162">
        <f t="shared" si="8"/>
        <v>2500</v>
      </c>
      <c r="R55" s="163">
        <f t="shared" si="9"/>
        <v>30000</v>
      </c>
      <c r="S55" s="164"/>
      <c r="T55" s="165"/>
      <c r="U55" s="166"/>
    </row>
    <row r="56" ht="22.5" customHeight="1">
      <c r="A56" s="167"/>
      <c r="B56" s="197"/>
      <c r="C56" s="195" t="s">
        <v>161</v>
      </c>
      <c r="D56" s="196"/>
      <c r="E56" s="160">
        <f>SUMIF('1月'!$F$6:$F$13,$C56,'1月'!$H$6:$H$13)</f>
        <v>0</v>
      </c>
      <c r="F56" s="160">
        <f>SUMIF('2月'!$F$6:$F$13,$C56,'2月'!$H$6:$H$13)</f>
        <v>0</v>
      </c>
      <c r="G56" s="160">
        <f>SUMIF('3月'!$F$6:$F$13,$C56,'3月'!$H$6:$H$13)</f>
        <v>0</v>
      </c>
      <c r="H56" s="160">
        <f>SUMIF('4月'!$F$6:$F$13,$C56,'4月'!$H$6:$H$13)</f>
        <v>0</v>
      </c>
      <c r="I56" s="160">
        <f>SUMIF('5月'!$F$6:$F$13,$C56,'5月'!$H$6:$H$13)</f>
        <v>0</v>
      </c>
      <c r="J56" s="160">
        <f>SUMIF('6月'!$F$6:$F$13,$C56,'6月'!$H$6:$H$13)</f>
        <v>0</v>
      </c>
      <c r="K56" s="160">
        <f>SUMIF('7月'!$F$6:$F$13,$C56,'7月'!$H$6:$H$13)</f>
        <v>0</v>
      </c>
      <c r="L56" s="160">
        <f>SUMIF('8月'!$F$6:$F$13,$C56,'8月'!$H$6:$H$13)</f>
        <v>0</v>
      </c>
      <c r="M56" s="160">
        <f>SUMIF('9月'!$F$6:$F$13,$C56,'9月'!$H$6:$H$13)</f>
        <v>0</v>
      </c>
      <c r="N56" s="160">
        <f>SUMIF('10月'!$F$6:$F$13,$C56,'10月'!$H$6:$H$13)</f>
        <v>0</v>
      </c>
      <c r="O56" s="160">
        <f>SUMIF('11月'!$F$6:$F$13,$C56,'11月'!$H$6:$H$13)</f>
        <v>0</v>
      </c>
      <c r="P56" s="161">
        <f>SUMIF('12月'!$F$6:$F$13,$C56,'12月'!$H$6:$H$13)</f>
        <v>0</v>
      </c>
      <c r="Q56" s="162">
        <f t="shared" si="8"/>
        <v>0</v>
      </c>
      <c r="R56" s="163">
        <f t="shared" si="9"/>
        <v>0</v>
      </c>
      <c r="S56" s="164"/>
      <c r="T56" s="165"/>
      <c r="U56" s="166"/>
    </row>
    <row r="57" ht="22.5" customHeight="1">
      <c r="A57" s="167"/>
      <c r="B57" s="197"/>
      <c r="C57" s="195" t="s">
        <v>162</v>
      </c>
      <c r="D57" s="196"/>
      <c r="E57" s="160">
        <f>SUMIF('1月'!$F$6:$F$13,$C57,'1月'!$H$6:$H$13)</f>
        <v>0</v>
      </c>
      <c r="F57" s="160">
        <f>SUMIF('2月'!$F$6:$F$13,$C57,'2月'!$H$6:$H$13)</f>
        <v>0</v>
      </c>
      <c r="G57" s="160">
        <f>SUMIF('3月'!$F$6:$F$13,$C57,'3月'!$H$6:$H$13)</f>
        <v>0</v>
      </c>
      <c r="H57" s="160">
        <f>SUMIF('4月'!$F$6:$F$13,$C57,'4月'!$H$6:$H$13)</f>
        <v>0</v>
      </c>
      <c r="I57" s="160">
        <f>SUMIF('5月'!$F$6:$F$13,$C57,'5月'!$H$6:$H$13)</f>
        <v>0</v>
      </c>
      <c r="J57" s="160">
        <f>SUMIF('6月'!$F$6:$F$13,$C57,'6月'!$H$6:$H$13)</f>
        <v>0</v>
      </c>
      <c r="K57" s="160">
        <f>SUMIF('7月'!$F$6:$F$13,$C57,'7月'!$H$6:$H$13)</f>
        <v>0</v>
      </c>
      <c r="L57" s="160">
        <f>SUMIF('8月'!$F$6:$F$13,$C57,'8月'!$H$6:$H$13)</f>
        <v>0</v>
      </c>
      <c r="M57" s="160">
        <f>SUMIF('9月'!$F$6:$F$13,$C57,'9月'!$H$6:$H$13)</f>
        <v>0</v>
      </c>
      <c r="N57" s="160">
        <f>SUMIF('10月'!$F$6:$F$13,$C57,'10月'!$H$6:$H$13)</f>
        <v>0</v>
      </c>
      <c r="O57" s="160">
        <f>SUMIF('11月'!$F$6:$F$13,$C57,'11月'!$H$6:$H$13)</f>
        <v>0</v>
      </c>
      <c r="P57" s="161">
        <f>SUMIF('12月'!$F$6:$F$13,$C57,'12月'!$H$6:$H$13)</f>
        <v>0</v>
      </c>
      <c r="Q57" s="162">
        <f t="shared" si="8"/>
        <v>0</v>
      </c>
      <c r="R57" s="163">
        <f t="shared" si="9"/>
        <v>0</v>
      </c>
      <c r="S57" s="164"/>
      <c r="T57" s="165"/>
      <c r="U57" s="166"/>
    </row>
    <row r="58" ht="22.5" customHeight="1">
      <c r="A58" s="167"/>
      <c r="B58" s="197"/>
      <c r="C58" s="195" t="s">
        <v>163</v>
      </c>
      <c r="D58" s="158"/>
      <c r="E58" s="160">
        <f>SUMIF('1月'!$F$6:$F$13,$C58,'1月'!$H$6:$H$13)</f>
        <v>0</v>
      </c>
      <c r="F58" s="160">
        <f>SUMIF('2月'!$F$6:$F$13,$C58,'2月'!$H$6:$H$13)</f>
        <v>0</v>
      </c>
      <c r="G58" s="160">
        <f>SUMIF('3月'!$F$6:$F$13,$C58,'3月'!$H$6:$H$13)</f>
        <v>0</v>
      </c>
      <c r="H58" s="160">
        <f>SUMIF('4月'!$F$6:$F$13,$C58,'4月'!$H$6:$H$13)</f>
        <v>0</v>
      </c>
      <c r="I58" s="160">
        <f>SUMIF('5月'!$F$6:$F$13,$C58,'5月'!$H$6:$H$13)</f>
        <v>0</v>
      </c>
      <c r="J58" s="160">
        <f>SUMIF('6月'!$F$6:$F$13,$C58,'6月'!$H$6:$H$13)</f>
        <v>0</v>
      </c>
      <c r="K58" s="160">
        <f>SUMIF('7月'!$F$6:$F$13,$C58,'7月'!$H$6:$H$13)</f>
        <v>0</v>
      </c>
      <c r="L58" s="160">
        <f>SUMIF('8月'!$F$6:$F$13,$C58,'8月'!$H$6:$H$13)</f>
        <v>0</v>
      </c>
      <c r="M58" s="160">
        <f>SUMIF('9月'!$F$6:$F$13,$C58,'9月'!$H$6:$H$13)</f>
        <v>0</v>
      </c>
      <c r="N58" s="160">
        <f>SUMIF('10月'!$F$6:$F$13,$C58,'10月'!$H$6:$H$13)</f>
        <v>0</v>
      </c>
      <c r="O58" s="160">
        <f>SUMIF('11月'!$F$6:$F$13,$C58,'11月'!$H$6:$H$13)</f>
        <v>0</v>
      </c>
      <c r="P58" s="161">
        <f>SUMIF('12月'!$F$6:$F$13,$C58,'12月'!$H$6:$H$13)</f>
        <v>0</v>
      </c>
      <c r="Q58" s="162">
        <f t="shared" si="8"/>
        <v>0</v>
      </c>
      <c r="R58" s="163">
        <f t="shared" si="9"/>
        <v>0</v>
      </c>
      <c r="S58" s="164"/>
      <c r="T58" s="165"/>
      <c r="U58" s="166"/>
    </row>
    <row r="59" ht="22.5" customHeight="1">
      <c r="A59" s="167"/>
      <c r="B59" s="197"/>
      <c r="C59" s="195" t="s">
        <v>164</v>
      </c>
      <c r="D59" s="159"/>
      <c r="E59" s="160">
        <f>SUMIF('1月'!$F$6:$F$13,$C59,'1月'!$H$6:$H$13)</f>
        <v>0</v>
      </c>
      <c r="F59" s="160">
        <f>SUMIF('2月'!$F$6:$F$13,$C59,'2月'!$H$6:$H$13)</f>
        <v>0</v>
      </c>
      <c r="G59" s="160">
        <f>SUMIF('3月'!$F$6:$F$13,$C59,'3月'!$H$6:$H$13)</f>
        <v>0</v>
      </c>
      <c r="H59" s="160">
        <f>SUMIF('4月'!$F$6:$F$13,$C59,'4月'!$H$6:$H$13)</f>
        <v>0</v>
      </c>
      <c r="I59" s="160">
        <f>SUMIF('5月'!$F$6:$F$13,$C59,'5月'!$H$6:$H$13)</f>
        <v>0</v>
      </c>
      <c r="J59" s="160">
        <f>SUMIF('6月'!$F$6:$F$13,$C59,'6月'!$H$6:$H$13)</f>
        <v>0</v>
      </c>
      <c r="K59" s="160">
        <f>SUMIF('7月'!$F$6:$F$13,$C59,'7月'!$H$6:$H$13)</f>
        <v>0</v>
      </c>
      <c r="L59" s="160">
        <f>SUMIF('8月'!$F$6:$F$13,$C59,'8月'!$H$6:$H$13)</f>
        <v>0</v>
      </c>
      <c r="M59" s="160">
        <f>SUMIF('9月'!$F$6:$F$13,$C59,'9月'!$H$6:$H$13)</f>
        <v>0</v>
      </c>
      <c r="N59" s="160">
        <f>SUMIF('10月'!$F$6:$F$13,$C59,'10月'!$H$6:$H$13)</f>
        <v>0</v>
      </c>
      <c r="O59" s="160">
        <f>SUMIF('11月'!$F$6:$F$13,$C59,'11月'!$H$6:$H$13)</f>
        <v>0</v>
      </c>
      <c r="P59" s="161">
        <f>SUMIF('12月'!$F$6:$F$13,$C59,'12月'!$H$6:$H$13)</f>
        <v>0</v>
      </c>
      <c r="Q59" s="162">
        <f t="shared" si="8"/>
        <v>0</v>
      </c>
      <c r="R59" s="163">
        <f t="shared" si="9"/>
        <v>0</v>
      </c>
      <c r="S59" s="164"/>
      <c r="T59" s="165"/>
      <c r="U59" s="166"/>
    </row>
    <row r="60" ht="22.5" customHeight="1">
      <c r="A60" s="168"/>
      <c r="B60" s="199"/>
      <c r="C60" s="170" t="s">
        <v>165</v>
      </c>
      <c r="D60" s="171"/>
      <c r="E60" s="172">
        <f t="shared" ref="E60:P60" si="11">SUM(E52:E59)</f>
        <v>80000</v>
      </c>
      <c r="F60" s="172">
        <f t="shared" si="11"/>
        <v>0</v>
      </c>
      <c r="G60" s="172">
        <f t="shared" si="11"/>
        <v>0</v>
      </c>
      <c r="H60" s="172">
        <f t="shared" si="11"/>
        <v>0</v>
      </c>
      <c r="I60" s="172">
        <f t="shared" si="11"/>
        <v>0</v>
      </c>
      <c r="J60" s="172">
        <f t="shared" si="11"/>
        <v>0</v>
      </c>
      <c r="K60" s="172">
        <f t="shared" si="11"/>
        <v>0</v>
      </c>
      <c r="L60" s="172">
        <f t="shared" si="11"/>
        <v>0</v>
      </c>
      <c r="M60" s="172">
        <f t="shared" si="11"/>
        <v>0</v>
      </c>
      <c r="N60" s="172">
        <f t="shared" si="11"/>
        <v>0</v>
      </c>
      <c r="O60" s="172">
        <f t="shared" si="11"/>
        <v>0</v>
      </c>
      <c r="P60" s="173">
        <f t="shared" si="11"/>
        <v>0</v>
      </c>
      <c r="Q60" s="174">
        <f t="shared" si="8"/>
        <v>6666.666667</v>
      </c>
      <c r="R60" s="175">
        <f t="shared" si="9"/>
        <v>80000</v>
      </c>
      <c r="S60" s="176"/>
      <c r="T60" s="165"/>
      <c r="U60" s="166"/>
    </row>
    <row r="61" ht="22.5" customHeight="1">
      <c r="A61" s="200" t="s">
        <v>166</v>
      </c>
      <c r="B61" s="157"/>
      <c r="C61" s="201" t="s">
        <v>167</v>
      </c>
      <c r="D61" s="202"/>
      <c r="E61" s="202">
        <f t="shared" ref="E61:P61" si="12">E12-E39-E60</f>
        <v>162000</v>
      </c>
      <c r="F61" s="202">
        <f t="shared" si="12"/>
        <v>0</v>
      </c>
      <c r="G61" s="202">
        <f t="shared" si="12"/>
        <v>0</v>
      </c>
      <c r="H61" s="202">
        <f t="shared" si="12"/>
        <v>0</v>
      </c>
      <c r="I61" s="202">
        <f t="shared" si="12"/>
        <v>0</v>
      </c>
      <c r="J61" s="202">
        <f t="shared" si="12"/>
        <v>0</v>
      </c>
      <c r="K61" s="202">
        <f t="shared" si="12"/>
        <v>0</v>
      </c>
      <c r="L61" s="202">
        <f t="shared" si="12"/>
        <v>0</v>
      </c>
      <c r="M61" s="202">
        <f t="shared" si="12"/>
        <v>0</v>
      </c>
      <c r="N61" s="202">
        <f t="shared" si="12"/>
        <v>0</v>
      </c>
      <c r="O61" s="202">
        <f t="shared" si="12"/>
        <v>0</v>
      </c>
      <c r="P61" s="203">
        <f t="shared" si="12"/>
        <v>0</v>
      </c>
      <c r="Q61" s="204">
        <f t="shared" si="8"/>
        <v>13500</v>
      </c>
      <c r="R61" s="205">
        <f t="shared" si="9"/>
        <v>162000</v>
      </c>
      <c r="S61" s="164"/>
      <c r="T61" s="165"/>
      <c r="U61" s="166"/>
    </row>
    <row r="62" ht="22.5" customHeight="1">
      <c r="A62" s="167"/>
      <c r="C62" s="201" t="s">
        <v>168</v>
      </c>
      <c r="D62" s="202"/>
      <c r="E62" s="202">
        <f t="shared" ref="E62:P62" si="13">E60+E61</f>
        <v>242000</v>
      </c>
      <c r="F62" s="202">
        <f t="shared" si="13"/>
        <v>0</v>
      </c>
      <c r="G62" s="202">
        <f t="shared" si="13"/>
        <v>0</v>
      </c>
      <c r="H62" s="202">
        <f t="shared" si="13"/>
        <v>0</v>
      </c>
      <c r="I62" s="202">
        <f t="shared" si="13"/>
        <v>0</v>
      </c>
      <c r="J62" s="202">
        <f t="shared" si="13"/>
        <v>0</v>
      </c>
      <c r="K62" s="202">
        <f t="shared" si="13"/>
        <v>0</v>
      </c>
      <c r="L62" s="202">
        <f t="shared" si="13"/>
        <v>0</v>
      </c>
      <c r="M62" s="202">
        <f t="shared" si="13"/>
        <v>0</v>
      </c>
      <c r="N62" s="202">
        <f t="shared" si="13"/>
        <v>0</v>
      </c>
      <c r="O62" s="202">
        <f t="shared" si="13"/>
        <v>0</v>
      </c>
      <c r="P62" s="203">
        <f t="shared" si="13"/>
        <v>0</v>
      </c>
      <c r="Q62" s="204">
        <f t="shared" si="8"/>
        <v>20166.66667</v>
      </c>
      <c r="R62" s="205">
        <f t="shared" si="9"/>
        <v>242000</v>
      </c>
      <c r="S62" s="164"/>
      <c r="T62" s="165"/>
      <c r="U62" s="166"/>
    </row>
    <row r="63" ht="22.5" customHeight="1">
      <c r="A63" s="168"/>
      <c r="B63" s="169"/>
      <c r="C63" s="201" t="s">
        <v>169</v>
      </c>
      <c r="D63" s="206" t="s">
        <v>170</v>
      </c>
      <c r="E63" s="207">
        <f t="shared" ref="E63:R63" si="14">IFERROR(E62/E12,"")</f>
        <v>0.605</v>
      </c>
      <c r="F63" s="207" t="str">
        <f t="shared" si="14"/>
        <v/>
      </c>
      <c r="G63" s="207" t="str">
        <f t="shared" si="14"/>
        <v/>
      </c>
      <c r="H63" s="207" t="str">
        <f t="shared" si="14"/>
        <v/>
      </c>
      <c r="I63" s="207" t="str">
        <f t="shared" si="14"/>
        <v/>
      </c>
      <c r="J63" s="207" t="str">
        <f t="shared" si="14"/>
        <v/>
      </c>
      <c r="K63" s="207" t="str">
        <f t="shared" si="14"/>
        <v/>
      </c>
      <c r="L63" s="207" t="str">
        <f t="shared" si="14"/>
        <v/>
      </c>
      <c r="M63" s="207" t="str">
        <f t="shared" si="14"/>
        <v/>
      </c>
      <c r="N63" s="207" t="str">
        <f t="shared" si="14"/>
        <v/>
      </c>
      <c r="O63" s="207" t="str">
        <f t="shared" si="14"/>
        <v/>
      </c>
      <c r="P63" s="208" t="str">
        <f t="shared" si="14"/>
        <v/>
      </c>
      <c r="Q63" s="209">
        <f t="shared" si="14"/>
        <v>0.605</v>
      </c>
      <c r="R63" s="210">
        <f t="shared" si="14"/>
        <v>0.605</v>
      </c>
      <c r="S63" s="191"/>
      <c r="T63" s="165"/>
      <c r="U63" s="166"/>
    </row>
    <row r="64" hidden="1">
      <c r="A64" s="136">
        <v>1.0</v>
      </c>
      <c r="B64" s="136">
        <v>1.0</v>
      </c>
      <c r="C64" s="211"/>
      <c r="D64" s="211"/>
      <c r="E64" s="136">
        <f t="array" ref="E64:P64">ByCol(E13:P63, Lambda(col, N(Sum(col)&gt;0)))</f>
        <v>1</v>
      </c>
      <c r="F64" s="136">
        <v>0.0</v>
      </c>
      <c r="G64" s="136">
        <v>0.0</v>
      </c>
      <c r="H64" s="136">
        <v>0.0</v>
      </c>
      <c r="I64" s="136">
        <v>0.0</v>
      </c>
      <c r="J64" s="136">
        <v>0.0</v>
      </c>
      <c r="K64" s="136">
        <v>0.0</v>
      </c>
      <c r="L64" s="136">
        <v>0.0</v>
      </c>
      <c r="M64" s="136">
        <v>0.0</v>
      </c>
      <c r="N64" s="136">
        <v>0.0</v>
      </c>
      <c r="O64" s="136">
        <v>0.0</v>
      </c>
      <c r="P64" s="136">
        <v>0.0</v>
      </c>
      <c r="Q64" s="212">
        <f>Sum(E64:P64)</f>
        <v>1</v>
      </c>
      <c r="R64" s="136"/>
      <c r="S64" s="213"/>
      <c r="T64" s="136"/>
      <c r="U64" s="136"/>
    </row>
  </sheetData>
  <mergeCells count="13">
    <mergeCell ref="B39:D39"/>
    <mergeCell ref="B40:C40"/>
    <mergeCell ref="B41:B50"/>
    <mergeCell ref="B51:D51"/>
    <mergeCell ref="A52:B60"/>
    <mergeCell ref="A61:B63"/>
    <mergeCell ref="A3:B3"/>
    <mergeCell ref="A4:B12"/>
    <mergeCell ref="A13:A51"/>
    <mergeCell ref="B13:B25"/>
    <mergeCell ref="C25:D25"/>
    <mergeCell ref="B26:B38"/>
    <mergeCell ref="C38:D38"/>
  </mergeCells>
  <dataValidations>
    <dataValidation type="list" allowBlank="1" sqref="C4:C11">
      <formula1>list!$A$2:$A64</formula1>
    </dataValidation>
    <dataValidation type="list" allowBlank="1" sqref="C52:C59">
      <formula1>list!$B$2:$B64</formula1>
    </dataValidation>
    <dataValidation type="list" allowBlank="1" sqref="C13:C24 C26:C37">
      <formula1>list!$C$2:$C64</formula1>
    </dataValidation>
    <dataValidation type="list" allowBlank="1" sqref="C41:C50">
      <formula1>list!$D$2:$D64</formula1>
    </dataValidation>
  </dataValidation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DB3B7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2" max="3" width="16.0"/>
    <col customWidth="1" min="4" max="4" width="8.88"/>
    <col customWidth="1" min="5" max="6" width="16.0"/>
    <col customWidth="1" min="7" max="7" width="10.0"/>
    <col customWidth="1" min="8" max="9" width="17.88"/>
    <col customWidth="1" min="10" max="10" width="10.13"/>
    <col customWidth="1" min="11" max="12" width="17.88"/>
    <col customWidth="1" min="13" max="15" width="10.13"/>
    <col customWidth="1" hidden="1" min="16" max="17" width="11.0"/>
  </cols>
  <sheetData>
    <row r="1" ht="24.0" customHeight="1">
      <c r="A1" s="15"/>
      <c r="B1" s="10" t="s">
        <v>171</v>
      </c>
      <c r="C1" s="15"/>
      <c r="D1" s="13"/>
      <c r="E1" s="12" t="s">
        <v>172</v>
      </c>
      <c r="F1" s="14"/>
      <c r="G1" s="15"/>
      <c r="H1" s="15"/>
      <c r="I1" s="15"/>
      <c r="J1" s="15"/>
      <c r="K1" s="15"/>
      <c r="L1" s="15"/>
      <c r="M1" s="15"/>
      <c r="N1" s="15"/>
      <c r="O1" s="15"/>
      <c r="P1" s="16"/>
      <c r="Q1" s="16"/>
    </row>
    <row r="2" ht="8.25" customHeight="1">
      <c r="A2" s="21"/>
      <c r="B2" s="20"/>
      <c r="F2" s="20"/>
      <c r="G2" s="21"/>
      <c r="H2" s="214"/>
      <c r="I2" s="21"/>
      <c r="J2" s="21"/>
      <c r="K2" s="21"/>
      <c r="L2" s="21"/>
      <c r="M2" s="21"/>
      <c r="N2" s="21"/>
      <c r="O2" s="21"/>
      <c r="P2" s="21"/>
      <c r="Q2" s="21"/>
    </row>
    <row r="3">
      <c r="A3" s="215"/>
      <c r="B3" s="216" t="s">
        <v>173</v>
      </c>
      <c r="C3" s="217" t="s">
        <v>174</v>
      </c>
      <c r="D3" s="215"/>
      <c r="E3" s="215"/>
      <c r="F3" s="218"/>
      <c r="G3" s="219"/>
      <c r="H3" s="219"/>
      <c r="I3" s="219"/>
      <c r="J3" s="219"/>
      <c r="K3" s="219"/>
      <c r="L3" s="219"/>
      <c r="M3" s="219"/>
      <c r="N3" s="219"/>
      <c r="O3" s="21"/>
      <c r="P3" s="21"/>
      <c r="Q3" s="21"/>
    </row>
    <row r="4" ht="6.75" customHeight="1">
      <c r="A4" s="215"/>
      <c r="B4" s="218"/>
      <c r="C4" s="215"/>
      <c r="D4" s="215"/>
      <c r="E4" s="220"/>
      <c r="F4" s="220"/>
      <c r="G4" s="219"/>
      <c r="H4" s="215"/>
      <c r="I4" s="215"/>
      <c r="J4" s="215"/>
      <c r="K4" s="215"/>
      <c r="L4" s="219"/>
      <c r="M4" s="219"/>
      <c r="N4" s="219"/>
      <c r="O4" s="21"/>
      <c r="P4" s="21"/>
      <c r="Q4" s="21"/>
    </row>
    <row r="5" ht="18.0" customHeight="1">
      <c r="A5" s="215"/>
      <c r="B5" s="29" t="s">
        <v>32</v>
      </c>
      <c r="C5" s="31"/>
      <c r="D5" s="221"/>
      <c r="E5" s="29" t="s">
        <v>33</v>
      </c>
      <c r="F5" s="31"/>
      <c r="G5" s="219"/>
      <c r="H5" s="215"/>
      <c r="I5" s="215"/>
      <c r="J5" s="215"/>
      <c r="K5" s="215"/>
      <c r="L5" s="219"/>
      <c r="M5" s="219"/>
      <c r="N5" s="219"/>
      <c r="O5" s="21"/>
      <c r="P5" s="21"/>
      <c r="Q5" s="21"/>
    </row>
    <row r="6" ht="17.25" customHeight="1">
      <c r="A6" s="215"/>
      <c r="B6" s="41" t="s">
        <v>44</v>
      </c>
      <c r="C6" s="41" t="s">
        <v>46</v>
      </c>
      <c r="D6" s="221"/>
      <c r="E6" s="41" t="s">
        <v>44</v>
      </c>
      <c r="F6" s="41" t="s">
        <v>46</v>
      </c>
      <c r="G6" s="219"/>
      <c r="H6" s="215"/>
      <c r="I6" s="215"/>
      <c r="J6" s="215"/>
      <c r="K6" s="215"/>
      <c r="L6" s="219"/>
      <c r="M6" s="219"/>
      <c r="N6" s="219"/>
      <c r="O6" s="21"/>
      <c r="P6" s="21"/>
      <c r="Q6" s="21"/>
    </row>
    <row r="7" ht="17.25" customHeight="1">
      <c r="A7" s="215"/>
      <c r="B7" s="54" t="s">
        <v>52</v>
      </c>
      <c r="C7" s="222">
        <f>SUMIF('年間推移シート'!$C$4:$C$11,B7,'年間推移シート'!$Q$4:$Q$11)</f>
        <v>20833.33333</v>
      </c>
      <c r="D7" s="223"/>
      <c r="E7" s="224" t="s">
        <v>54</v>
      </c>
      <c r="F7" s="83">
        <f>SUMIF('年間推移シート'!$C$52:$C$59,E7,'年間推移シート'!$Q$52:$Q$59)</f>
        <v>1666.666667</v>
      </c>
      <c r="G7" s="219"/>
      <c r="H7" s="215"/>
      <c r="I7" s="215"/>
      <c r="J7" s="215"/>
      <c r="K7" s="215"/>
      <c r="L7" s="219"/>
      <c r="M7" s="219"/>
      <c r="N7" s="219"/>
      <c r="O7" s="21"/>
      <c r="P7" s="21"/>
      <c r="Q7" s="21"/>
    </row>
    <row r="8" ht="17.25" customHeight="1">
      <c r="A8" s="215"/>
      <c r="B8" s="54" t="s">
        <v>55</v>
      </c>
      <c r="C8" s="222">
        <f>SUMIF('年間推移シート'!$C$4:$C$11,B8,'年間推移シート'!$Q$4:$Q$11)</f>
        <v>12500</v>
      </c>
      <c r="D8" s="223"/>
      <c r="E8" s="224" t="s">
        <v>59</v>
      </c>
      <c r="F8" s="83">
        <f>SUMIF('年間推移シート'!$C$52:$C$59,E8,'年間推移シート'!$Q$52:$Q$59)</f>
        <v>2500</v>
      </c>
      <c r="G8" s="219"/>
      <c r="H8" s="215"/>
      <c r="I8" s="225"/>
      <c r="J8" s="219"/>
      <c r="K8" s="219"/>
      <c r="L8" s="219"/>
      <c r="M8" s="219"/>
      <c r="N8" s="219"/>
      <c r="O8" s="21"/>
      <c r="P8" s="21"/>
      <c r="Q8" s="21"/>
    </row>
    <row r="9" ht="17.25" customHeight="1">
      <c r="A9" s="215"/>
      <c r="B9" s="54"/>
      <c r="C9" s="222">
        <f>SUMIF('年間推移シート'!$C$4:$C$11,B9,'年間推移シート'!$Q$4:$Q$11)</f>
        <v>0</v>
      </c>
      <c r="D9" s="223"/>
      <c r="E9" s="224" t="s">
        <v>57</v>
      </c>
      <c r="F9" s="83">
        <f>SUMIF('年間推移シート'!$C$52:$C$59,E9,'年間推移シート'!$Q$52:$Q$59)</f>
        <v>2500</v>
      </c>
      <c r="G9" s="219"/>
      <c r="H9" s="215"/>
      <c r="I9" s="225"/>
      <c r="J9" s="219"/>
      <c r="K9" s="219"/>
      <c r="L9" s="219"/>
      <c r="M9" s="219"/>
      <c r="N9" s="219"/>
      <c r="O9" s="21"/>
      <c r="P9" s="21"/>
      <c r="Q9" s="21"/>
    </row>
    <row r="10" ht="17.25" customHeight="1">
      <c r="A10" s="215"/>
      <c r="B10" s="54"/>
      <c r="C10" s="222">
        <f>SUMIF('年間推移シート'!$C$4:$C$11,B10,'年間推移シート'!$Q$4:$Q$11)</f>
        <v>0</v>
      </c>
      <c r="D10" s="223"/>
      <c r="E10" s="226"/>
      <c r="F10" s="83">
        <f>SUMIF('年間推移シート'!$C$52:$C$59,E10,'年間推移シート'!$Q$52:$Q$59)</f>
        <v>0</v>
      </c>
      <c r="G10" s="219"/>
      <c r="H10" s="219"/>
      <c r="I10" s="219"/>
      <c r="J10" s="219"/>
      <c r="K10" s="219"/>
      <c r="L10" s="219"/>
      <c r="M10" s="219"/>
      <c r="N10" s="219"/>
      <c r="O10" s="21"/>
      <c r="P10" s="21"/>
      <c r="Q10" s="21"/>
    </row>
    <row r="11" ht="17.25" customHeight="1">
      <c r="A11" s="215"/>
      <c r="B11" s="54"/>
      <c r="C11" s="222">
        <f>SUMIF('年間推移シート'!$C$4:$C$11,B11,'年間推移シート'!$Q$4:$Q$11)</f>
        <v>0</v>
      </c>
      <c r="D11" s="223"/>
      <c r="E11" s="226"/>
      <c r="F11" s="83">
        <f>SUMIF('年間推移シート'!$C$52:$C$59,E11,'年間推移シート'!$Q$52:$Q$59)</f>
        <v>0</v>
      </c>
      <c r="G11" s="219"/>
      <c r="H11" s="219"/>
      <c r="I11" s="219"/>
      <c r="J11" s="219"/>
      <c r="K11" s="219"/>
      <c r="L11" s="219"/>
      <c r="M11" s="219"/>
      <c r="N11" s="219"/>
      <c r="O11" s="21"/>
      <c r="P11" s="21"/>
      <c r="Q11" s="21"/>
    </row>
    <row r="12" ht="17.25" customHeight="1">
      <c r="A12" s="215"/>
      <c r="B12" s="68"/>
      <c r="C12" s="222">
        <f>SUMIF('年間推移シート'!$C$4:$C$11,B12,'年間推移シート'!$Q$4:$Q$11)</f>
        <v>0</v>
      </c>
      <c r="D12" s="223"/>
      <c r="E12" s="226"/>
      <c r="F12" s="83">
        <f>SUMIF('年間推移シート'!$C$52:$C$59,E12,'年間推移シート'!$Q$52:$Q$59)</f>
        <v>0</v>
      </c>
      <c r="G12" s="219"/>
      <c r="H12" s="219"/>
      <c r="I12" s="219"/>
      <c r="J12" s="219"/>
      <c r="K12" s="219"/>
      <c r="L12" s="219"/>
      <c r="M12" s="219"/>
      <c r="N12" s="219"/>
      <c r="O12" s="21"/>
      <c r="P12" s="21"/>
      <c r="Q12" s="21"/>
    </row>
    <row r="13" ht="17.25" customHeight="1">
      <c r="A13" s="215"/>
      <c r="B13" s="68"/>
      <c r="C13" s="222">
        <f>SUMIF('年間推移シート'!$C$4:$C$11,B13,'年間推移シート'!$Q$4:$Q$11)</f>
        <v>0</v>
      </c>
      <c r="D13" s="223"/>
      <c r="E13" s="226"/>
      <c r="F13" s="83">
        <f>SUMIF('年間推移シート'!$C$52:$C$59,E13,'年間推移シート'!$Q$52:$Q$59)</f>
        <v>0</v>
      </c>
      <c r="G13" s="219"/>
      <c r="H13" s="219"/>
      <c r="I13" s="219"/>
      <c r="J13" s="219"/>
      <c r="K13" s="219"/>
      <c r="L13" s="219"/>
      <c r="M13" s="219"/>
      <c r="N13" s="219"/>
      <c r="O13" s="21"/>
      <c r="P13" s="21"/>
      <c r="Q13" s="21"/>
    </row>
    <row r="14" ht="17.25" customHeight="1">
      <c r="A14" s="215"/>
      <c r="B14" s="68"/>
      <c r="C14" s="222">
        <f>SUMIF('年間推移シート'!$C$4:$C$11,B14,'年間推移シート'!$Q$4:$Q$11)</f>
        <v>0</v>
      </c>
      <c r="D14" s="223"/>
      <c r="E14" s="226"/>
      <c r="F14" s="83">
        <f>SUMIF('年間推移シート'!$C$52:$C$59,E14,'年間推移シート'!$Q$52:$Q$59)</f>
        <v>0</v>
      </c>
      <c r="G14" s="219"/>
      <c r="H14" s="219"/>
      <c r="I14" s="219"/>
      <c r="J14" s="219"/>
      <c r="K14" s="219"/>
      <c r="L14" s="219"/>
      <c r="M14" s="219"/>
      <c r="N14" s="219"/>
      <c r="O14" s="21"/>
      <c r="P14" s="21"/>
      <c r="Q14" s="21"/>
    </row>
    <row r="15" ht="17.25" customHeight="1">
      <c r="A15" s="215"/>
      <c r="B15" s="70" t="s">
        <v>60</v>
      </c>
      <c r="C15" s="227">
        <f>SUM(C7:C14)</f>
        <v>33333.33333</v>
      </c>
      <c r="D15" s="223"/>
      <c r="E15" s="70" t="s">
        <v>60</v>
      </c>
      <c r="F15" s="72">
        <f>SUM(F7:F14)</f>
        <v>6666.666667</v>
      </c>
      <c r="G15" s="219"/>
      <c r="H15" s="219"/>
      <c r="I15" s="219"/>
      <c r="J15" s="219"/>
      <c r="K15" s="219"/>
      <c r="L15" s="219"/>
      <c r="M15" s="219"/>
      <c r="N15" s="219"/>
      <c r="O15" s="21"/>
      <c r="P15" s="21"/>
      <c r="Q15" s="21"/>
    </row>
    <row r="16" ht="10.5" customHeight="1">
      <c r="A16" s="215"/>
      <c r="B16" s="215"/>
      <c r="C16" s="215"/>
      <c r="D16" s="215"/>
      <c r="E16" s="215"/>
      <c r="F16" s="215"/>
      <c r="G16" s="219"/>
      <c r="H16" s="215"/>
      <c r="I16" s="215"/>
      <c r="J16" s="215"/>
      <c r="K16" s="215"/>
      <c r="L16" s="219"/>
      <c r="M16" s="219"/>
      <c r="N16" s="219"/>
      <c r="O16" s="21"/>
      <c r="P16" s="21"/>
      <c r="Q16" s="21"/>
    </row>
    <row r="17" ht="5.25" customHeight="1">
      <c r="A17" s="215"/>
      <c r="B17" s="228"/>
      <c r="D17" s="219"/>
      <c r="E17" s="228"/>
      <c r="G17" s="219"/>
      <c r="H17" s="215"/>
      <c r="I17" s="215"/>
      <c r="J17" s="215"/>
      <c r="K17" s="215"/>
      <c r="L17" s="219"/>
      <c r="M17" s="219"/>
      <c r="N17" s="219"/>
      <c r="O17" s="21"/>
      <c r="P17" s="21"/>
      <c r="Q17" s="21"/>
    </row>
    <row r="18" ht="18.0" customHeight="1">
      <c r="A18" s="215"/>
      <c r="B18" s="73" t="s">
        <v>61</v>
      </c>
      <c r="D18" s="229"/>
      <c r="E18" s="73" t="s">
        <v>61</v>
      </c>
      <c r="G18" s="219"/>
      <c r="H18" s="215"/>
      <c r="I18" s="215"/>
      <c r="J18" s="215"/>
      <c r="K18" s="215"/>
      <c r="L18" s="219"/>
      <c r="M18" s="219"/>
      <c r="N18" s="219"/>
      <c r="O18" s="21"/>
      <c r="P18" s="21"/>
      <c r="Q18" s="21"/>
    </row>
    <row r="19">
      <c r="A19" s="215"/>
      <c r="B19" s="230" t="s">
        <v>175</v>
      </c>
      <c r="C19" s="231"/>
      <c r="D19" s="232"/>
      <c r="E19" s="230" t="s">
        <v>176</v>
      </c>
      <c r="F19" s="233"/>
      <c r="G19" s="219"/>
      <c r="H19" s="215"/>
      <c r="I19" s="215"/>
      <c r="J19" s="215"/>
      <c r="K19" s="215"/>
      <c r="L19" s="219"/>
      <c r="M19" s="219"/>
      <c r="N19" s="219"/>
      <c r="O19" s="21"/>
      <c r="P19" s="21"/>
      <c r="Q19" s="21"/>
    </row>
    <row r="20" ht="17.25" customHeight="1">
      <c r="A20" s="215"/>
      <c r="B20" s="41" t="s">
        <v>44</v>
      </c>
      <c r="C20" s="41" t="s">
        <v>46</v>
      </c>
      <c r="D20" s="223"/>
      <c r="E20" s="41" t="s">
        <v>44</v>
      </c>
      <c r="F20" s="41" t="s">
        <v>46</v>
      </c>
      <c r="G20" s="219"/>
      <c r="H20" s="219"/>
      <c r="I20" s="219"/>
      <c r="J20" s="219"/>
      <c r="K20" s="219"/>
      <c r="L20" s="219"/>
      <c r="M20" s="219"/>
      <c r="N20" s="219"/>
      <c r="O20" s="21"/>
      <c r="P20" s="21"/>
      <c r="Q20" s="21"/>
    </row>
    <row r="21" ht="17.25" customHeight="1">
      <c r="A21" s="215"/>
      <c r="B21" s="54" t="s">
        <v>68</v>
      </c>
      <c r="C21" s="222">
        <f>SUMIF('年間推移シート'!$C$13:$C$24,B21,'年間推移シート'!$Q$13:$Q$24)</f>
        <v>8333.333333</v>
      </c>
      <c r="D21" s="223"/>
      <c r="E21" s="54" t="s">
        <v>51</v>
      </c>
      <c r="F21" s="222">
        <f>SUMIF('年間推移シート'!$C$26:$C$37,E21,'年間推移シート'!$Q$26:$Q$37)</f>
        <v>83.33333333</v>
      </c>
      <c r="G21" s="219"/>
      <c r="H21" s="219"/>
      <c r="I21" s="219"/>
      <c r="J21" s="219"/>
      <c r="K21" s="219"/>
      <c r="L21" s="219"/>
      <c r="M21" s="219"/>
      <c r="N21" s="219"/>
      <c r="O21" s="21"/>
      <c r="P21" s="21"/>
      <c r="Q21" s="21"/>
    </row>
    <row r="22" ht="17.25" customHeight="1">
      <c r="A22" s="215"/>
      <c r="B22" s="54" t="s">
        <v>70</v>
      </c>
      <c r="C22" s="222">
        <f>SUMIF('年間推移シート'!$C$13:$C$24,B22,'年間推移シート'!$Q$13:$Q$24)</f>
        <v>666.6666667</v>
      </c>
      <c r="D22" s="223"/>
      <c r="E22" s="54" t="s">
        <v>72</v>
      </c>
      <c r="F22" s="222">
        <f>SUMIF('年間推移シート'!$C$26:$C$37,E22,'年間推移シート'!$Q$26:$Q$37)</f>
        <v>0</v>
      </c>
      <c r="G22" s="219"/>
      <c r="H22" s="219"/>
      <c r="I22" s="219"/>
      <c r="J22" s="219"/>
      <c r="K22" s="219"/>
      <c r="L22" s="219"/>
      <c r="M22" s="219"/>
      <c r="N22" s="219"/>
      <c r="O22" s="21"/>
      <c r="P22" s="21"/>
      <c r="Q22" s="21"/>
    </row>
    <row r="23" ht="17.25" customHeight="1">
      <c r="A23" s="215"/>
      <c r="B23" s="54" t="s">
        <v>73</v>
      </c>
      <c r="C23" s="222">
        <f>SUMIF('年間推移シート'!$C$13:$C$24,B23,'年間推移シート'!$Q$13:$Q$24)</f>
        <v>416.6666667</v>
      </c>
      <c r="D23" s="223"/>
      <c r="E23" s="54" t="s">
        <v>147</v>
      </c>
      <c r="F23" s="222">
        <f>SUMIF('年間推移シート'!$C$26:$C$37,E23,'年間推移シート'!$Q$26:$Q$37)</f>
        <v>0</v>
      </c>
      <c r="G23" s="219"/>
      <c r="H23" s="234" t="s">
        <v>87</v>
      </c>
      <c r="I23" s="29" t="s">
        <v>46</v>
      </c>
      <c r="J23" s="235"/>
      <c r="K23" s="219"/>
      <c r="L23" s="219"/>
      <c r="M23" s="219"/>
      <c r="N23" s="219"/>
      <c r="O23" s="21"/>
      <c r="P23" s="21"/>
      <c r="Q23" s="21"/>
    </row>
    <row r="24" ht="17.25" customHeight="1">
      <c r="A24" s="215"/>
      <c r="B24" s="54" t="s">
        <v>75</v>
      </c>
      <c r="C24" s="222">
        <f>SUMIF('年間推移シート'!$C$13:$C$24,B24,'年間推移シート'!$Q$13:$Q$24)</f>
        <v>166.6666667</v>
      </c>
      <c r="D24" s="223"/>
      <c r="E24" s="54" t="s">
        <v>74</v>
      </c>
      <c r="F24" s="222">
        <f>SUMIF('年間推移シート'!$C$26:$C$37,E24,'年間推移シート'!$Q$26:$Q$37)</f>
        <v>0</v>
      </c>
      <c r="G24" s="219"/>
      <c r="H24" s="236" t="s">
        <v>88</v>
      </c>
      <c r="I24" s="237">
        <f>C15</f>
        <v>33333.33333</v>
      </c>
      <c r="J24" s="238"/>
      <c r="K24" s="219"/>
      <c r="L24" s="219"/>
      <c r="M24" s="219"/>
      <c r="N24" s="219"/>
      <c r="O24" s="21"/>
      <c r="P24" s="21"/>
      <c r="Q24" s="21"/>
    </row>
    <row r="25" ht="17.25" customHeight="1">
      <c r="A25" s="215"/>
      <c r="B25" s="54" t="s">
        <v>82</v>
      </c>
      <c r="C25" s="222">
        <f>SUMIF('年間推移シート'!$C$13:$C$24,B25,'年間推移シート'!$Q$13:$Q$24)</f>
        <v>2500</v>
      </c>
      <c r="D25" s="223"/>
      <c r="E25" s="54" t="s">
        <v>148</v>
      </c>
      <c r="F25" s="222">
        <f>SUMIF('年間推移シート'!$C$26:$C$37,E25,'年間推移シート'!$Q$26:$Q$37)</f>
        <v>0</v>
      </c>
      <c r="G25" s="219"/>
      <c r="H25" s="236" t="s">
        <v>90</v>
      </c>
      <c r="I25" s="237">
        <f>F15</f>
        <v>6666.666667</v>
      </c>
      <c r="J25" s="238"/>
      <c r="K25" s="239"/>
      <c r="L25" s="219"/>
      <c r="M25" s="219"/>
      <c r="N25" s="219"/>
      <c r="O25" s="21"/>
      <c r="P25" s="21"/>
      <c r="Q25" s="21"/>
    </row>
    <row r="26" ht="17.25" customHeight="1">
      <c r="A26" s="215"/>
      <c r="B26" s="54" t="s">
        <v>77</v>
      </c>
      <c r="C26" s="222">
        <f>SUMIF('年間推移シート'!$C$13:$C$24,B26,'年間推移シート'!$Q$13:$Q$24)</f>
        <v>416.6666667</v>
      </c>
      <c r="D26" s="223"/>
      <c r="E26" s="54" t="s">
        <v>78</v>
      </c>
      <c r="F26" s="222">
        <f>SUMIF('年間推移シート'!$C$26:$C$37,E26,'年間推移シート'!$Q$26:$Q$37)</f>
        <v>0</v>
      </c>
      <c r="G26" s="219"/>
      <c r="H26" s="236" t="s">
        <v>91</v>
      </c>
      <c r="I26" s="237">
        <f>C33+F33</f>
        <v>13166.66667</v>
      </c>
      <c r="J26" s="240"/>
      <c r="K26" s="239"/>
      <c r="L26" s="219"/>
      <c r="M26" s="219"/>
      <c r="N26" s="219"/>
      <c r="O26" s="21"/>
      <c r="P26" s="21"/>
      <c r="Q26" s="21"/>
    </row>
    <row r="27" ht="17.25" customHeight="1">
      <c r="A27" s="215"/>
      <c r="B27" s="54" t="s">
        <v>79</v>
      </c>
      <c r="C27" s="222">
        <f>SUMIF('年間推移シート'!$C$13:$C$24,B27,'年間推移シート'!$Q$13:$Q$24)</f>
        <v>166.6666667</v>
      </c>
      <c r="D27" s="223"/>
      <c r="E27" s="54" t="s">
        <v>76</v>
      </c>
      <c r="F27" s="222">
        <f>SUMIF('年間推移シート'!$C$26:$C$37,E27,'年間推移シート'!$Q$26:$Q$37)</f>
        <v>0</v>
      </c>
      <c r="G27" s="219"/>
      <c r="H27" s="236" t="s">
        <v>92</v>
      </c>
      <c r="I27" s="237">
        <f>I24-I25-I26</f>
        <v>13500</v>
      </c>
      <c r="J27" s="238"/>
      <c r="K27" s="241"/>
      <c r="L27" s="219"/>
      <c r="M27" s="219"/>
      <c r="N27" s="219"/>
      <c r="O27" s="21"/>
      <c r="P27" s="21"/>
      <c r="Q27" s="21"/>
    </row>
    <row r="28" ht="17.25" customHeight="1">
      <c r="A28" s="215"/>
      <c r="B28" s="54" t="s">
        <v>81</v>
      </c>
      <c r="C28" s="222">
        <f>SUMIF('年間推移シート'!$C$13:$C$24,B28,'年間推移シート'!$Q$13:$Q$24)</f>
        <v>416.6666667</v>
      </c>
      <c r="D28" s="223"/>
      <c r="E28" s="54" t="s">
        <v>149</v>
      </c>
      <c r="F28" s="222">
        <f>SUMIF('年間推移シート'!$C$26:$C$37,E28,'年間推移シート'!$Q$26:$Q$37)</f>
        <v>0</v>
      </c>
      <c r="G28" s="219"/>
      <c r="H28" s="236" t="s">
        <v>93</v>
      </c>
      <c r="I28" s="237">
        <f>I25+I27</f>
        <v>20166.66667</v>
      </c>
      <c r="J28" s="242"/>
      <c r="K28" s="239"/>
      <c r="L28" s="219"/>
      <c r="M28" s="219"/>
      <c r="N28" s="219"/>
      <c r="O28" s="21"/>
      <c r="P28" s="21"/>
      <c r="Q28" s="21"/>
    </row>
    <row r="29" ht="17.25" customHeight="1">
      <c r="A29" s="215"/>
      <c r="B29" s="54"/>
      <c r="C29" s="222">
        <f>SUMIF('年間推移シート'!$C$13:$C$24,B29,'年間推移シート'!$Q$13:$Q$24)</f>
        <v>0</v>
      </c>
      <c r="D29" s="223"/>
      <c r="E29" s="54" t="s">
        <v>150</v>
      </c>
      <c r="F29" s="222">
        <f>SUMIF('年間推移シート'!$C$26:$C$37,E29,'年間推移シート'!$Q$26:$Q$37)</f>
        <v>0</v>
      </c>
      <c r="G29" s="219"/>
      <c r="H29" s="219"/>
      <c r="I29" s="219"/>
      <c r="J29" s="219"/>
      <c r="K29" s="219"/>
      <c r="L29" s="219"/>
      <c r="M29" s="219"/>
      <c r="N29" s="219"/>
      <c r="O29" s="21"/>
      <c r="P29" s="21"/>
      <c r="Q29" s="21"/>
    </row>
    <row r="30" ht="17.25" customHeight="1">
      <c r="A30" s="215"/>
      <c r="B30" s="54"/>
      <c r="C30" s="222">
        <f>SUMIF('年間推移シート'!$C$13:$C$24,B30,'年間推移シート'!$Q$13:$Q$24)</f>
        <v>0</v>
      </c>
      <c r="D30" s="223"/>
      <c r="E30" s="54"/>
      <c r="F30" s="222">
        <f>SUMIF('年間推移シート'!$C$26:$C$37,E30,'年間推移シート'!$Q$26:$Q$37)</f>
        <v>0</v>
      </c>
      <c r="G30" s="219"/>
      <c r="H30" s="111" t="s">
        <v>177</v>
      </c>
      <c r="I30" s="111" t="s">
        <v>178</v>
      </c>
      <c r="J30" s="219"/>
      <c r="K30" s="219"/>
      <c r="L30" s="219"/>
      <c r="M30" s="219"/>
      <c r="N30" s="219"/>
      <c r="O30" s="21"/>
      <c r="P30" s="21"/>
      <c r="Q30" s="21"/>
    </row>
    <row r="31" ht="17.25" customHeight="1">
      <c r="A31" s="215"/>
      <c r="B31" s="54"/>
      <c r="C31" s="222">
        <f>SUMIF('年間推移シート'!$C$13:$C$24,B31,'年間推移シート'!$Q$13:$Q$24)</f>
        <v>0</v>
      </c>
      <c r="D31" s="223"/>
      <c r="E31" s="54"/>
      <c r="F31" s="222">
        <f>SUMIF('年間推移シート'!$C$26:$C$37,E31,'年間推移シート'!$Q$26:$Q$37)</f>
        <v>0</v>
      </c>
      <c r="G31" s="219"/>
      <c r="H31" s="115">
        <f>I26/I24</f>
        <v>0.395</v>
      </c>
      <c r="I31" s="115">
        <f>I28/I24</f>
        <v>0.605</v>
      </c>
      <c r="J31" s="219"/>
      <c r="K31" s="219"/>
      <c r="L31" s="219"/>
      <c r="M31" s="219"/>
      <c r="N31" s="219"/>
      <c r="O31" s="21"/>
      <c r="P31" s="21"/>
      <c r="Q31" s="21"/>
    </row>
    <row r="32" ht="17.25" customHeight="1">
      <c r="A32" s="215"/>
      <c r="B32" s="54"/>
      <c r="C32" s="222">
        <f>SUMIF('年間推移シート'!$C$13:$C$24,B32,'年間推移シート'!$Q$13:$Q$24)</f>
        <v>0</v>
      </c>
      <c r="D32" s="223"/>
      <c r="E32" s="54"/>
      <c r="F32" s="222">
        <f>SUMIF('年間推移シート'!$C$26:$C$37,E32,'年間推移シート'!$Q$26:$Q$37)</f>
        <v>0</v>
      </c>
      <c r="G32" s="219"/>
      <c r="H32" s="120"/>
      <c r="I32" s="120"/>
      <c r="J32" s="219"/>
      <c r="K32" s="219"/>
      <c r="L32" s="219"/>
      <c r="M32" s="219"/>
      <c r="N32" s="219"/>
      <c r="O32" s="21"/>
      <c r="P32" s="21"/>
      <c r="Q32" s="21"/>
    </row>
    <row r="33" ht="17.25" customHeight="1">
      <c r="A33" s="215"/>
      <c r="B33" s="70" t="s">
        <v>60</v>
      </c>
      <c r="C33" s="227">
        <f>SUM(C21:C32)</f>
        <v>13083.33333</v>
      </c>
      <c r="D33" s="223"/>
      <c r="E33" s="70" t="s">
        <v>60</v>
      </c>
      <c r="F33" s="227">
        <f>SUM(F21:F32)</f>
        <v>83.33333333</v>
      </c>
      <c r="G33" s="219"/>
      <c r="H33" s="243" t="s">
        <v>179</v>
      </c>
      <c r="I33" s="243" t="s">
        <v>180</v>
      </c>
      <c r="J33" s="219"/>
      <c r="K33" s="219"/>
      <c r="L33" s="219"/>
      <c r="M33" s="219"/>
      <c r="N33" s="219"/>
      <c r="O33" s="21"/>
      <c r="P33" s="21"/>
      <c r="Q33" s="21"/>
    </row>
    <row r="34">
      <c r="A34" s="215"/>
      <c r="B34" s="215"/>
      <c r="C34" s="215"/>
      <c r="D34" s="215"/>
      <c r="E34" s="215"/>
      <c r="F34" s="218"/>
      <c r="G34" s="219"/>
      <c r="H34" s="219"/>
      <c r="I34" s="219"/>
      <c r="J34" s="219"/>
      <c r="K34" s="219"/>
      <c r="L34" s="219"/>
      <c r="M34" s="219"/>
      <c r="N34" s="219"/>
      <c r="O34" s="21"/>
      <c r="P34" s="21"/>
      <c r="Q34" s="21"/>
    </row>
    <row r="35" ht="24.0" customHeight="1">
      <c r="A35" s="21"/>
      <c r="F35" s="20"/>
      <c r="G35" s="21"/>
      <c r="H35" s="214"/>
      <c r="I35" s="21"/>
      <c r="J35" s="21"/>
      <c r="K35" s="21"/>
      <c r="L35" s="21"/>
      <c r="M35" s="21"/>
      <c r="N35" s="21"/>
      <c r="O35" s="21"/>
      <c r="P35" s="21"/>
      <c r="Q35" s="21"/>
    </row>
    <row r="36">
      <c r="A36" s="215"/>
      <c r="B36" s="216" t="s">
        <v>181</v>
      </c>
      <c r="C36" s="217" t="s">
        <v>182</v>
      </c>
      <c r="D36" s="215"/>
      <c r="E36" s="215"/>
      <c r="F36" s="218"/>
      <c r="G36" s="219"/>
      <c r="H36" s="219"/>
      <c r="I36" s="219"/>
      <c r="J36" s="219"/>
      <c r="K36" s="219"/>
      <c r="L36" s="219"/>
      <c r="M36" s="219"/>
      <c r="N36" s="219"/>
      <c r="O36" s="21"/>
      <c r="P36" s="21"/>
      <c r="Q36" s="21"/>
    </row>
    <row r="37" ht="6.75" customHeight="1">
      <c r="A37" s="215"/>
      <c r="B37" s="218"/>
      <c r="C37" s="215"/>
      <c r="D37" s="215"/>
      <c r="E37" s="220"/>
      <c r="F37" s="220"/>
      <c r="G37" s="219"/>
      <c r="H37" s="219"/>
      <c r="I37" s="219"/>
      <c r="J37" s="219"/>
      <c r="K37" s="219"/>
      <c r="L37" s="219"/>
      <c r="M37" s="219"/>
      <c r="N37" s="219"/>
      <c r="O37" s="21"/>
      <c r="P37" s="21"/>
      <c r="Q37" s="21"/>
    </row>
    <row r="38">
      <c r="A38" s="215"/>
      <c r="B38" s="29" t="s">
        <v>32</v>
      </c>
      <c r="C38" s="31"/>
      <c r="D38" s="221"/>
      <c r="E38" s="29" t="s">
        <v>33</v>
      </c>
      <c r="F38" s="31"/>
      <c r="G38" s="219"/>
      <c r="H38" s="219"/>
      <c r="I38" s="219"/>
      <c r="J38" s="219"/>
      <c r="K38" s="219"/>
      <c r="L38" s="219"/>
      <c r="M38" s="219"/>
      <c r="N38" s="219"/>
      <c r="O38" s="21"/>
      <c r="P38" s="21"/>
      <c r="Q38" s="21"/>
    </row>
    <row r="39">
      <c r="A39" s="215"/>
      <c r="B39" s="41" t="s">
        <v>44</v>
      </c>
      <c r="C39" s="41" t="s">
        <v>46</v>
      </c>
      <c r="D39" s="221"/>
      <c r="E39" s="41" t="s">
        <v>44</v>
      </c>
      <c r="F39" s="41" t="s">
        <v>46</v>
      </c>
      <c r="G39" s="219"/>
      <c r="H39" s="219"/>
      <c r="I39" s="219"/>
      <c r="J39" s="219"/>
      <c r="K39" s="219"/>
      <c r="L39" s="219"/>
      <c r="M39" s="219"/>
      <c r="N39" s="219"/>
      <c r="O39" s="21"/>
      <c r="P39" s="21"/>
      <c r="Q39" s="21"/>
    </row>
    <row r="40">
      <c r="A40" s="215"/>
      <c r="B40" s="54" t="s">
        <v>142</v>
      </c>
      <c r="C40" s="222">
        <f>SUMIF('年間推移シート'!$C$4:$C$11,B40,'年間推移シート'!$R$4:$R$11)</f>
        <v>0</v>
      </c>
      <c r="D40" s="215"/>
      <c r="E40" s="224" t="s">
        <v>161</v>
      </c>
      <c r="F40" s="83">
        <f>SUMIF('年間推移シート'!$C$52:$C$59,E40,'年間推移シート'!$R$52:$R$59)</f>
        <v>0</v>
      </c>
      <c r="G40" s="219"/>
      <c r="H40" s="219"/>
      <c r="I40" s="219"/>
      <c r="J40" s="219"/>
      <c r="K40" s="219"/>
      <c r="L40" s="219"/>
      <c r="M40" s="219"/>
      <c r="N40" s="219"/>
      <c r="O40" s="21"/>
      <c r="P40" s="21"/>
      <c r="Q40" s="21"/>
    </row>
    <row r="41">
      <c r="A41" s="215"/>
      <c r="B41" s="54"/>
      <c r="C41" s="222">
        <f>SUMIF('年間推移シート'!$C$4:$C$11,B41,'年間推移シート'!$R$4:$R$11)</f>
        <v>0</v>
      </c>
      <c r="D41" s="215"/>
      <c r="E41" s="224"/>
      <c r="F41" s="83">
        <f>SUMIF('年間推移シート'!$C$52:$C$59,E41,'年間推移シート'!$R$52:$R$59)</f>
        <v>0</v>
      </c>
      <c r="G41" s="219"/>
      <c r="H41" s="219"/>
      <c r="I41" s="219"/>
      <c r="J41" s="219"/>
      <c r="K41" s="219"/>
      <c r="L41" s="219"/>
      <c r="M41" s="219"/>
      <c r="N41" s="219"/>
      <c r="O41" s="21"/>
      <c r="P41" s="21"/>
      <c r="Q41" s="21"/>
    </row>
    <row r="42">
      <c r="A42" s="215"/>
      <c r="B42" s="54"/>
      <c r="C42" s="222">
        <f>SUMIF('年間推移シート'!$C$4:$C$11,B42,'年間推移シート'!$R$4:$R$11)</f>
        <v>0</v>
      </c>
      <c r="D42" s="215"/>
      <c r="E42" s="224"/>
      <c r="F42" s="83">
        <f>SUMIF('年間推移シート'!$C$52:$C$59,E42,'年間推移シート'!$R$52:$R$59)</f>
        <v>0</v>
      </c>
      <c r="G42" s="219"/>
      <c r="H42" s="219"/>
      <c r="I42" s="219"/>
      <c r="J42" s="219"/>
      <c r="K42" s="219"/>
      <c r="L42" s="219"/>
      <c r="M42" s="219"/>
      <c r="N42" s="219"/>
      <c r="O42" s="21"/>
      <c r="P42" s="21"/>
      <c r="Q42" s="21"/>
    </row>
    <row r="43">
      <c r="A43" s="215"/>
      <c r="B43" s="54"/>
      <c r="C43" s="222">
        <f>SUMIF('年間推移シート'!$C$4:$C$11,B43,'年間推移シート'!$R$4:$R$11)</f>
        <v>0</v>
      </c>
      <c r="D43" s="215"/>
      <c r="E43" s="224"/>
      <c r="F43" s="83">
        <f>SUMIF('年間推移シート'!$C$52:$C$59,E43,'年間推移シート'!$R$52:$R$59)</f>
        <v>0</v>
      </c>
      <c r="G43" s="219"/>
      <c r="H43" s="219"/>
      <c r="I43" s="219"/>
      <c r="J43" s="219"/>
      <c r="K43" s="219"/>
      <c r="L43" s="219"/>
      <c r="M43" s="219"/>
      <c r="N43" s="219"/>
      <c r="O43" s="21"/>
      <c r="P43" s="21"/>
      <c r="Q43" s="21"/>
    </row>
    <row r="44">
      <c r="A44" s="215"/>
      <c r="B44" s="54"/>
      <c r="C44" s="222">
        <f>SUMIF('年間推移シート'!$C$4:$C$11,B44,'年間推移シート'!$R$4:$R$11)</f>
        <v>0</v>
      </c>
      <c r="D44" s="215"/>
      <c r="E44" s="224"/>
      <c r="F44" s="83">
        <f>SUMIF('年間推移シート'!$C$52:$C$59,E44,'年間推移シート'!$R$52:$R$59)</f>
        <v>0</v>
      </c>
      <c r="G44" s="219"/>
      <c r="H44" s="219"/>
      <c r="I44" s="219"/>
      <c r="J44" s="219"/>
      <c r="K44" s="219"/>
      <c r="L44" s="219"/>
      <c r="M44" s="219"/>
      <c r="N44" s="219"/>
      <c r="O44" s="21"/>
      <c r="P44" s="21"/>
      <c r="Q44" s="21"/>
    </row>
    <row r="45">
      <c r="A45" s="215"/>
      <c r="B45" s="70" t="s">
        <v>60</v>
      </c>
      <c r="C45" s="227">
        <f>SUM(C40:C44)</f>
        <v>0</v>
      </c>
      <c r="D45" s="215"/>
      <c r="E45" s="70" t="s">
        <v>60</v>
      </c>
      <c r="F45" s="72">
        <f>SUM(F40:F44)</f>
        <v>0</v>
      </c>
      <c r="G45" s="219"/>
      <c r="H45" s="219"/>
      <c r="I45" s="219"/>
      <c r="J45" s="219"/>
      <c r="K45" s="219"/>
      <c r="L45" s="219"/>
      <c r="M45" s="219"/>
      <c r="N45" s="219"/>
      <c r="O45" s="21"/>
      <c r="P45" s="21"/>
      <c r="Q45" s="21"/>
    </row>
    <row r="46" ht="10.5" customHeight="1">
      <c r="A46" s="215"/>
      <c r="B46" s="218"/>
      <c r="C46" s="215"/>
      <c r="D46" s="215"/>
      <c r="E46" s="215"/>
      <c r="F46" s="218"/>
      <c r="G46" s="219"/>
      <c r="H46" s="219"/>
      <c r="I46" s="219"/>
      <c r="J46" s="219"/>
      <c r="K46" s="219"/>
      <c r="L46" s="219"/>
      <c r="M46" s="219"/>
      <c r="N46" s="219"/>
      <c r="O46" s="21"/>
      <c r="P46" s="21"/>
      <c r="Q46" s="21"/>
    </row>
    <row r="47" ht="5.25" customHeight="1">
      <c r="A47" s="215"/>
      <c r="B47" s="218"/>
      <c r="C47" s="215"/>
      <c r="D47" s="215"/>
      <c r="E47" s="215"/>
      <c r="F47" s="218"/>
      <c r="G47" s="219"/>
      <c r="H47" s="219"/>
      <c r="I47" s="219"/>
      <c r="J47" s="219"/>
      <c r="K47" s="219"/>
      <c r="L47" s="219"/>
      <c r="M47" s="219"/>
      <c r="N47" s="219"/>
      <c r="O47" s="21"/>
      <c r="P47" s="21"/>
      <c r="Q47" s="21"/>
    </row>
    <row r="48">
      <c r="A48" s="215"/>
      <c r="B48" s="244" t="s">
        <v>61</v>
      </c>
      <c r="C48" s="31"/>
      <c r="D48" s="219"/>
      <c r="E48" s="245"/>
      <c r="G48" s="219"/>
      <c r="H48" s="219"/>
      <c r="I48" s="219"/>
      <c r="J48" s="219"/>
      <c r="K48" s="219"/>
      <c r="L48" s="219"/>
      <c r="M48" s="219"/>
      <c r="N48" s="219"/>
      <c r="O48" s="21"/>
      <c r="P48" s="21"/>
      <c r="Q48" s="21"/>
    </row>
    <row r="49" ht="20.25" customHeight="1">
      <c r="A49" s="215"/>
      <c r="B49" s="246" t="s">
        <v>86</v>
      </c>
      <c r="C49" s="247"/>
      <c r="D49" s="241"/>
      <c r="E49" s="246"/>
      <c r="F49" s="248"/>
      <c r="G49" s="219"/>
      <c r="H49" s="219"/>
      <c r="I49" s="219"/>
      <c r="J49" s="219"/>
      <c r="K49" s="219"/>
      <c r="L49" s="219"/>
      <c r="M49" s="219"/>
      <c r="N49" s="219"/>
      <c r="O49" s="21"/>
      <c r="P49" s="21"/>
      <c r="Q49" s="21"/>
    </row>
    <row r="50">
      <c r="A50" s="215"/>
      <c r="B50" s="249" t="s">
        <v>44</v>
      </c>
      <c r="C50" s="249" t="s">
        <v>46</v>
      </c>
      <c r="D50" s="215"/>
      <c r="E50" s="246"/>
      <c r="F50" s="246"/>
      <c r="G50" s="219"/>
      <c r="H50" s="219"/>
      <c r="I50" s="219"/>
      <c r="J50" s="219"/>
      <c r="K50" s="219"/>
      <c r="L50" s="219"/>
      <c r="M50" s="219"/>
      <c r="N50" s="219"/>
      <c r="O50" s="21"/>
      <c r="P50" s="21"/>
      <c r="Q50" s="21"/>
    </row>
    <row r="51">
      <c r="A51" s="215"/>
      <c r="B51" s="192" t="s">
        <v>155</v>
      </c>
      <c r="C51" s="222">
        <f>SUMIF('年間推移シート'!$C$41:$C$50,B51,'年間推移シート'!$R$41:$R$50)</f>
        <v>0</v>
      </c>
      <c r="D51" s="215"/>
      <c r="E51" s="232"/>
      <c r="F51" s="250"/>
      <c r="G51" s="219"/>
      <c r="H51" s="219"/>
      <c r="I51" s="219"/>
      <c r="J51" s="219"/>
      <c r="K51" s="219"/>
      <c r="L51" s="219"/>
      <c r="M51" s="219"/>
      <c r="N51" s="219"/>
      <c r="O51" s="21"/>
      <c r="P51" s="21"/>
      <c r="Q51" s="21"/>
    </row>
    <row r="52">
      <c r="A52" s="215"/>
      <c r="B52" s="192" t="s">
        <v>89</v>
      </c>
      <c r="C52" s="222">
        <f>SUMIF('年間推移シート'!$C$41:$C$50,B52,'年間推移シート'!$R$41:$R$50)</f>
        <v>12000</v>
      </c>
      <c r="D52" s="215"/>
      <c r="E52" s="232"/>
      <c r="F52" s="250"/>
      <c r="G52" s="219"/>
      <c r="H52" s="219"/>
      <c r="I52" s="219"/>
      <c r="J52" s="219"/>
      <c r="K52" s="219"/>
      <c r="L52" s="219"/>
      <c r="M52" s="219"/>
      <c r="N52" s="219"/>
      <c r="O52" s="21"/>
      <c r="P52" s="21"/>
      <c r="Q52" s="21"/>
    </row>
    <row r="53">
      <c r="A53" s="215"/>
      <c r="B53" s="192" t="s">
        <v>156</v>
      </c>
      <c r="C53" s="222">
        <f>SUMIF('年間推移シート'!$C$41:$C$50,B53,'年間推移シート'!$R$41:$R$50)</f>
        <v>0</v>
      </c>
      <c r="D53" s="215"/>
      <c r="E53" s="232"/>
      <c r="F53" s="250"/>
      <c r="G53" s="219"/>
      <c r="H53" s="219"/>
      <c r="I53" s="219"/>
      <c r="J53" s="219"/>
      <c r="K53" s="219"/>
      <c r="L53" s="219"/>
      <c r="M53" s="219"/>
      <c r="N53" s="219"/>
      <c r="O53" s="21"/>
      <c r="P53" s="21"/>
      <c r="Q53" s="21"/>
    </row>
    <row r="54">
      <c r="A54" s="215"/>
      <c r="B54" s="192" t="s">
        <v>157</v>
      </c>
      <c r="C54" s="222">
        <f>SUMIF('年間推移シート'!$C$41:$C$50,B54,'年間推移シート'!$R$41:$R$50)</f>
        <v>0</v>
      </c>
      <c r="D54" s="215"/>
      <c r="E54" s="232"/>
      <c r="F54" s="250"/>
      <c r="G54" s="219"/>
      <c r="H54" s="219"/>
      <c r="I54" s="219"/>
      <c r="J54" s="219"/>
      <c r="K54" s="219"/>
      <c r="L54" s="219"/>
      <c r="M54" s="219"/>
      <c r="N54" s="219"/>
      <c r="O54" s="21"/>
      <c r="P54" s="21"/>
      <c r="Q54" s="21"/>
    </row>
    <row r="55">
      <c r="A55" s="251"/>
      <c r="B55" s="192" t="s">
        <v>158</v>
      </c>
      <c r="C55" s="222">
        <f>SUMIF('年間推移シート'!$C$41:$C$50,B55,'年間推移シート'!$R$41:$R$50)</f>
        <v>0</v>
      </c>
      <c r="D55" s="215"/>
      <c r="E55" s="232"/>
      <c r="F55" s="250"/>
      <c r="G55" s="219"/>
      <c r="H55" s="219"/>
      <c r="I55" s="219"/>
      <c r="J55" s="219"/>
      <c r="K55" s="219"/>
      <c r="L55" s="219"/>
      <c r="M55" s="219"/>
      <c r="N55" s="219"/>
      <c r="O55" s="21"/>
      <c r="P55" s="21"/>
      <c r="Q55" s="21"/>
    </row>
    <row r="56">
      <c r="A56" s="251"/>
      <c r="B56" s="192" t="s">
        <v>80</v>
      </c>
      <c r="C56" s="222">
        <f>SUMIF('年間推移シート'!$C$41:$C$50,B56,'年間推移シート'!$R$41:$R$50)</f>
        <v>0</v>
      </c>
      <c r="D56" s="215"/>
      <c r="E56" s="232"/>
      <c r="F56" s="250"/>
      <c r="G56" s="219"/>
      <c r="H56" s="234" t="s">
        <v>183</v>
      </c>
      <c r="I56" s="29" t="s">
        <v>46</v>
      </c>
      <c r="J56" s="235"/>
      <c r="K56" s="111" t="s">
        <v>184</v>
      </c>
      <c r="L56" s="111" t="s">
        <v>185</v>
      </c>
      <c r="M56" s="219"/>
      <c r="N56" s="219"/>
      <c r="O56" s="21"/>
      <c r="P56" s="21"/>
      <c r="Q56" s="21"/>
    </row>
    <row r="57">
      <c r="A57" s="251"/>
      <c r="B57" s="192"/>
      <c r="C57" s="222">
        <f>SUMIF('年間推移シート'!$C$41:$C$50,B57,'年間推移シート'!$R$41:$R$50)</f>
        <v>0</v>
      </c>
      <c r="D57" s="215"/>
      <c r="E57" s="232"/>
      <c r="F57" s="250"/>
      <c r="G57" s="219"/>
      <c r="H57" s="236" t="s">
        <v>88</v>
      </c>
      <c r="I57" s="252">
        <f>C45</f>
        <v>0</v>
      </c>
      <c r="J57" s="238"/>
      <c r="K57" s="115" t="str">
        <f>I59/I57</f>
        <v>#DIV/0!</v>
      </c>
      <c r="L57" s="115" t="str">
        <f>I61/I57</f>
        <v>#DIV/0!</v>
      </c>
      <c r="M57" s="219"/>
      <c r="N57" s="219"/>
      <c r="O57" s="21"/>
      <c r="P57" s="21"/>
      <c r="Q57" s="21"/>
    </row>
    <row r="58">
      <c r="A58" s="251"/>
      <c r="B58" s="253"/>
      <c r="C58" s="222">
        <f>SUMIF('年間推移シート'!$C$41:$C$50,B58,'年間推移シート'!$R$41:$R$50)</f>
        <v>0</v>
      </c>
      <c r="D58" s="215"/>
      <c r="E58" s="232"/>
      <c r="F58" s="250"/>
      <c r="G58" s="219"/>
      <c r="H58" s="236" t="s">
        <v>90</v>
      </c>
      <c r="I58" s="252">
        <f>F45</f>
        <v>0</v>
      </c>
      <c r="J58" s="238"/>
      <c r="K58" s="120"/>
      <c r="L58" s="120"/>
      <c r="M58" s="219"/>
      <c r="N58" s="219"/>
      <c r="O58" s="21"/>
      <c r="P58" s="21"/>
      <c r="Q58" s="21"/>
    </row>
    <row r="59">
      <c r="A59" s="251"/>
      <c r="B59" s="253"/>
      <c r="C59" s="222">
        <f>SUMIF('年間推移シート'!$C$41:$C$50,B59,'年間推移シート'!$R$41:$R$50)</f>
        <v>0</v>
      </c>
      <c r="D59" s="215"/>
      <c r="E59" s="232"/>
      <c r="F59" s="254"/>
      <c r="G59" s="219"/>
      <c r="H59" s="236" t="s">
        <v>91</v>
      </c>
      <c r="I59" s="252">
        <f>C61</f>
        <v>12000</v>
      </c>
      <c r="J59" s="240"/>
      <c r="K59" s="219"/>
      <c r="L59" s="219"/>
      <c r="M59" s="219"/>
      <c r="N59" s="219"/>
      <c r="O59" s="21"/>
      <c r="P59" s="21"/>
    </row>
    <row r="60">
      <c r="A60" s="251"/>
      <c r="B60" s="253"/>
      <c r="C60" s="222">
        <f>SUMIF('年間推移シート'!$C$41:$C$50,B60,'年間推移シート'!$R$41:$R$50)</f>
        <v>0</v>
      </c>
      <c r="D60" s="215"/>
      <c r="E60" s="232"/>
      <c r="F60" s="254"/>
      <c r="G60" s="219"/>
      <c r="H60" s="236" t="s">
        <v>92</v>
      </c>
      <c r="I60" s="252">
        <f>I57-I58-I59</f>
        <v>-12000</v>
      </c>
      <c r="J60" s="238"/>
      <c r="K60" s="219"/>
      <c r="L60" s="219"/>
      <c r="M60" s="219"/>
      <c r="N60" s="219"/>
      <c r="O60" s="21"/>
      <c r="P60" s="21"/>
      <c r="Q60" s="21"/>
    </row>
    <row r="61">
      <c r="A61" s="215"/>
      <c r="B61" s="70" t="s">
        <v>60</v>
      </c>
      <c r="C61" s="227">
        <f>SUM(C51:C60)</f>
        <v>12000</v>
      </c>
      <c r="D61" s="215"/>
      <c r="E61" s="230"/>
      <c r="F61" s="255"/>
      <c r="G61" s="219"/>
      <c r="H61" s="236" t="s">
        <v>93</v>
      </c>
      <c r="I61" s="252">
        <f>I58+I60</f>
        <v>-12000</v>
      </c>
      <c r="J61" s="242"/>
      <c r="K61" s="219"/>
      <c r="L61" s="219"/>
      <c r="M61" s="219"/>
      <c r="N61" s="219"/>
      <c r="O61" s="21"/>
      <c r="P61" s="21"/>
      <c r="Q61" s="21"/>
    </row>
    <row r="62">
      <c r="A62" s="215"/>
      <c r="B62" s="218"/>
      <c r="C62" s="215"/>
      <c r="D62" s="215"/>
      <c r="E62" s="215"/>
      <c r="F62" s="218"/>
      <c r="G62" s="219"/>
      <c r="H62" s="219"/>
      <c r="I62" s="256"/>
      <c r="J62" s="219"/>
      <c r="K62" s="219"/>
      <c r="L62" s="219"/>
      <c r="M62" s="219"/>
      <c r="N62" s="219"/>
      <c r="O62" s="21"/>
      <c r="P62" s="21"/>
      <c r="Q62" s="21"/>
    </row>
    <row r="63">
      <c r="A63" s="21"/>
      <c r="B63" s="20"/>
      <c r="F63" s="20"/>
      <c r="G63" s="21"/>
      <c r="H63" s="214"/>
      <c r="I63" s="21"/>
      <c r="J63" s="21"/>
      <c r="K63" s="21"/>
      <c r="L63" s="21"/>
      <c r="M63" s="21"/>
      <c r="N63" s="21"/>
      <c r="O63" s="21"/>
      <c r="P63" s="21"/>
      <c r="Q63" s="21"/>
    </row>
    <row r="64" hidden="1">
      <c r="A64" s="136"/>
      <c r="B64" s="211"/>
      <c r="C64" s="211"/>
      <c r="D64" s="211"/>
      <c r="E64" s="211"/>
      <c r="F64" s="136" t="str">
        <f t="array" ref="F64">ByCol(#REF!, Lambda(col, N(Sum(col)&gt;0)))</f>
        <v>#REF!</v>
      </c>
      <c r="G64" s="136"/>
      <c r="H64" s="136"/>
      <c r="I64" s="136"/>
      <c r="J64" s="136"/>
      <c r="K64" s="136"/>
      <c r="L64" s="136"/>
      <c r="M64" s="136"/>
      <c r="N64" s="136"/>
      <c r="O64" s="136"/>
      <c r="P64" s="136"/>
      <c r="Q64" s="136"/>
    </row>
  </sheetData>
  <mergeCells count="14">
    <mergeCell ref="B18:C18"/>
    <mergeCell ref="B38:C38"/>
    <mergeCell ref="B48:C48"/>
    <mergeCell ref="E38:F38"/>
    <mergeCell ref="E48:F48"/>
    <mergeCell ref="K57:K58"/>
    <mergeCell ref="L57:L58"/>
    <mergeCell ref="B5:C5"/>
    <mergeCell ref="E5:F5"/>
    <mergeCell ref="B17:C17"/>
    <mergeCell ref="E17:F17"/>
    <mergeCell ref="E18:F18"/>
    <mergeCell ref="H31:H32"/>
    <mergeCell ref="I31:I32"/>
  </mergeCells>
  <dataValidations>
    <dataValidation type="list" allowBlank="1" sqref="B7:B14 B40:B44">
      <formula1>list!$A$2:$A64</formula1>
    </dataValidation>
    <dataValidation type="list" allowBlank="1" sqref="E7:E14 E40:E44">
      <formula1>list!$B$2:$B64</formula1>
    </dataValidation>
    <dataValidation type="list" allowBlank="1" sqref="B21:B32 E21:E32">
      <formula1>list!$C$2:$C64</formula1>
    </dataValidation>
    <dataValidation type="list" allowBlank="1" sqref="B51:B60">
      <formula1>list!$D$2:$D64</formula1>
    </dataValidation>
  </dataValidations>
  <drawing r:id="rId1"/>
  <tableParts count="2">
    <tablePart r:id="rId4"/>
    <tablePart r:id="rId5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DB3B7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13"/>
    <col customWidth="1" min="2" max="2" width="4.13"/>
    <col customWidth="1" min="3" max="5" width="15.13"/>
    <col customWidth="1" min="6" max="6" width="4.13"/>
    <col customWidth="1" min="7" max="9" width="15.13"/>
    <col customWidth="1" min="10" max="10" width="2.88"/>
  </cols>
  <sheetData>
    <row r="1">
      <c r="A1" s="10"/>
      <c r="B1" s="257" t="s">
        <v>186</v>
      </c>
      <c r="E1" s="12" t="s">
        <v>187</v>
      </c>
      <c r="F1" s="258"/>
    </row>
    <row r="2" ht="8.25" customHeight="1">
      <c r="B2" s="258"/>
      <c r="F2" s="258"/>
    </row>
    <row r="3">
      <c r="B3" s="258"/>
      <c r="C3" s="259" t="s">
        <v>188</v>
      </c>
      <c r="D3" s="259" t="s">
        <v>189</v>
      </c>
      <c r="E3" s="260"/>
      <c r="F3" s="261"/>
      <c r="G3" s="259" t="s">
        <v>190</v>
      </c>
      <c r="H3" s="259" t="s">
        <v>46</v>
      </c>
      <c r="I3" s="259" t="s">
        <v>191</v>
      </c>
    </row>
    <row r="4">
      <c r="B4" s="258"/>
      <c r="C4" s="262">
        <v>100000.0</v>
      </c>
      <c r="D4" s="262">
        <f>'積立管理シート'!D4</f>
        <v>30000</v>
      </c>
      <c r="E4" s="263"/>
      <c r="F4" s="258"/>
      <c r="G4" s="262">
        <f t="shared" ref="G4:H4" si="1">D14+D23+D32+D41+D50+D59+H14+H23+H32+H41+H50+H59</f>
        <v>0</v>
      </c>
      <c r="H4" s="262">
        <f t="shared" si="1"/>
        <v>12000</v>
      </c>
      <c r="I4" s="262">
        <f>C4+D4-H4</f>
        <v>118000</v>
      </c>
    </row>
    <row r="5">
      <c r="B5" s="258"/>
      <c r="F5" s="258"/>
    </row>
    <row r="6">
      <c r="B6" s="264" t="s">
        <v>127</v>
      </c>
      <c r="C6" s="41" t="s">
        <v>192</v>
      </c>
      <c r="D6" s="41" t="s">
        <v>65</v>
      </c>
      <c r="E6" s="41" t="s">
        <v>46</v>
      </c>
      <c r="F6" s="264" t="s">
        <v>133</v>
      </c>
      <c r="G6" s="41" t="s">
        <v>192</v>
      </c>
      <c r="H6" s="41" t="s">
        <v>65</v>
      </c>
      <c r="I6" s="41" t="s">
        <v>46</v>
      </c>
    </row>
    <row r="7">
      <c r="A7" s="7"/>
      <c r="B7" s="265"/>
      <c r="C7" s="266" t="s">
        <v>155</v>
      </c>
      <c r="D7" s="262"/>
      <c r="E7" s="222">
        <f>SUMIF('1月'!$B$35:$B$41,C7,'1月'!$D$35:$D$41)</f>
        <v>0</v>
      </c>
      <c r="F7" s="265"/>
      <c r="G7" s="266" t="s">
        <v>155</v>
      </c>
      <c r="H7" s="262"/>
      <c r="I7" s="222">
        <f>SUMIF('7月'!$B$35:$B$41,G7,'7月'!$D$35:$D$41)</f>
        <v>0</v>
      </c>
    </row>
    <row r="8">
      <c r="B8" s="265"/>
      <c r="C8" s="266" t="s">
        <v>89</v>
      </c>
      <c r="D8" s="262"/>
      <c r="E8" s="222">
        <f>SUMIF('1月'!$B$35:$B$41,C8,'1月'!$D$35:$D$41)</f>
        <v>12000</v>
      </c>
      <c r="F8" s="265"/>
      <c r="G8" s="266" t="s">
        <v>89</v>
      </c>
      <c r="H8" s="262"/>
      <c r="I8" s="222">
        <f>SUMIF('7月'!$B$35:$B$41,G8,'7月'!$D$35:$D$41)</f>
        <v>0</v>
      </c>
    </row>
    <row r="9">
      <c r="B9" s="265"/>
      <c r="C9" s="266" t="s">
        <v>156</v>
      </c>
      <c r="D9" s="262"/>
      <c r="E9" s="222">
        <f>SUMIF('1月'!$B$35:$B$41,C9,'1月'!$D$35:$D$41)</f>
        <v>0</v>
      </c>
      <c r="F9" s="265"/>
      <c r="G9" s="266" t="s">
        <v>156</v>
      </c>
      <c r="H9" s="262"/>
      <c r="I9" s="222">
        <f>SUMIF('7月'!$B$35:$B$41,G9,'7月'!$D$35:$D$41)</f>
        <v>0</v>
      </c>
    </row>
    <row r="10">
      <c r="B10" s="265"/>
      <c r="C10" s="266" t="s">
        <v>157</v>
      </c>
      <c r="D10" s="262"/>
      <c r="E10" s="222">
        <f>SUMIF('1月'!$B$35:$B$41,C10,'1月'!$D$35:$D$41)</f>
        <v>0</v>
      </c>
      <c r="F10" s="265"/>
      <c r="G10" s="266" t="s">
        <v>157</v>
      </c>
      <c r="H10" s="262"/>
      <c r="I10" s="222">
        <f>SUMIF('7月'!$B$35:$B$41,G10,'7月'!$D$35:$D$41)</f>
        <v>0</v>
      </c>
    </row>
    <row r="11">
      <c r="B11" s="265"/>
      <c r="C11" s="266" t="s">
        <v>158</v>
      </c>
      <c r="D11" s="262"/>
      <c r="E11" s="222">
        <f>SUMIF('1月'!$B$35:$B$41,C11,'1月'!$D$35:$D$41)</f>
        <v>0</v>
      </c>
      <c r="F11" s="265"/>
      <c r="G11" s="266" t="s">
        <v>158</v>
      </c>
      <c r="H11" s="262"/>
      <c r="I11" s="222">
        <f>SUMIF('7月'!$B$35:$B$41,G11,'7月'!$D$35:$D$41)</f>
        <v>0</v>
      </c>
    </row>
    <row r="12">
      <c r="B12" s="265"/>
      <c r="C12" s="266" t="s">
        <v>193</v>
      </c>
      <c r="D12" s="262"/>
      <c r="E12" s="222">
        <f>SUMIF('1月'!$B$35:$B$41,C12,'1月'!$D$35:$D$41)</f>
        <v>0</v>
      </c>
      <c r="F12" s="265"/>
      <c r="G12" s="266" t="s">
        <v>193</v>
      </c>
      <c r="H12" s="262"/>
      <c r="I12" s="222">
        <f>SUMIF('7月'!$B$35:$B$41,G12,'7月'!$D$35:$D$41)</f>
        <v>0</v>
      </c>
    </row>
    <row r="13">
      <c r="B13" s="265"/>
      <c r="C13" s="266" t="s">
        <v>80</v>
      </c>
      <c r="D13" s="262"/>
      <c r="E13" s="222">
        <f>SUMIF('1月'!$B$35:$B$41,C13,'1月'!$D$35:$D$41)</f>
        <v>0</v>
      </c>
      <c r="F13" s="265"/>
      <c r="G13" s="266" t="s">
        <v>80</v>
      </c>
      <c r="H13" s="262"/>
      <c r="I13" s="222">
        <f>SUMIF('7月'!$B$35:$B$41,G13,'7月'!$D$35:$D$41)</f>
        <v>0</v>
      </c>
    </row>
    <row r="14">
      <c r="B14" s="267"/>
      <c r="C14" s="70" t="s">
        <v>60</v>
      </c>
      <c r="D14" s="227">
        <f t="shared" ref="D14:E14" si="2">SUM(D7:D13)</f>
        <v>0</v>
      </c>
      <c r="E14" s="227">
        <f t="shared" si="2"/>
        <v>12000</v>
      </c>
      <c r="F14" s="267"/>
      <c r="G14" s="70" t="s">
        <v>60</v>
      </c>
      <c r="H14" s="227">
        <f t="shared" ref="H14:I14" si="3">SUM(H7:H13)</f>
        <v>0</v>
      </c>
      <c r="I14" s="227">
        <f t="shared" si="3"/>
        <v>0</v>
      </c>
    </row>
    <row r="15">
      <c r="B15" s="268" t="s">
        <v>128</v>
      </c>
      <c r="C15" s="41" t="s">
        <v>192</v>
      </c>
      <c r="D15" s="41" t="s">
        <v>65</v>
      </c>
      <c r="E15" s="41" t="s">
        <v>46</v>
      </c>
      <c r="F15" s="268" t="s">
        <v>134</v>
      </c>
      <c r="G15" s="41" t="s">
        <v>192</v>
      </c>
      <c r="H15" s="41" t="s">
        <v>65</v>
      </c>
      <c r="I15" s="41" t="s">
        <v>46</v>
      </c>
    </row>
    <row r="16">
      <c r="B16" s="265"/>
      <c r="C16" s="266" t="s">
        <v>155</v>
      </c>
      <c r="D16" s="262"/>
      <c r="E16" s="222">
        <f>SUMIF('2月'!$B$35:$B$41,C16,'2月'!$D$35:$D$41)</f>
        <v>0</v>
      </c>
      <c r="F16" s="265"/>
      <c r="G16" s="266" t="s">
        <v>155</v>
      </c>
      <c r="H16" s="262"/>
      <c r="I16" s="222">
        <f>SUMIF('8月'!$B$35:$B$41,G16,'8月'!$D$35:$D$41)</f>
        <v>0</v>
      </c>
    </row>
    <row r="17">
      <c r="B17" s="265"/>
      <c r="C17" s="266" t="s">
        <v>89</v>
      </c>
      <c r="D17" s="262"/>
      <c r="E17" s="222">
        <f>SUMIF('2月'!$B$35:$B$41,C17,'2月'!$D$35:$D$41)</f>
        <v>0</v>
      </c>
      <c r="F17" s="265"/>
      <c r="G17" s="266" t="s">
        <v>89</v>
      </c>
      <c r="H17" s="262"/>
      <c r="I17" s="222">
        <f>SUMIF('8月'!$B$35:$B$41,G17,'8月'!$D$35:$D$41)</f>
        <v>0</v>
      </c>
    </row>
    <row r="18">
      <c r="B18" s="265"/>
      <c r="C18" s="266" t="s">
        <v>156</v>
      </c>
      <c r="D18" s="262"/>
      <c r="E18" s="222">
        <f>SUMIF('2月'!$B$35:$B$41,C18,'2月'!$D$35:$D$41)</f>
        <v>0</v>
      </c>
      <c r="F18" s="265"/>
      <c r="G18" s="266" t="s">
        <v>156</v>
      </c>
      <c r="H18" s="262"/>
      <c r="I18" s="222">
        <f>SUMIF('8月'!$B$35:$B$41,G18,'8月'!$D$35:$D$41)</f>
        <v>0</v>
      </c>
    </row>
    <row r="19">
      <c r="B19" s="265"/>
      <c r="C19" s="266" t="s">
        <v>157</v>
      </c>
      <c r="D19" s="262"/>
      <c r="E19" s="222">
        <f>SUMIF('2月'!$B$35:$B$41,C19,'2月'!$D$35:$D$41)</f>
        <v>0</v>
      </c>
      <c r="F19" s="265"/>
      <c r="G19" s="266" t="s">
        <v>157</v>
      </c>
      <c r="H19" s="262"/>
      <c r="I19" s="222">
        <f>SUMIF('8月'!$B$35:$B$41,G19,'8月'!$D$35:$D$41)</f>
        <v>0</v>
      </c>
    </row>
    <row r="20">
      <c r="B20" s="265"/>
      <c r="C20" s="266" t="s">
        <v>158</v>
      </c>
      <c r="D20" s="262"/>
      <c r="E20" s="222">
        <f>SUMIF('2月'!$B$35:$B$41,C20,'2月'!$D$35:$D$41)</f>
        <v>0</v>
      </c>
      <c r="F20" s="265"/>
      <c r="G20" s="266" t="s">
        <v>158</v>
      </c>
      <c r="H20" s="262"/>
      <c r="I20" s="222">
        <f>SUMIF('8月'!$B$35:$B$41,G20,'8月'!$D$35:$D$41)</f>
        <v>0</v>
      </c>
    </row>
    <row r="21">
      <c r="B21" s="265"/>
      <c r="C21" s="266" t="s">
        <v>193</v>
      </c>
      <c r="D21" s="262"/>
      <c r="E21" s="222">
        <f>SUMIF('2月'!$B$35:$B$41,C21,'2月'!$D$35:$D$41)</f>
        <v>0</v>
      </c>
      <c r="F21" s="265"/>
      <c r="G21" s="266" t="s">
        <v>193</v>
      </c>
      <c r="H21" s="262"/>
      <c r="I21" s="222">
        <f>SUMIF('8月'!$B$35:$B$41,G21,'8月'!$D$35:$D$41)</f>
        <v>0</v>
      </c>
    </row>
    <row r="22">
      <c r="B22" s="265"/>
      <c r="C22" s="266" t="s">
        <v>80</v>
      </c>
      <c r="D22" s="262"/>
      <c r="E22" s="222">
        <f>SUMIF('2月'!$B$35:$B$41,C22,'2月'!$D$35:$D$41)</f>
        <v>0</v>
      </c>
      <c r="F22" s="265"/>
      <c r="G22" s="266" t="s">
        <v>80</v>
      </c>
      <c r="H22" s="262"/>
      <c r="I22" s="222">
        <f>SUMIF('8月'!$B$35:$B$41,G22,'8月'!$D$35:$D$41)</f>
        <v>0</v>
      </c>
    </row>
    <row r="23">
      <c r="B23" s="267"/>
      <c r="C23" s="70" t="s">
        <v>60</v>
      </c>
      <c r="D23" s="227">
        <f t="shared" ref="D23:E23" si="4">SUM(D16:D22)</f>
        <v>0</v>
      </c>
      <c r="E23" s="227">
        <f t="shared" si="4"/>
        <v>0</v>
      </c>
      <c r="F23" s="267"/>
      <c r="G23" s="70" t="s">
        <v>60</v>
      </c>
      <c r="H23" s="227">
        <f t="shared" ref="H23:I23" si="5">SUM(H16:H22)</f>
        <v>0</v>
      </c>
      <c r="I23" s="227">
        <f t="shared" si="5"/>
        <v>0</v>
      </c>
    </row>
    <row r="24">
      <c r="B24" s="268" t="s">
        <v>129</v>
      </c>
      <c r="C24" s="41" t="s">
        <v>192</v>
      </c>
      <c r="D24" s="41" t="s">
        <v>65</v>
      </c>
      <c r="E24" s="41" t="s">
        <v>46</v>
      </c>
      <c r="F24" s="268" t="s">
        <v>135</v>
      </c>
      <c r="G24" s="41" t="s">
        <v>192</v>
      </c>
      <c r="H24" s="41" t="s">
        <v>65</v>
      </c>
      <c r="I24" s="41" t="s">
        <v>46</v>
      </c>
    </row>
    <row r="25">
      <c r="B25" s="265"/>
      <c r="C25" s="266" t="s">
        <v>155</v>
      </c>
      <c r="D25" s="262"/>
      <c r="E25" s="222">
        <f>SUMIF('3月'!$B$35:$B$41,C25,'3月'!$D$35:$D$41)</f>
        <v>0</v>
      </c>
      <c r="F25" s="265"/>
      <c r="G25" s="266" t="s">
        <v>155</v>
      </c>
      <c r="H25" s="262"/>
      <c r="I25" s="222">
        <f>SUMIF('9月'!$B$35:$B$41,G25,'9月'!$D$35:$D$41)</f>
        <v>0</v>
      </c>
    </row>
    <row r="26">
      <c r="B26" s="265"/>
      <c r="C26" s="266" t="s">
        <v>89</v>
      </c>
      <c r="D26" s="262"/>
      <c r="E26" s="222">
        <f>SUMIF('3月'!$B$35:$B$41,C26,'3月'!$D$35:$D$41)</f>
        <v>0</v>
      </c>
      <c r="F26" s="265"/>
      <c r="G26" s="266" t="s">
        <v>89</v>
      </c>
      <c r="H26" s="262"/>
      <c r="I26" s="222">
        <f>SUMIF('9月'!$B$35:$B$41,G26,'9月'!$D$35:$D$41)</f>
        <v>0</v>
      </c>
    </row>
    <row r="27">
      <c r="B27" s="265"/>
      <c r="C27" s="266" t="s">
        <v>156</v>
      </c>
      <c r="D27" s="262"/>
      <c r="E27" s="222">
        <f>SUMIF('3月'!$B$35:$B$41,C27,'3月'!$D$35:$D$41)</f>
        <v>0</v>
      </c>
      <c r="F27" s="265"/>
      <c r="G27" s="266" t="s">
        <v>156</v>
      </c>
      <c r="H27" s="262"/>
      <c r="I27" s="222">
        <f>SUMIF('9月'!$B$35:$B$41,G27,'9月'!$D$35:$D$41)</f>
        <v>0</v>
      </c>
    </row>
    <row r="28">
      <c r="B28" s="265"/>
      <c r="C28" s="266" t="s">
        <v>157</v>
      </c>
      <c r="D28" s="262"/>
      <c r="E28" s="222">
        <f>SUMIF('3月'!$B$35:$B$41,C28,'3月'!$D$35:$D$41)</f>
        <v>0</v>
      </c>
      <c r="F28" s="265"/>
      <c r="G28" s="266" t="s">
        <v>157</v>
      </c>
      <c r="H28" s="262"/>
      <c r="I28" s="222">
        <f>SUMIF('9月'!$B$35:$B$41,G28,'9月'!$D$35:$D$41)</f>
        <v>0</v>
      </c>
    </row>
    <row r="29">
      <c r="B29" s="265"/>
      <c r="C29" s="266" t="s">
        <v>158</v>
      </c>
      <c r="D29" s="262"/>
      <c r="E29" s="222">
        <f>SUMIF('3月'!$B$35:$B$41,C29,'3月'!$D$35:$D$41)</f>
        <v>0</v>
      </c>
      <c r="F29" s="265"/>
      <c r="G29" s="266" t="s">
        <v>158</v>
      </c>
      <c r="H29" s="262"/>
      <c r="I29" s="222">
        <f>SUMIF('9月'!$B$35:$B$41,G29,'9月'!$D$35:$D$41)</f>
        <v>0</v>
      </c>
    </row>
    <row r="30">
      <c r="B30" s="265"/>
      <c r="C30" s="266" t="s">
        <v>193</v>
      </c>
      <c r="D30" s="262"/>
      <c r="E30" s="222">
        <f>SUMIF('3月'!$B$35:$B$41,C30,'3月'!$D$35:$D$41)</f>
        <v>0</v>
      </c>
      <c r="F30" s="265"/>
      <c r="G30" s="266" t="s">
        <v>193</v>
      </c>
      <c r="H30" s="262"/>
      <c r="I30" s="222">
        <f>SUMIF('9月'!$B$35:$B$41,G30,'9月'!$D$35:$D$41)</f>
        <v>0</v>
      </c>
    </row>
    <row r="31">
      <c r="B31" s="265"/>
      <c r="C31" s="266" t="s">
        <v>80</v>
      </c>
      <c r="D31" s="262"/>
      <c r="E31" s="222">
        <f>SUMIF('3月'!$B$35:$B$41,C31,'3月'!$D$35:$D$41)</f>
        <v>0</v>
      </c>
      <c r="F31" s="265"/>
      <c r="G31" s="266" t="s">
        <v>80</v>
      </c>
      <c r="H31" s="262"/>
      <c r="I31" s="222">
        <f>SUMIF('9月'!$B$35:$B$41,G31,'9月'!$D$35:$D$41)</f>
        <v>0</v>
      </c>
    </row>
    <row r="32">
      <c r="B32" s="267"/>
      <c r="C32" s="70" t="s">
        <v>60</v>
      </c>
      <c r="D32" s="227">
        <f t="shared" ref="D32:E32" si="6">SUM(D25:D31)</f>
        <v>0</v>
      </c>
      <c r="E32" s="227">
        <f t="shared" si="6"/>
        <v>0</v>
      </c>
      <c r="F32" s="267"/>
      <c r="G32" s="70" t="s">
        <v>60</v>
      </c>
      <c r="H32" s="227">
        <f t="shared" ref="H32:I32" si="7">SUM(H25:H31)</f>
        <v>0</v>
      </c>
      <c r="I32" s="227">
        <f t="shared" si="7"/>
        <v>0</v>
      </c>
    </row>
    <row r="33">
      <c r="B33" s="268" t="s">
        <v>130</v>
      </c>
      <c r="C33" s="41" t="s">
        <v>192</v>
      </c>
      <c r="D33" s="41" t="s">
        <v>65</v>
      </c>
      <c r="E33" s="41" t="s">
        <v>46</v>
      </c>
      <c r="F33" s="268" t="s">
        <v>136</v>
      </c>
      <c r="G33" s="41" t="s">
        <v>192</v>
      </c>
      <c r="H33" s="41" t="s">
        <v>65</v>
      </c>
      <c r="I33" s="41" t="s">
        <v>46</v>
      </c>
    </row>
    <row r="34">
      <c r="B34" s="265"/>
      <c r="C34" s="266" t="s">
        <v>155</v>
      </c>
      <c r="D34" s="262"/>
      <c r="E34" s="222">
        <f>SUMIF('4月'!$B$35:$B$41,C34,'4月'!$D$35:$D$41)</f>
        <v>0</v>
      </c>
      <c r="F34" s="265"/>
      <c r="G34" s="266" t="s">
        <v>155</v>
      </c>
      <c r="H34" s="262"/>
      <c r="I34" s="222">
        <f>SUMIF('10月'!$B$35:$B$41,G34,'10月'!$D$35:$D$41)</f>
        <v>0</v>
      </c>
    </row>
    <row r="35">
      <c r="B35" s="265"/>
      <c r="C35" s="266" t="s">
        <v>89</v>
      </c>
      <c r="D35" s="262"/>
      <c r="E35" s="222">
        <f>SUMIF('4月'!$B$35:$B$41,C35,'4月'!$D$35:$D$41)</f>
        <v>0</v>
      </c>
      <c r="F35" s="265"/>
      <c r="G35" s="266" t="s">
        <v>89</v>
      </c>
      <c r="H35" s="262"/>
      <c r="I35" s="222">
        <f>SUMIF('10月'!$B$35:$B$41,G35,'10月'!$D$35:$D$41)</f>
        <v>0</v>
      </c>
    </row>
    <row r="36">
      <c r="B36" s="265"/>
      <c r="C36" s="266" t="s">
        <v>156</v>
      </c>
      <c r="D36" s="262"/>
      <c r="E36" s="222">
        <f>SUMIF('4月'!$B$35:$B$41,C36,'4月'!$D$35:$D$41)</f>
        <v>0</v>
      </c>
      <c r="F36" s="265"/>
      <c r="G36" s="266" t="s">
        <v>156</v>
      </c>
      <c r="H36" s="262"/>
      <c r="I36" s="222">
        <f>SUMIF('10月'!$B$35:$B$41,G36,'10月'!$D$35:$D$41)</f>
        <v>0</v>
      </c>
    </row>
    <row r="37">
      <c r="B37" s="265"/>
      <c r="C37" s="266" t="s">
        <v>157</v>
      </c>
      <c r="D37" s="262"/>
      <c r="E37" s="222">
        <f>SUMIF('4月'!$B$35:$B$41,C37,'4月'!$D$35:$D$41)</f>
        <v>0</v>
      </c>
      <c r="F37" s="265"/>
      <c r="G37" s="266" t="s">
        <v>157</v>
      </c>
      <c r="H37" s="262"/>
      <c r="I37" s="222">
        <f>SUMIF('10月'!$B$35:$B$41,G37,'10月'!$D$35:$D$41)</f>
        <v>0</v>
      </c>
    </row>
    <row r="38">
      <c r="B38" s="265"/>
      <c r="C38" s="266" t="s">
        <v>158</v>
      </c>
      <c r="D38" s="262"/>
      <c r="E38" s="222">
        <f>SUMIF('4月'!$B$35:$B$41,C38,'4月'!$D$35:$D$41)</f>
        <v>0</v>
      </c>
      <c r="F38" s="265"/>
      <c r="G38" s="266" t="s">
        <v>158</v>
      </c>
      <c r="H38" s="262"/>
      <c r="I38" s="222">
        <f>SUMIF('10月'!$B$35:$B$41,G38,'10月'!$D$35:$D$41)</f>
        <v>0</v>
      </c>
    </row>
    <row r="39">
      <c r="B39" s="265"/>
      <c r="C39" s="266" t="s">
        <v>193</v>
      </c>
      <c r="D39" s="262"/>
      <c r="E39" s="222">
        <f>SUMIF('4月'!$B$35:$B$41,C39,'4月'!$D$35:$D$41)</f>
        <v>0</v>
      </c>
      <c r="F39" s="265"/>
      <c r="G39" s="266" t="s">
        <v>193</v>
      </c>
      <c r="H39" s="262"/>
      <c r="I39" s="222">
        <f>SUMIF('10月'!$B$35:$B$41,G39,'10月'!$D$35:$D$41)</f>
        <v>0</v>
      </c>
    </row>
    <row r="40">
      <c r="B40" s="265"/>
      <c r="C40" s="266" t="s">
        <v>80</v>
      </c>
      <c r="D40" s="262"/>
      <c r="E40" s="222">
        <f>SUMIF('4月'!$B$35:$B$41,C40,'4月'!$D$35:$D$41)</f>
        <v>0</v>
      </c>
      <c r="F40" s="265"/>
      <c r="G40" s="266" t="s">
        <v>80</v>
      </c>
      <c r="H40" s="262"/>
      <c r="I40" s="222">
        <f>SUMIF('10月'!$B$35:$B$41,G40,'10月'!$D$35:$D$41)</f>
        <v>0</v>
      </c>
    </row>
    <row r="41">
      <c r="B41" s="267"/>
      <c r="C41" s="70" t="s">
        <v>60</v>
      </c>
      <c r="D41" s="227">
        <f t="shared" ref="D41:E41" si="8">SUM(D34:D40)</f>
        <v>0</v>
      </c>
      <c r="E41" s="227">
        <f t="shared" si="8"/>
        <v>0</v>
      </c>
      <c r="F41" s="267"/>
      <c r="G41" s="70" t="s">
        <v>60</v>
      </c>
      <c r="H41" s="227">
        <f t="shared" ref="H41:I41" si="9">SUM(H34:H40)</f>
        <v>0</v>
      </c>
      <c r="I41" s="227">
        <f t="shared" si="9"/>
        <v>0</v>
      </c>
    </row>
    <row r="42">
      <c r="B42" s="268" t="s">
        <v>131</v>
      </c>
      <c r="C42" s="41" t="s">
        <v>192</v>
      </c>
      <c r="D42" s="41" t="s">
        <v>65</v>
      </c>
      <c r="E42" s="41" t="s">
        <v>46</v>
      </c>
      <c r="F42" s="268" t="s">
        <v>137</v>
      </c>
      <c r="G42" s="41" t="s">
        <v>192</v>
      </c>
      <c r="H42" s="41" t="s">
        <v>65</v>
      </c>
      <c r="I42" s="41" t="s">
        <v>46</v>
      </c>
    </row>
    <row r="43">
      <c r="B43" s="265"/>
      <c r="C43" s="266" t="s">
        <v>155</v>
      </c>
      <c r="D43" s="262"/>
      <c r="E43" s="222">
        <f>SUMIF('5月'!$B$35:$B$41,C43,'5月'!$D$35:$D$41)</f>
        <v>0</v>
      </c>
      <c r="F43" s="265"/>
      <c r="G43" s="266" t="s">
        <v>155</v>
      </c>
      <c r="H43" s="262"/>
      <c r="I43" s="222">
        <f>SUMIF('11月'!$B$35:$B$41,G43,'11月'!$D$35:$D$41)</f>
        <v>0</v>
      </c>
    </row>
    <row r="44">
      <c r="B44" s="265"/>
      <c r="C44" s="266" t="s">
        <v>89</v>
      </c>
      <c r="D44" s="262"/>
      <c r="E44" s="222">
        <f>SUMIF('5月'!$B$35:$B$41,C44,'5月'!$D$35:$D$41)</f>
        <v>0</v>
      </c>
      <c r="F44" s="265"/>
      <c r="G44" s="266" t="s">
        <v>89</v>
      </c>
      <c r="H44" s="262"/>
      <c r="I44" s="222">
        <f>SUMIF('11月'!$B$35:$B$41,G44,'11月'!$D$35:$D$41)</f>
        <v>0</v>
      </c>
    </row>
    <row r="45">
      <c r="B45" s="265"/>
      <c r="C45" s="266" t="s">
        <v>156</v>
      </c>
      <c r="D45" s="262"/>
      <c r="E45" s="222">
        <f>SUMIF('5月'!$B$35:$B$41,C45,'5月'!$D$35:$D$41)</f>
        <v>0</v>
      </c>
      <c r="F45" s="265"/>
      <c r="G45" s="266" t="s">
        <v>156</v>
      </c>
      <c r="H45" s="262"/>
      <c r="I45" s="222">
        <f>SUMIF('11月'!$B$35:$B$41,G45,'11月'!$D$35:$D$41)</f>
        <v>0</v>
      </c>
    </row>
    <row r="46">
      <c r="B46" s="265"/>
      <c r="C46" s="266" t="s">
        <v>157</v>
      </c>
      <c r="D46" s="262"/>
      <c r="E46" s="222">
        <f>SUMIF('5月'!$B$35:$B$41,C46,'5月'!$D$35:$D$41)</f>
        <v>0</v>
      </c>
      <c r="F46" s="265"/>
      <c r="G46" s="266" t="s">
        <v>157</v>
      </c>
      <c r="H46" s="262"/>
      <c r="I46" s="222">
        <f>SUMIF('11月'!$B$35:$B$41,G46,'11月'!$D$35:$D$41)</f>
        <v>0</v>
      </c>
    </row>
    <row r="47">
      <c r="B47" s="265"/>
      <c r="C47" s="266" t="s">
        <v>158</v>
      </c>
      <c r="D47" s="262"/>
      <c r="E47" s="222">
        <f>SUMIF('5月'!$B$35:$B$41,C47,'5月'!$D$35:$D$41)</f>
        <v>0</v>
      </c>
      <c r="F47" s="265"/>
      <c r="G47" s="266" t="s">
        <v>158</v>
      </c>
      <c r="H47" s="262"/>
      <c r="I47" s="222">
        <f>SUMIF('11月'!$B$35:$B$41,G47,'11月'!$D$35:$D$41)</f>
        <v>0</v>
      </c>
    </row>
    <row r="48">
      <c r="B48" s="265"/>
      <c r="C48" s="266" t="s">
        <v>193</v>
      </c>
      <c r="D48" s="262"/>
      <c r="E48" s="222">
        <f>SUMIF('5月'!$B$35:$B$41,C48,'5月'!$D$35:$D$41)</f>
        <v>0</v>
      </c>
      <c r="F48" s="265"/>
      <c r="G48" s="266" t="s">
        <v>193</v>
      </c>
      <c r="H48" s="262"/>
      <c r="I48" s="222">
        <f>SUMIF('11月'!$B$35:$B$41,G48,'11月'!$D$35:$D$41)</f>
        <v>0</v>
      </c>
    </row>
    <row r="49">
      <c r="B49" s="265"/>
      <c r="C49" s="266" t="s">
        <v>80</v>
      </c>
      <c r="D49" s="262"/>
      <c r="E49" s="222">
        <f>SUMIF('5月'!$B$35:$B$41,C49,'5月'!$D$35:$D$41)</f>
        <v>0</v>
      </c>
      <c r="F49" s="265"/>
      <c r="G49" s="266" t="s">
        <v>80</v>
      </c>
      <c r="H49" s="262"/>
      <c r="I49" s="222">
        <f>SUMIF('11月'!$B$35:$B$41,G49,'11月'!$D$35:$D$41)</f>
        <v>0</v>
      </c>
    </row>
    <row r="50">
      <c r="B50" s="267"/>
      <c r="C50" s="70" t="s">
        <v>60</v>
      </c>
      <c r="D50" s="227">
        <f t="shared" ref="D50:E50" si="10">SUM(D43:D49)</f>
        <v>0</v>
      </c>
      <c r="E50" s="227">
        <f t="shared" si="10"/>
        <v>0</v>
      </c>
      <c r="F50" s="267"/>
      <c r="G50" s="70" t="s">
        <v>60</v>
      </c>
      <c r="H50" s="227">
        <f t="shared" ref="H50:I50" si="11">SUM(H43:H49)</f>
        <v>0</v>
      </c>
      <c r="I50" s="227">
        <f t="shared" si="11"/>
        <v>0</v>
      </c>
    </row>
    <row r="51">
      <c r="B51" s="268" t="s">
        <v>132</v>
      </c>
      <c r="C51" s="41" t="s">
        <v>192</v>
      </c>
      <c r="D51" s="41" t="s">
        <v>65</v>
      </c>
      <c r="E51" s="41" t="s">
        <v>46</v>
      </c>
      <c r="F51" s="268" t="s">
        <v>138</v>
      </c>
      <c r="G51" s="41" t="s">
        <v>192</v>
      </c>
      <c r="H51" s="41" t="s">
        <v>65</v>
      </c>
      <c r="I51" s="41" t="s">
        <v>46</v>
      </c>
    </row>
    <row r="52">
      <c r="B52" s="265"/>
      <c r="C52" s="266" t="s">
        <v>155</v>
      </c>
      <c r="D52" s="262"/>
      <c r="E52" s="222">
        <f>SUMIF('6月'!$B$35:$B$41,C52,'6月'!$D$35:$D$41)</f>
        <v>0</v>
      </c>
      <c r="F52" s="265"/>
      <c r="G52" s="266" t="s">
        <v>155</v>
      </c>
      <c r="H52" s="262"/>
      <c r="I52" s="222">
        <f>SUMIF('12月'!$B$35:$B$41,G52,'12月'!$D$35:$D$41)</f>
        <v>0</v>
      </c>
    </row>
    <row r="53">
      <c r="B53" s="265"/>
      <c r="C53" s="266" t="s">
        <v>89</v>
      </c>
      <c r="D53" s="262"/>
      <c r="E53" s="222">
        <f>SUMIF('6月'!$B$35:$B$41,C53,'6月'!$D$35:$D$41)</f>
        <v>0</v>
      </c>
      <c r="F53" s="265"/>
      <c r="G53" s="266" t="s">
        <v>89</v>
      </c>
      <c r="H53" s="262"/>
      <c r="I53" s="222">
        <f>SUMIF('12月'!$B$35:$B$41,G53,'12月'!$D$35:$D$41)</f>
        <v>0</v>
      </c>
    </row>
    <row r="54">
      <c r="B54" s="265"/>
      <c r="C54" s="266" t="s">
        <v>156</v>
      </c>
      <c r="D54" s="262"/>
      <c r="E54" s="222">
        <f>SUMIF('6月'!$B$35:$B$41,C54,'6月'!$D$35:$D$41)</f>
        <v>0</v>
      </c>
      <c r="F54" s="265"/>
      <c r="G54" s="266" t="s">
        <v>156</v>
      </c>
      <c r="H54" s="262"/>
      <c r="I54" s="222">
        <f>SUMIF('12月'!$B$35:$B$41,G54,'12月'!$D$35:$D$41)</f>
        <v>0</v>
      </c>
    </row>
    <row r="55">
      <c r="B55" s="265"/>
      <c r="C55" s="266" t="s">
        <v>157</v>
      </c>
      <c r="D55" s="262"/>
      <c r="E55" s="222">
        <f>SUMIF('6月'!$B$35:$B$41,C55,'6月'!$D$35:$D$41)</f>
        <v>0</v>
      </c>
      <c r="F55" s="265"/>
      <c r="G55" s="266" t="s">
        <v>157</v>
      </c>
      <c r="H55" s="262"/>
      <c r="I55" s="222">
        <f>SUMIF('12月'!$B$35:$B$41,G55,'12月'!$D$35:$D$41)</f>
        <v>0</v>
      </c>
    </row>
    <row r="56">
      <c r="B56" s="265"/>
      <c r="C56" s="266" t="s">
        <v>158</v>
      </c>
      <c r="D56" s="262"/>
      <c r="E56" s="222">
        <f>SUMIF('6月'!$B$35:$B$41,C56,'6月'!$D$35:$D$41)</f>
        <v>0</v>
      </c>
      <c r="F56" s="265"/>
      <c r="G56" s="266" t="s">
        <v>158</v>
      </c>
      <c r="H56" s="262"/>
      <c r="I56" s="222">
        <f>SUMIF('12月'!$B$35:$B$41,G56,'12月'!$D$35:$D$41)</f>
        <v>0</v>
      </c>
    </row>
    <row r="57">
      <c r="B57" s="265"/>
      <c r="C57" s="266" t="s">
        <v>193</v>
      </c>
      <c r="D57" s="262"/>
      <c r="E57" s="222">
        <f>SUMIF('6月'!$B$35:$B$41,C57,'6月'!$D$35:$D$41)</f>
        <v>0</v>
      </c>
      <c r="F57" s="265"/>
      <c r="G57" s="266" t="s">
        <v>193</v>
      </c>
      <c r="H57" s="262"/>
      <c r="I57" s="222">
        <f>SUMIF('12月'!$B$35:$B$41,G57,'12月'!$D$35:$D$41)</f>
        <v>0</v>
      </c>
    </row>
    <row r="58">
      <c r="B58" s="265"/>
      <c r="C58" s="266" t="s">
        <v>80</v>
      </c>
      <c r="D58" s="262"/>
      <c r="E58" s="222">
        <f>SUMIF('6月'!$B$35:$B$41,C58,'6月'!$D$35:$D$41)</f>
        <v>0</v>
      </c>
      <c r="F58" s="265"/>
      <c r="G58" s="266" t="s">
        <v>80</v>
      </c>
      <c r="H58" s="262"/>
      <c r="I58" s="222">
        <f>SUMIF('12月'!$B$35:$B$41,G58,'12月'!$D$35:$D$41)</f>
        <v>0</v>
      </c>
    </row>
    <row r="59">
      <c r="B59" s="96"/>
      <c r="C59" s="70" t="s">
        <v>60</v>
      </c>
      <c r="D59" s="227">
        <f t="shared" ref="D59:E59" si="12">SUM(D52:D58)</f>
        <v>0</v>
      </c>
      <c r="E59" s="227">
        <f t="shared" si="12"/>
        <v>0</v>
      </c>
      <c r="F59" s="96"/>
      <c r="G59" s="70" t="s">
        <v>60</v>
      </c>
      <c r="H59" s="227">
        <f t="shared" ref="H59:I59" si="13">SUM(H52:H58)</f>
        <v>0</v>
      </c>
      <c r="I59" s="227">
        <f t="shared" si="13"/>
        <v>0</v>
      </c>
    </row>
    <row r="60" ht="11.25" customHeight="1">
      <c r="B60" s="258"/>
      <c r="F60" s="258"/>
    </row>
  </sheetData>
  <mergeCells count="12">
    <mergeCell ref="B33:B41"/>
    <mergeCell ref="B42:B50"/>
    <mergeCell ref="B51:B59"/>
    <mergeCell ref="F42:F50"/>
    <mergeCell ref="F51:F59"/>
    <mergeCell ref="B6:B14"/>
    <mergeCell ref="F6:F14"/>
    <mergeCell ref="B15:B23"/>
    <mergeCell ref="F15:F23"/>
    <mergeCell ref="B24:B32"/>
    <mergeCell ref="F24:F32"/>
    <mergeCell ref="F33:F41"/>
  </mergeCells>
  <dataValidations>
    <dataValidation type="list" allowBlank="1" sqref="C7:C13 G7:G13 C16:C22 G16:G22 C25:C31 G25:G31 C34:C40 G34:G40 C43:C49 G43:G49 C52:C58 G52:G58">
      <formula1>list!$D$2:$D60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DB3B7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13"/>
    <col customWidth="1" min="2" max="2" width="4.13"/>
    <col customWidth="1" min="3" max="3" width="18.63"/>
    <col customWidth="1" min="4" max="4" width="15.13"/>
    <col customWidth="1" min="5" max="5" width="4.13"/>
    <col customWidth="1" min="6" max="6" width="18.63"/>
    <col customWidth="1" min="7" max="7" width="15.13"/>
    <col customWidth="1" min="8" max="8" width="2.88"/>
  </cols>
  <sheetData>
    <row r="1">
      <c r="A1" s="10"/>
      <c r="B1" s="257" t="s">
        <v>194</v>
      </c>
      <c r="E1" s="12" t="s">
        <v>187</v>
      </c>
    </row>
    <row r="2" ht="8.25" customHeight="1">
      <c r="B2" s="258"/>
      <c r="E2" s="258"/>
    </row>
    <row r="3">
      <c r="B3" s="258"/>
      <c r="D3" s="259" t="s">
        <v>195</v>
      </c>
      <c r="E3" s="261"/>
      <c r="F3" s="269"/>
    </row>
    <row r="4">
      <c r="B4" s="258"/>
      <c r="D4" s="262">
        <f>D14+D23+D32+D41+D50+D59+G14+G23+G32+G41+G50+G59</f>
        <v>30000</v>
      </c>
      <c r="E4" s="258"/>
    </row>
    <row r="5">
      <c r="B5" s="258"/>
      <c r="E5" s="258"/>
    </row>
    <row r="6">
      <c r="B6" s="264" t="s">
        <v>127</v>
      </c>
      <c r="C6" s="41" t="s">
        <v>192</v>
      </c>
      <c r="D6" s="41" t="s">
        <v>46</v>
      </c>
      <c r="E6" s="264" t="s">
        <v>133</v>
      </c>
      <c r="F6" s="41" t="s">
        <v>192</v>
      </c>
      <c r="G6" s="41" t="s">
        <v>46</v>
      </c>
    </row>
    <row r="7">
      <c r="A7" s="7"/>
      <c r="B7" s="265"/>
      <c r="C7" s="266" t="s">
        <v>59</v>
      </c>
      <c r="D7" s="222">
        <f>SUMIF('1月'!$F$6:$F$13,C7,'1月'!$H$6:$H$13)</f>
        <v>30000</v>
      </c>
      <c r="E7" s="265"/>
      <c r="F7" s="266" t="s">
        <v>59</v>
      </c>
      <c r="G7" s="222">
        <f>SUMIF('7月'!$F$6:$F$13,F7,'7月'!$H$6:$H$13)</f>
        <v>0</v>
      </c>
    </row>
    <row r="8">
      <c r="B8" s="265"/>
      <c r="C8" s="266"/>
      <c r="D8" s="222">
        <f>SUMIF('1月'!$F$6:$F$13,C8,'1月'!$H$6:$H$13)</f>
        <v>0</v>
      </c>
      <c r="E8" s="265"/>
      <c r="F8" s="266"/>
      <c r="G8" s="222">
        <f>SUMIF('7月'!$F$6:$F$13,F8,'7月'!$H$6:$H$13)</f>
        <v>0</v>
      </c>
    </row>
    <row r="9">
      <c r="B9" s="265"/>
      <c r="C9" s="266"/>
      <c r="D9" s="222">
        <f>SUMIF('1月'!$F$6:$F$13,C9,'1月'!$H$6:$H$13)</f>
        <v>0</v>
      </c>
      <c r="E9" s="265"/>
      <c r="F9" s="266"/>
      <c r="G9" s="222">
        <f>SUMIF('7月'!$F$6:$F$13,F9,'7月'!$H$6:$H$13)</f>
        <v>0</v>
      </c>
    </row>
    <row r="10">
      <c r="B10" s="265"/>
      <c r="C10" s="266"/>
      <c r="D10" s="222">
        <f>SUMIF('1月'!$F$6:$F$13,C10,'1月'!$H$6:$H$13)</f>
        <v>0</v>
      </c>
      <c r="E10" s="265"/>
      <c r="F10" s="266"/>
      <c r="G10" s="222">
        <f>SUMIF('7月'!$F$6:$F$13,F10,'7月'!$H$6:$H$13)</f>
        <v>0</v>
      </c>
    </row>
    <row r="11">
      <c r="B11" s="265"/>
      <c r="C11" s="266"/>
      <c r="D11" s="222">
        <f>SUMIF('1月'!$F$6:$F$13,C11,'1月'!$H$6:$H$13)</f>
        <v>0</v>
      </c>
      <c r="E11" s="265"/>
      <c r="F11" s="266"/>
      <c r="G11" s="222">
        <f>SUMIF('7月'!$F$6:$F$13,F11,'7月'!$H$6:$H$13)</f>
        <v>0</v>
      </c>
    </row>
    <row r="12">
      <c r="B12" s="265"/>
      <c r="C12" s="266"/>
      <c r="D12" s="222">
        <f>SUMIF('1月'!$F$6:$F$13,C12,'1月'!$H$6:$H$13)</f>
        <v>0</v>
      </c>
      <c r="E12" s="265"/>
      <c r="F12" s="266"/>
      <c r="G12" s="222">
        <f>SUMIF('7月'!$F$6:$F$13,F12,'7月'!$H$6:$H$13)</f>
        <v>0</v>
      </c>
    </row>
    <row r="13">
      <c r="B13" s="265"/>
      <c r="C13" s="266"/>
      <c r="D13" s="222">
        <f>SUMIF('1月'!$F$6:$F$13,C13,'1月'!$H$6:$H$13)</f>
        <v>0</v>
      </c>
      <c r="E13" s="265"/>
      <c r="F13" s="266"/>
      <c r="G13" s="222">
        <f>SUMIF('7月'!$F$6:$F$13,F13,'7月'!$H$6:$H$13)</f>
        <v>0</v>
      </c>
    </row>
    <row r="14">
      <c r="B14" s="267"/>
      <c r="C14" s="70" t="s">
        <v>60</v>
      </c>
      <c r="D14" s="227">
        <f>SUM(D7:D13)</f>
        <v>30000</v>
      </c>
      <c r="E14" s="267"/>
      <c r="F14" s="70" t="s">
        <v>60</v>
      </c>
      <c r="G14" s="227">
        <f>SUM(G7:G13)</f>
        <v>0</v>
      </c>
    </row>
    <row r="15">
      <c r="B15" s="268" t="s">
        <v>128</v>
      </c>
      <c r="C15" s="41" t="s">
        <v>192</v>
      </c>
      <c r="D15" s="41" t="s">
        <v>46</v>
      </c>
      <c r="E15" s="268" t="s">
        <v>134</v>
      </c>
      <c r="F15" s="41" t="s">
        <v>192</v>
      </c>
      <c r="G15" s="41" t="s">
        <v>46</v>
      </c>
    </row>
    <row r="16">
      <c r="B16" s="265"/>
      <c r="C16" s="266" t="s">
        <v>59</v>
      </c>
      <c r="D16" s="222">
        <f>SUMIF('2月'!$F$6:$F$13,C16,'2月'!$H$6:$H$13)</f>
        <v>0</v>
      </c>
      <c r="E16" s="265"/>
      <c r="F16" s="266" t="s">
        <v>59</v>
      </c>
      <c r="G16" s="222">
        <f>SUMIF('8月'!$F$6:$F$13,F16,'8月'!$H$6:$H$13)</f>
        <v>0</v>
      </c>
    </row>
    <row r="17">
      <c r="B17" s="265"/>
      <c r="C17" s="266"/>
      <c r="D17" s="222">
        <f>SUMIF('2月'!$F$6:$F$13,C17,'2月'!$H$6:$H$13)</f>
        <v>0</v>
      </c>
      <c r="E17" s="265"/>
      <c r="F17" s="266"/>
      <c r="G17" s="222">
        <f>SUMIF('8月'!$F$6:$F$13,F17,'8月'!$H$6:$H$13)</f>
        <v>0</v>
      </c>
    </row>
    <row r="18">
      <c r="B18" s="265"/>
      <c r="C18" s="266"/>
      <c r="D18" s="222">
        <f>SUMIF('2月'!$F$6:$F$13,C18,'2月'!$H$6:$H$13)</f>
        <v>0</v>
      </c>
      <c r="E18" s="265"/>
      <c r="F18" s="266"/>
      <c r="G18" s="222">
        <f>SUMIF('8月'!$F$6:$F$13,F18,'8月'!$H$6:$H$13)</f>
        <v>0</v>
      </c>
    </row>
    <row r="19">
      <c r="B19" s="265"/>
      <c r="C19" s="266"/>
      <c r="D19" s="222">
        <f>SUMIF('2月'!$F$6:$F$13,C19,'2月'!$H$6:$H$13)</f>
        <v>0</v>
      </c>
      <c r="E19" s="265"/>
      <c r="F19" s="266"/>
      <c r="G19" s="222">
        <f>SUMIF('8月'!$F$6:$F$13,F19,'8月'!$H$6:$H$13)</f>
        <v>0</v>
      </c>
    </row>
    <row r="20">
      <c r="B20" s="265"/>
      <c r="C20" s="266"/>
      <c r="D20" s="222">
        <f>SUMIF('2月'!$F$6:$F$13,C20,'2月'!$H$6:$H$13)</f>
        <v>0</v>
      </c>
      <c r="E20" s="265"/>
      <c r="F20" s="266"/>
      <c r="G20" s="222">
        <f>SUMIF('8月'!$F$6:$F$13,F20,'8月'!$H$6:$H$13)</f>
        <v>0</v>
      </c>
    </row>
    <row r="21">
      <c r="B21" s="265"/>
      <c r="C21" s="266"/>
      <c r="D21" s="222">
        <f>SUMIF('2月'!$F$6:$F$13,C21,'2月'!$H$6:$H$13)</f>
        <v>0</v>
      </c>
      <c r="E21" s="265"/>
      <c r="F21" s="266"/>
      <c r="G21" s="222">
        <f>SUMIF('8月'!$F$6:$F$13,F21,'8月'!$H$6:$H$13)</f>
        <v>0</v>
      </c>
    </row>
    <row r="22">
      <c r="B22" s="265"/>
      <c r="C22" s="266"/>
      <c r="D22" s="222">
        <f>SUMIF('2月'!$F$6:$F$13,C22,'2月'!$H$6:$H$13)</f>
        <v>0</v>
      </c>
      <c r="E22" s="265"/>
      <c r="F22" s="266"/>
      <c r="G22" s="222">
        <f>SUMIF('8月'!$F$6:$F$13,F22,'8月'!$H$6:$H$13)</f>
        <v>0</v>
      </c>
    </row>
    <row r="23">
      <c r="B23" s="267"/>
      <c r="C23" s="70" t="s">
        <v>60</v>
      </c>
      <c r="D23" s="227">
        <f>SUM(D16:D22)</f>
        <v>0</v>
      </c>
      <c r="E23" s="267"/>
      <c r="F23" s="70" t="s">
        <v>60</v>
      </c>
      <c r="G23" s="227">
        <f>SUM(G16:G22)</f>
        <v>0</v>
      </c>
    </row>
    <row r="24">
      <c r="B24" s="268" t="s">
        <v>129</v>
      </c>
      <c r="C24" s="41" t="s">
        <v>192</v>
      </c>
      <c r="D24" s="41" t="s">
        <v>46</v>
      </c>
      <c r="E24" s="268" t="s">
        <v>135</v>
      </c>
      <c r="F24" s="41" t="s">
        <v>192</v>
      </c>
      <c r="G24" s="41" t="s">
        <v>46</v>
      </c>
    </row>
    <row r="25">
      <c r="B25" s="265"/>
      <c r="C25" s="266" t="s">
        <v>59</v>
      </c>
      <c r="D25" s="222">
        <f>SUMIF('3月'!$F$6:$F$13,C25,'3月'!$H$6:$H$13)</f>
        <v>0</v>
      </c>
      <c r="E25" s="265"/>
      <c r="F25" s="266" t="s">
        <v>59</v>
      </c>
      <c r="G25" s="222">
        <f>SUMIF('9月'!$F$6:$F$13,F25,'9月'!$H$6:$H$13)</f>
        <v>0</v>
      </c>
    </row>
    <row r="26">
      <c r="B26" s="265"/>
      <c r="C26" s="266"/>
      <c r="D26" s="222">
        <f>SUMIF('3月'!$F$6:$F$13,C26,'3月'!$H$6:$H$13)</f>
        <v>0</v>
      </c>
      <c r="E26" s="265"/>
      <c r="F26" s="266"/>
      <c r="G26" s="222">
        <f>SUMIF('9月'!$F$6:$F$13,F26,'9月'!$H$6:$H$13)</f>
        <v>0</v>
      </c>
    </row>
    <row r="27">
      <c r="B27" s="265"/>
      <c r="C27" s="266"/>
      <c r="D27" s="222">
        <f>SUMIF('3月'!$F$6:$F$13,C27,'3月'!$H$6:$H$13)</f>
        <v>0</v>
      </c>
      <c r="E27" s="265"/>
      <c r="F27" s="266"/>
      <c r="G27" s="222">
        <f>SUMIF('9月'!$F$6:$F$13,F27,'9月'!$H$6:$H$13)</f>
        <v>0</v>
      </c>
    </row>
    <row r="28">
      <c r="B28" s="265"/>
      <c r="C28" s="266"/>
      <c r="D28" s="222">
        <f>SUMIF('3月'!$F$6:$F$13,C28,'3月'!$H$6:$H$13)</f>
        <v>0</v>
      </c>
      <c r="E28" s="265"/>
      <c r="F28" s="266"/>
      <c r="G28" s="222">
        <f>SUMIF('9月'!$F$6:$F$13,F28,'9月'!$H$6:$H$13)</f>
        <v>0</v>
      </c>
    </row>
    <row r="29">
      <c r="B29" s="265"/>
      <c r="C29" s="266"/>
      <c r="D29" s="222">
        <f>SUMIF('3月'!$F$6:$F$13,C29,'3月'!$H$6:$H$13)</f>
        <v>0</v>
      </c>
      <c r="E29" s="265"/>
      <c r="F29" s="266"/>
      <c r="G29" s="222">
        <f>SUMIF('9月'!$F$6:$F$13,F29,'9月'!$H$6:$H$13)</f>
        <v>0</v>
      </c>
    </row>
    <row r="30">
      <c r="B30" s="265"/>
      <c r="C30" s="266"/>
      <c r="D30" s="222">
        <f>SUMIF('3月'!$F$6:$F$13,C30,'3月'!$H$6:$H$13)</f>
        <v>0</v>
      </c>
      <c r="E30" s="265"/>
      <c r="F30" s="266"/>
      <c r="G30" s="222">
        <f>SUMIF('9月'!$F$6:$F$13,F30,'9月'!$H$6:$H$13)</f>
        <v>0</v>
      </c>
    </row>
    <row r="31">
      <c r="B31" s="265"/>
      <c r="C31" s="266"/>
      <c r="D31" s="222">
        <f>SUMIF('3月'!$F$6:$F$13,C31,'3月'!$H$6:$H$13)</f>
        <v>0</v>
      </c>
      <c r="E31" s="265"/>
      <c r="F31" s="266"/>
      <c r="G31" s="222">
        <f>SUMIF('9月'!$F$6:$F$13,F31,'9月'!$H$6:$H$13)</f>
        <v>0</v>
      </c>
    </row>
    <row r="32">
      <c r="B32" s="267"/>
      <c r="C32" s="70" t="s">
        <v>60</v>
      </c>
      <c r="D32" s="227">
        <f>SUM(D25:D31)</f>
        <v>0</v>
      </c>
      <c r="E32" s="267"/>
      <c r="F32" s="70" t="s">
        <v>60</v>
      </c>
      <c r="G32" s="227">
        <f>SUM(G25:G31)</f>
        <v>0</v>
      </c>
    </row>
    <row r="33">
      <c r="B33" s="268" t="s">
        <v>130</v>
      </c>
      <c r="C33" s="41" t="s">
        <v>192</v>
      </c>
      <c r="D33" s="41" t="s">
        <v>46</v>
      </c>
      <c r="E33" s="268" t="s">
        <v>136</v>
      </c>
      <c r="F33" s="41" t="s">
        <v>192</v>
      </c>
      <c r="G33" s="41" t="s">
        <v>46</v>
      </c>
    </row>
    <row r="34">
      <c r="B34" s="265"/>
      <c r="C34" s="266" t="s">
        <v>59</v>
      </c>
      <c r="D34" s="222">
        <f>SUMIF('4月'!$F$6:$F$13,C34,'4月'!$H$6:$H$13)</f>
        <v>0</v>
      </c>
      <c r="E34" s="265"/>
      <c r="F34" s="266" t="s">
        <v>59</v>
      </c>
      <c r="G34" s="222">
        <f>SUMIF('10月'!$F$6:$F$13,F34,'10月'!$H$6:$H$13)</f>
        <v>0</v>
      </c>
    </row>
    <row r="35">
      <c r="B35" s="265"/>
      <c r="C35" s="266"/>
      <c r="D35" s="222">
        <f>SUMIF('4月'!$F$6:$F$13,C35,'4月'!$H$6:$H$13)</f>
        <v>0</v>
      </c>
      <c r="E35" s="265"/>
      <c r="F35" s="266"/>
      <c r="G35" s="222">
        <f>SUMIF('10月'!$F$6:$F$13,F35,'10月'!$H$6:$H$13)</f>
        <v>0</v>
      </c>
    </row>
    <row r="36">
      <c r="B36" s="265"/>
      <c r="C36" s="266"/>
      <c r="D36" s="222">
        <f>SUMIF('4月'!$F$6:$F$13,C36,'4月'!$H$6:$H$13)</f>
        <v>0</v>
      </c>
      <c r="E36" s="265"/>
      <c r="F36" s="266"/>
      <c r="G36" s="222">
        <f>SUMIF('10月'!$F$6:$F$13,F36,'10月'!$H$6:$H$13)</f>
        <v>0</v>
      </c>
    </row>
    <row r="37">
      <c r="B37" s="265"/>
      <c r="C37" s="266"/>
      <c r="D37" s="222">
        <f>SUMIF('4月'!$F$6:$F$13,C37,'4月'!$H$6:$H$13)</f>
        <v>0</v>
      </c>
      <c r="E37" s="265"/>
      <c r="F37" s="266"/>
      <c r="G37" s="222">
        <f>SUMIF('10月'!$F$6:$F$13,F37,'10月'!$H$6:$H$13)</f>
        <v>0</v>
      </c>
    </row>
    <row r="38">
      <c r="B38" s="265"/>
      <c r="C38" s="266"/>
      <c r="D38" s="222">
        <f>SUMIF('4月'!$F$6:$F$13,C38,'4月'!$H$6:$H$13)</f>
        <v>0</v>
      </c>
      <c r="E38" s="265"/>
      <c r="F38" s="266"/>
      <c r="G38" s="222">
        <f>SUMIF('10月'!$F$6:$F$13,F38,'10月'!$H$6:$H$13)</f>
        <v>0</v>
      </c>
    </row>
    <row r="39">
      <c r="B39" s="265"/>
      <c r="C39" s="266"/>
      <c r="D39" s="222">
        <f>SUMIF('4月'!$F$6:$F$13,C39,'4月'!$H$6:$H$13)</f>
        <v>0</v>
      </c>
      <c r="E39" s="265"/>
      <c r="F39" s="266"/>
      <c r="G39" s="222">
        <f>SUMIF('10月'!$F$6:$F$13,F39,'10月'!$H$6:$H$13)</f>
        <v>0</v>
      </c>
    </row>
    <row r="40">
      <c r="B40" s="265"/>
      <c r="C40" s="266"/>
      <c r="D40" s="222">
        <f>SUMIF('4月'!$F$6:$F$13,C40,'4月'!$H$6:$H$13)</f>
        <v>0</v>
      </c>
      <c r="E40" s="265"/>
      <c r="F40" s="266"/>
      <c r="G40" s="222">
        <f>SUMIF('10月'!$F$6:$F$13,F40,'10月'!$H$6:$H$13)</f>
        <v>0</v>
      </c>
    </row>
    <row r="41">
      <c r="B41" s="267"/>
      <c r="C41" s="70" t="s">
        <v>60</v>
      </c>
      <c r="D41" s="227">
        <f>SUM(D34:D40)</f>
        <v>0</v>
      </c>
      <c r="E41" s="267"/>
      <c r="F41" s="70" t="s">
        <v>60</v>
      </c>
      <c r="G41" s="227">
        <f>SUM(G34:G40)</f>
        <v>0</v>
      </c>
    </row>
    <row r="42">
      <c r="B42" s="268" t="s">
        <v>131</v>
      </c>
      <c r="C42" s="41" t="s">
        <v>192</v>
      </c>
      <c r="D42" s="41" t="s">
        <v>46</v>
      </c>
      <c r="E42" s="268" t="s">
        <v>137</v>
      </c>
      <c r="F42" s="41" t="s">
        <v>192</v>
      </c>
      <c r="G42" s="41" t="s">
        <v>46</v>
      </c>
    </row>
    <row r="43">
      <c r="B43" s="265"/>
      <c r="C43" s="266" t="s">
        <v>59</v>
      </c>
      <c r="D43" s="222">
        <f>SUMIF('5月'!$F$6:$F$13,C43,'5月'!$H$6:$H$13)</f>
        <v>0</v>
      </c>
      <c r="E43" s="265"/>
      <c r="F43" s="266" t="s">
        <v>59</v>
      </c>
      <c r="G43" s="222">
        <f>SUMIF('11月'!$F$6:$F$13,F43,'11月'!$H$6:$H$13)</f>
        <v>0</v>
      </c>
    </row>
    <row r="44">
      <c r="B44" s="265"/>
      <c r="C44" s="266"/>
      <c r="D44" s="222">
        <f>SUMIF('5月'!$F$6:$F$13,C44,'5月'!$H$6:$H$13)</f>
        <v>0</v>
      </c>
      <c r="E44" s="265"/>
      <c r="F44" s="266"/>
      <c r="G44" s="222">
        <f>SUMIF('11月'!$F$6:$F$13,F44,'11月'!$H$6:$H$13)</f>
        <v>0</v>
      </c>
    </row>
    <row r="45">
      <c r="B45" s="265"/>
      <c r="C45" s="266"/>
      <c r="D45" s="222">
        <f>SUMIF('5月'!$F$6:$F$13,C45,'5月'!$H$6:$H$13)</f>
        <v>0</v>
      </c>
      <c r="E45" s="265"/>
      <c r="F45" s="266"/>
      <c r="G45" s="222">
        <f>SUMIF('11月'!$F$6:$F$13,F45,'11月'!$H$6:$H$13)</f>
        <v>0</v>
      </c>
    </row>
    <row r="46">
      <c r="B46" s="265"/>
      <c r="C46" s="266"/>
      <c r="D46" s="222">
        <f>SUMIF('5月'!$F$6:$F$13,C46,'5月'!$H$6:$H$13)</f>
        <v>0</v>
      </c>
      <c r="E46" s="265"/>
      <c r="F46" s="266"/>
      <c r="G46" s="222">
        <f>SUMIF('11月'!$F$6:$F$13,F46,'11月'!$H$6:$H$13)</f>
        <v>0</v>
      </c>
    </row>
    <row r="47">
      <c r="B47" s="265"/>
      <c r="C47" s="266"/>
      <c r="D47" s="222">
        <f>SUMIF('5月'!$F$6:$F$13,C47,'5月'!$H$6:$H$13)</f>
        <v>0</v>
      </c>
      <c r="E47" s="265"/>
      <c r="F47" s="266"/>
      <c r="G47" s="222">
        <f>SUMIF('11月'!$F$6:$F$13,F47,'11月'!$H$6:$H$13)</f>
        <v>0</v>
      </c>
    </row>
    <row r="48">
      <c r="B48" s="265"/>
      <c r="C48" s="266"/>
      <c r="D48" s="222">
        <f>SUMIF('5月'!$F$6:$F$13,C48,'5月'!$H$6:$H$13)</f>
        <v>0</v>
      </c>
      <c r="E48" s="265"/>
      <c r="F48" s="266"/>
      <c r="G48" s="222">
        <f>SUMIF('11月'!$F$6:$F$13,F48,'11月'!$H$6:$H$13)</f>
        <v>0</v>
      </c>
    </row>
    <row r="49">
      <c r="B49" s="265"/>
      <c r="C49" s="266"/>
      <c r="D49" s="222">
        <f>SUMIF('5月'!$F$6:$F$13,C49,'5月'!$H$6:$H$13)</f>
        <v>0</v>
      </c>
      <c r="E49" s="265"/>
      <c r="F49" s="266"/>
      <c r="G49" s="222">
        <f>SUMIF('11月'!$F$6:$F$13,F49,'11月'!$H$6:$H$13)</f>
        <v>0</v>
      </c>
    </row>
    <row r="50">
      <c r="B50" s="267"/>
      <c r="C50" s="70" t="s">
        <v>60</v>
      </c>
      <c r="D50" s="227">
        <f>SUM(D43:D49)</f>
        <v>0</v>
      </c>
      <c r="E50" s="267"/>
      <c r="F50" s="70" t="s">
        <v>60</v>
      </c>
      <c r="G50" s="227">
        <f>SUM(G43:G49)</f>
        <v>0</v>
      </c>
    </row>
    <row r="51">
      <c r="B51" s="268" t="s">
        <v>132</v>
      </c>
      <c r="C51" s="41" t="s">
        <v>192</v>
      </c>
      <c r="D51" s="41" t="s">
        <v>46</v>
      </c>
      <c r="E51" s="268" t="s">
        <v>138</v>
      </c>
      <c r="F51" s="41" t="s">
        <v>192</v>
      </c>
      <c r="G51" s="41" t="s">
        <v>46</v>
      </c>
    </row>
    <row r="52">
      <c r="B52" s="265"/>
      <c r="C52" s="266" t="s">
        <v>59</v>
      </c>
      <c r="D52" s="222">
        <f>SUMIF('6月'!$F$6:$F$13,C52,'6月'!$H$6:$H$13)</f>
        <v>0</v>
      </c>
      <c r="E52" s="265"/>
      <c r="F52" s="266" t="s">
        <v>59</v>
      </c>
      <c r="G52" s="222">
        <f>SUMIF('12月'!$F$6:$F$13,F52,'12月'!$H$6:$H$13)</f>
        <v>0</v>
      </c>
    </row>
    <row r="53">
      <c r="B53" s="265"/>
      <c r="C53" s="266"/>
      <c r="D53" s="222">
        <f>SUMIF('6月'!$F$6:$F$13,C53,'6月'!$H$6:$H$13)</f>
        <v>0</v>
      </c>
      <c r="E53" s="265"/>
      <c r="F53" s="266"/>
      <c r="G53" s="222">
        <f>SUMIF('12月'!$F$6:$F$13,F53,'12月'!$H$6:$H$13)</f>
        <v>0</v>
      </c>
    </row>
    <row r="54">
      <c r="B54" s="265"/>
      <c r="C54" s="266"/>
      <c r="D54" s="222">
        <f>SUMIF('6月'!$F$6:$F$13,C54,'6月'!$H$6:$H$13)</f>
        <v>0</v>
      </c>
      <c r="E54" s="265"/>
      <c r="F54" s="266"/>
      <c r="G54" s="222">
        <f>SUMIF('12月'!$F$6:$F$13,F54,'12月'!$H$6:$H$13)</f>
        <v>0</v>
      </c>
    </row>
    <row r="55">
      <c r="B55" s="265"/>
      <c r="C55" s="266"/>
      <c r="D55" s="222">
        <f>SUMIF('6月'!$F$6:$F$13,C55,'6月'!$H$6:$H$13)</f>
        <v>0</v>
      </c>
      <c r="E55" s="265"/>
      <c r="F55" s="266"/>
      <c r="G55" s="222">
        <f>SUMIF('12月'!$F$6:$F$13,F55,'12月'!$H$6:$H$13)</f>
        <v>0</v>
      </c>
    </row>
    <row r="56">
      <c r="B56" s="265"/>
      <c r="C56" s="266"/>
      <c r="D56" s="222">
        <f>SUMIF('6月'!$F$6:$F$13,C56,'6月'!$H$6:$H$13)</f>
        <v>0</v>
      </c>
      <c r="E56" s="265"/>
      <c r="F56" s="266"/>
      <c r="G56" s="222">
        <f>SUMIF('12月'!$F$6:$F$13,F56,'12月'!$H$6:$H$13)</f>
        <v>0</v>
      </c>
    </row>
    <row r="57">
      <c r="B57" s="265"/>
      <c r="C57" s="266"/>
      <c r="D57" s="222">
        <f>SUMIF('6月'!$F$6:$F$13,C57,'6月'!$H$6:$H$13)</f>
        <v>0</v>
      </c>
      <c r="E57" s="265"/>
      <c r="F57" s="266"/>
      <c r="G57" s="222">
        <f>SUMIF('12月'!$F$6:$F$13,F57,'12月'!$H$6:$H$13)</f>
        <v>0</v>
      </c>
    </row>
    <row r="58">
      <c r="B58" s="265"/>
      <c r="C58" s="266"/>
      <c r="D58" s="222">
        <f>SUMIF('6月'!$F$6:$F$13,C58,'6月'!$H$6:$H$13)</f>
        <v>0</v>
      </c>
      <c r="E58" s="265"/>
      <c r="F58" s="266"/>
      <c r="G58" s="222">
        <f>SUMIF('12月'!$F$6:$F$13,F58,'12月'!$H$6:$H$13)</f>
        <v>0</v>
      </c>
    </row>
    <row r="59">
      <c r="B59" s="96"/>
      <c r="C59" s="70" t="s">
        <v>60</v>
      </c>
      <c r="D59" s="227">
        <f>SUM(D52:D58)</f>
        <v>0</v>
      </c>
      <c r="E59" s="96"/>
      <c r="F59" s="70" t="s">
        <v>60</v>
      </c>
      <c r="G59" s="227">
        <f>SUM(G52:G58)</f>
        <v>0</v>
      </c>
    </row>
    <row r="60" ht="11.25" customHeight="1">
      <c r="B60" s="258"/>
      <c r="E60" s="258"/>
    </row>
  </sheetData>
  <mergeCells count="12">
    <mergeCell ref="B33:B41"/>
    <mergeCell ref="B42:B50"/>
    <mergeCell ref="B51:B59"/>
    <mergeCell ref="E42:E50"/>
    <mergeCell ref="E51:E59"/>
    <mergeCell ref="B6:B14"/>
    <mergeCell ref="E6:E14"/>
    <mergeCell ref="B15:B23"/>
    <mergeCell ref="E15:E23"/>
    <mergeCell ref="B24:B32"/>
    <mergeCell ref="E24:E32"/>
    <mergeCell ref="E33:E41"/>
  </mergeCells>
  <dataValidations>
    <dataValidation type="list" allowBlank="1" sqref="C7:C13 F7:F13 C16:C22 F16:F22 C25:C31 F25:F31 C34:C40 F34:F40 C43:C49 F43:F49 C52:C58 F52:F58">
      <formula1>list!$B$2:$B60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DB3B7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13"/>
    <col customWidth="1" min="2" max="2" width="4.13"/>
    <col customWidth="1" min="3" max="3" width="18.63"/>
    <col customWidth="1" min="4" max="4" width="14.0"/>
    <col customWidth="1" min="5" max="5" width="10.25"/>
    <col customWidth="1" min="6" max="6" width="16.0"/>
    <col customWidth="1" min="7" max="7" width="4.13"/>
    <col customWidth="1" min="8" max="8" width="18.63"/>
    <col customWidth="1" min="9" max="11" width="15.13"/>
    <col customWidth="1" min="12" max="12" width="2.88"/>
  </cols>
  <sheetData>
    <row r="1">
      <c r="A1" s="10"/>
      <c r="B1" s="257" t="s">
        <v>196</v>
      </c>
      <c r="G1" s="12" t="s">
        <v>187</v>
      </c>
    </row>
    <row r="2" ht="8.25" customHeight="1">
      <c r="B2" s="258"/>
      <c r="G2" s="258"/>
    </row>
    <row r="3">
      <c r="B3" s="258"/>
      <c r="G3" s="258"/>
    </row>
    <row r="4">
      <c r="B4" s="264" t="s">
        <v>127</v>
      </c>
      <c r="C4" s="41" t="s">
        <v>43</v>
      </c>
      <c r="D4" s="41" t="s">
        <v>46</v>
      </c>
      <c r="E4" s="270" t="s">
        <v>197</v>
      </c>
      <c r="F4" s="270" t="s">
        <v>198</v>
      </c>
      <c r="G4" s="264" t="s">
        <v>133</v>
      </c>
      <c r="H4" s="41" t="s">
        <v>192</v>
      </c>
      <c r="I4" s="41" t="s">
        <v>46</v>
      </c>
      <c r="J4" s="270" t="s">
        <v>197</v>
      </c>
      <c r="K4" s="270" t="s">
        <v>198</v>
      </c>
    </row>
    <row r="5">
      <c r="A5" s="7"/>
      <c r="B5" s="265"/>
      <c r="C5" s="55" t="s">
        <v>58</v>
      </c>
      <c r="D5" s="222">
        <f>SUMIF('1月'!$G$6:$G$13,C5,'1月'!$H$6:$H$13)+SUMIF('1月'!$C$19:$C58,C5,'1月'!$D$19:$D58)+SUMIF('1月'!$T$5:$T58,C5,'1月'!$X$5:$X58)</f>
        <v>130000</v>
      </c>
      <c r="E5" s="138"/>
      <c r="F5" s="271"/>
      <c r="G5" s="265"/>
      <c r="H5" s="55"/>
      <c r="I5" s="222">
        <f>SUMIF('7月'!$G$6:$G$13,H5,'7月'!$H$6:$H$13)+SUMIF('7月'!$C$19:$C58,H5,'7月'!$D$19:$D58)+SUMIF('7月'!$T$5:$T58,H5,'7月'!$X$5:$X58)</f>
        <v>0</v>
      </c>
      <c r="J5" s="138"/>
      <c r="K5" s="271"/>
    </row>
    <row r="6">
      <c r="B6" s="265"/>
      <c r="C6" s="55" t="s">
        <v>50</v>
      </c>
      <c r="D6" s="222">
        <f>SUMIF('1月'!$G$6:$G$13,C6,'1月'!$H$6:$H$13)+SUMIF('1月'!$C$19:$C58,C6,'1月'!$D$19:$D58)+SUMIF('1月'!$T$5:$T58,C6,'1月'!$X$5:$X58)</f>
        <v>1000</v>
      </c>
      <c r="E6" s="138"/>
      <c r="F6" s="271"/>
      <c r="G6" s="265"/>
      <c r="H6" s="55"/>
      <c r="I6" s="222">
        <f>SUMIF('7月'!$G$6:$G$13,H6,'7月'!$H$6:$H$13)+SUMIF('7月'!$C$19:$C58,H6,'7月'!$D$19:$D58)+SUMIF('7月'!$T$5:$T58,H6,'7月'!$X$5:$X58)</f>
        <v>0</v>
      </c>
      <c r="J6" s="138"/>
      <c r="K6" s="271"/>
    </row>
    <row r="7">
      <c r="B7" s="265"/>
      <c r="C7" s="55" t="s">
        <v>71</v>
      </c>
      <c r="D7" s="222">
        <f>SUMIF('1月'!$G$6:$G$13,C7,'1月'!$H$6:$H$13)+SUMIF('1月'!$C$19:$C58,C7,'1月'!$D$19:$D58)+SUMIF('1月'!$T$5:$T58,C7,'1月'!$X$5:$X58)</f>
        <v>32000</v>
      </c>
      <c r="E7" s="138"/>
      <c r="F7" s="271"/>
      <c r="G7" s="265"/>
      <c r="H7" s="55"/>
      <c r="I7" s="222">
        <f>SUMIF('7月'!$G$6:$G$13,H7,'7月'!$H$6:$H$13)+SUMIF('7月'!$C$19:$C58,H7,'7月'!$D$19:$D58)+SUMIF('7月'!$T$5:$T58,H7,'7月'!$X$5:$X58)</f>
        <v>0</v>
      </c>
      <c r="J7" s="138"/>
      <c r="K7" s="271"/>
    </row>
    <row r="8">
      <c r="B8" s="265"/>
      <c r="C8" s="55" t="s">
        <v>53</v>
      </c>
      <c r="D8" s="222">
        <f>SUMIF('1月'!$G$6:$G$13,C8,'1月'!$H$6:$H$13)+SUMIF('1月'!$C$19:$C58,C8,'1月'!$D$19:$D58)+SUMIF('1月'!$T$5:$T58,C8,'1月'!$X$5:$X58)</f>
        <v>7000</v>
      </c>
      <c r="E8" s="138"/>
      <c r="F8" s="271"/>
      <c r="G8" s="265"/>
      <c r="H8" s="55"/>
      <c r="I8" s="222">
        <f>SUMIF('7月'!$G$6:$G$13,H8,'7月'!$H$6:$H$13)+SUMIF('7月'!$C$19:$C58,H8,'7月'!$D$19:$D58)+SUMIF('7月'!$T$5:$T58,H8,'7月'!$X$5:$X58)</f>
        <v>0</v>
      </c>
      <c r="J8" s="138"/>
      <c r="K8" s="271"/>
    </row>
    <row r="9">
      <c r="B9" s="265"/>
      <c r="C9" s="55" t="s">
        <v>56</v>
      </c>
      <c r="D9" s="222">
        <f>SUMIF('1月'!$G$6:$G$13,C9,'1月'!$H$6:$H$13)+SUMIF('1月'!$C$19:$C58,C9,'1月'!$D$19:$D58)+SUMIF('1月'!$T$5:$T58,C9,'1月'!$X$5:$X58)</f>
        <v>30000</v>
      </c>
      <c r="E9" s="138"/>
      <c r="F9" s="271"/>
      <c r="G9" s="265"/>
      <c r="H9" s="55"/>
      <c r="I9" s="222">
        <f>SUMIF('7月'!$G$6:$G$13,H9,'7月'!$H$6:$H$13)+SUMIF('7月'!$C$19:$C58,H9,'7月'!$D$19:$D58)+SUMIF('7月'!$T$5:$T58,H9,'7月'!$X$5:$X58)</f>
        <v>0</v>
      </c>
      <c r="J9" s="138"/>
      <c r="K9" s="271"/>
    </row>
    <row r="10">
      <c r="B10" s="265"/>
      <c r="C10" s="55"/>
      <c r="D10" s="222">
        <f>SUMIF('1月'!$G$6:$G$13,C10,'1月'!$H$6:$H$13)+SUMIF('1月'!$C$19:$C58,C10,'1月'!$D$19:$D58)+SUMIF('1月'!$T$5:$T58,C10,'1月'!$X$5:$X58)</f>
        <v>0</v>
      </c>
      <c r="E10" s="138"/>
      <c r="F10" s="271"/>
      <c r="G10" s="265"/>
      <c r="H10" s="55"/>
      <c r="I10" s="222">
        <f>SUMIF('7月'!$G$6:$G$13,H10,'7月'!$H$6:$H$13)+SUMIF('7月'!$C$19:$C58,H10,'7月'!$D$19:$D58)+SUMIF('7月'!$T$5:$T58,H10,'7月'!$X$5:$X58)</f>
        <v>0</v>
      </c>
      <c r="J10" s="138"/>
      <c r="K10" s="271"/>
    </row>
    <row r="11">
      <c r="B11" s="265"/>
      <c r="C11" s="55"/>
      <c r="D11" s="222">
        <f>SUMIF('1月'!$G$6:$G$13,C11,'1月'!$H$6:$H$13)+SUMIF('1月'!$C$19:$C58,C11,'1月'!$D$19:$D58)+SUMIF('1月'!$T$5:$T58,C11,'1月'!$X$5:$X58)</f>
        <v>0</v>
      </c>
      <c r="E11" s="138"/>
      <c r="F11" s="271"/>
      <c r="G11" s="265"/>
      <c r="H11" s="55"/>
      <c r="I11" s="222">
        <f>SUMIF('7月'!$G$6:$G$13,H11,'7月'!$H$6:$H$13)+SUMIF('7月'!$C$19:$C58,H11,'7月'!$D$19:$D58)+SUMIF('7月'!$T$5:$T58,H11,'7月'!$X$5:$X58)</f>
        <v>0</v>
      </c>
      <c r="J11" s="138"/>
      <c r="K11" s="271"/>
    </row>
    <row r="12">
      <c r="B12" s="267"/>
      <c r="C12" s="272" t="s">
        <v>60</v>
      </c>
      <c r="D12" s="273">
        <f>SUM(D5:D11)</f>
        <v>200000</v>
      </c>
      <c r="E12" s="274"/>
      <c r="F12" s="274"/>
      <c r="G12" s="267"/>
      <c r="H12" s="70" t="s">
        <v>60</v>
      </c>
      <c r="I12" s="227">
        <f>SUM(I5:I11)</f>
        <v>0</v>
      </c>
      <c r="J12" s="274"/>
      <c r="K12" s="274"/>
    </row>
    <row r="13">
      <c r="B13" s="268" t="s">
        <v>128</v>
      </c>
      <c r="C13" s="275" t="s">
        <v>192</v>
      </c>
      <c r="D13" s="275" t="s">
        <v>46</v>
      </c>
      <c r="E13" s="270" t="s">
        <v>197</v>
      </c>
      <c r="F13" s="270" t="s">
        <v>198</v>
      </c>
      <c r="G13" s="268" t="s">
        <v>134</v>
      </c>
      <c r="H13" s="41" t="s">
        <v>192</v>
      </c>
      <c r="I13" s="41" t="s">
        <v>46</v>
      </c>
      <c r="J13" s="270" t="s">
        <v>197</v>
      </c>
      <c r="K13" s="270" t="s">
        <v>198</v>
      </c>
    </row>
    <row r="14">
      <c r="B14" s="265"/>
      <c r="C14" s="55"/>
      <c r="D14" s="222">
        <f>SUMIF('2月'!$G$6:$G$13,C14,'2月'!$H$6:$H$13)+SUMIF('2月'!$C$19:$C58,C14,'2月'!$D$19:$D58)+SUMIF('2月'!$T$5:$T58,C14,'2月'!$X$5:$X58)</f>
        <v>0</v>
      </c>
      <c r="E14" s="138"/>
      <c r="F14" s="271"/>
      <c r="G14" s="265"/>
      <c r="H14" s="55"/>
      <c r="I14" s="222">
        <f>SUMIF('8月'!$G$6:$G$13,H14,'8月'!$H$6:$H$13)+SUMIF('8月'!$C$19:$C58,H14,'8月'!$D$19:$D58)+SUMIF('8月'!$T$5:$T58,H14,'8月'!$X$5:$X58)</f>
        <v>0</v>
      </c>
      <c r="J14" s="138"/>
      <c r="K14" s="271"/>
    </row>
    <row r="15">
      <c r="B15" s="265"/>
      <c r="C15" s="55"/>
      <c r="D15" s="222">
        <f>SUMIF('2月'!$G$6:$G$13,C15,'2月'!$H$6:$H$13)+SUMIF('2月'!$C$19:$C58,C15,'2月'!$D$19:$D58)+SUMIF('2月'!$T$5:$T58,C15,'2月'!$X$5:$X58)</f>
        <v>0</v>
      </c>
      <c r="E15" s="138"/>
      <c r="F15" s="271"/>
      <c r="G15" s="265"/>
      <c r="H15" s="55"/>
      <c r="I15" s="222">
        <f>SUMIF('8月'!$G$6:$G$13,H15,'8月'!$H$6:$H$13)+SUMIF('8月'!$C$19:$C58,H15,'8月'!$D$19:$D58)+SUMIF('8月'!$T$5:$T58,H15,'8月'!$X$5:$X58)</f>
        <v>0</v>
      </c>
      <c r="J15" s="138"/>
      <c r="K15" s="271"/>
    </row>
    <row r="16">
      <c r="B16" s="265"/>
      <c r="C16" s="55"/>
      <c r="D16" s="222">
        <f>SUMIF('2月'!$G$6:$G$13,C16,'2月'!$H$6:$H$13)+SUMIF('2月'!$C$19:$C58,C16,'2月'!$D$19:$D58)+SUMIF('2月'!$T$5:$T58,C16,'2月'!$X$5:$X58)</f>
        <v>0</v>
      </c>
      <c r="E16" s="138"/>
      <c r="F16" s="271"/>
      <c r="G16" s="265"/>
      <c r="H16" s="55"/>
      <c r="I16" s="222">
        <f>SUMIF('8月'!$G$6:$G$13,H16,'8月'!$H$6:$H$13)+SUMIF('8月'!$C$19:$C58,H16,'8月'!$D$19:$D58)+SUMIF('8月'!$T$5:$T58,H16,'8月'!$X$5:$X58)</f>
        <v>0</v>
      </c>
      <c r="J16" s="138"/>
      <c r="K16" s="271"/>
    </row>
    <row r="17">
      <c r="B17" s="265"/>
      <c r="C17" s="55"/>
      <c r="D17" s="222">
        <f>SUMIF('2月'!$G$6:$G$13,C17,'2月'!$H$6:$H$13)+SUMIF('2月'!$C$19:$C58,C17,'2月'!$D$19:$D58)+SUMIF('2月'!$T$5:$T58,C17,'2月'!$X$5:$X58)</f>
        <v>0</v>
      </c>
      <c r="E17" s="138"/>
      <c r="F17" s="271"/>
      <c r="G17" s="265"/>
      <c r="H17" s="55"/>
      <c r="I17" s="222">
        <f>SUMIF('8月'!$G$6:$G$13,H17,'8月'!$H$6:$H$13)+SUMIF('8月'!$C$19:$C58,H17,'8月'!$D$19:$D58)+SUMIF('8月'!$T$5:$T58,H17,'8月'!$X$5:$X58)</f>
        <v>0</v>
      </c>
      <c r="J17" s="138"/>
      <c r="K17" s="271"/>
    </row>
    <row r="18">
      <c r="B18" s="265"/>
      <c r="C18" s="55"/>
      <c r="D18" s="222">
        <f>SUMIF('2月'!$G$6:$G$13,C18,'2月'!$H$6:$H$13)+SUMIF('2月'!$C$19:$C58,C18,'2月'!$D$19:$D58)+SUMIF('2月'!$T$5:$T58,C18,'2月'!$X$5:$X58)</f>
        <v>0</v>
      </c>
      <c r="E18" s="138"/>
      <c r="F18" s="271"/>
      <c r="G18" s="265"/>
      <c r="H18" s="55"/>
      <c r="I18" s="222">
        <f>SUMIF('8月'!$G$6:$G$13,H18,'8月'!$H$6:$H$13)+SUMIF('8月'!$C$19:$C58,H18,'8月'!$D$19:$D58)+SUMIF('8月'!$T$5:$T58,H18,'8月'!$X$5:$X58)</f>
        <v>0</v>
      </c>
      <c r="J18" s="138"/>
      <c r="K18" s="271"/>
    </row>
    <row r="19">
      <c r="B19" s="265"/>
      <c r="C19" s="55"/>
      <c r="D19" s="222">
        <f>SUMIF('2月'!$G$6:$G$13,C19,'2月'!$H$6:$H$13)+SUMIF('2月'!$C$19:$C58,C19,'2月'!$D$19:$D58)+SUMIF('2月'!$T$5:$T58,C19,'2月'!$X$5:$X58)</f>
        <v>0</v>
      </c>
      <c r="E19" s="138"/>
      <c r="F19" s="271"/>
      <c r="G19" s="265"/>
      <c r="H19" s="55"/>
      <c r="I19" s="222">
        <f>SUMIF('8月'!$G$6:$G$13,H19,'8月'!$H$6:$H$13)+SUMIF('8月'!$C$19:$C58,H19,'8月'!$D$19:$D58)+SUMIF('8月'!$T$5:$T58,H19,'8月'!$X$5:$X58)</f>
        <v>0</v>
      </c>
      <c r="J19" s="138"/>
      <c r="K19" s="271"/>
    </row>
    <row r="20">
      <c r="B20" s="265"/>
      <c r="C20" s="55"/>
      <c r="D20" s="222">
        <f>SUMIF('2月'!$G$6:$G$13,C20,'2月'!$H$6:$H$13)+SUMIF('2月'!$C$19:$C58,C20,'2月'!$D$19:$D58)+SUMIF('2月'!$T$5:$T58,C20,'2月'!$X$5:$X58)</f>
        <v>0</v>
      </c>
      <c r="E20" s="138"/>
      <c r="F20" s="271"/>
      <c r="G20" s="265"/>
      <c r="H20" s="55"/>
      <c r="I20" s="222">
        <f>SUMIF('8月'!$G$6:$G$13,H20,'8月'!$H$6:$H$13)+SUMIF('8月'!$C$19:$C58,H20,'8月'!$D$19:$D58)+SUMIF('8月'!$T$5:$T58,H20,'8月'!$X$5:$X58)</f>
        <v>0</v>
      </c>
      <c r="J20" s="138"/>
      <c r="K20" s="271"/>
    </row>
    <row r="21">
      <c r="B21" s="267"/>
      <c r="C21" s="70" t="s">
        <v>60</v>
      </c>
      <c r="D21" s="227">
        <f>SUM(D14:D20)</f>
        <v>0</v>
      </c>
      <c r="E21" s="274"/>
      <c r="F21" s="274"/>
      <c r="G21" s="267"/>
      <c r="H21" s="70" t="s">
        <v>60</v>
      </c>
      <c r="I21" s="227">
        <f>SUM(I14:I20)</f>
        <v>0</v>
      </c>
      <c r="J21" s="274"/>
      <c r="K21" s="274"/>
    </row>
    <row r="22">
      <c r="B22" s="268" t="s">
        <v>129</v>
      </c>
      <c r="C22" s="41" t="s">
        <v>192</v>
      </c>
      <c r="D22" s="41" t="s">
        <v>46</v>
      </c>
      <c r="E22" s="270" t="s">
        <v>197</v>
      </c>
      <c r="F22" s="270" t="s">
        <v>198</v>
      </c>
      <c r="G22" s="268" t="s">
        <v>135</v>
      </c>
      <c r="H22" s="41" t="s">
        <v>192</v>
      </c>
      <c r="I22" s="41" t="s">
        <v>46</v>
      </c>
      <c r="J22" s="270" t="s">
        <v>197</v>
      </c>
      <c r="K22" s="270" t="s">
        <v>198</v>
      </c>
    </row>
    <row r="23">
      <c r="B23" s="265"/>
      <c r="C23" s="55"/>
      <c r="D23" s="222">
        <f>SUMIF('3月'!$G$6:$G$13,C23,'3月'!$H$6:$H$13)+SUMIF('3月'!$C$19:$C58,C23,'3月'!$D$19:$D58)+SUMIF('3月'!$T$5:$T58,C23,'3月'!$X$5:$X58)</f>
        <v>0</v>
      </c>
      <c r="E23" s="138"/>
      <c r="F23" s="271"/>
      <c r="G23" s="265"/>
      <c r="H23" s="55"/>
      <c r="I23" s="222">
        <f>SUMIF('9月'!$G$6:$G$13,H23,'9月'!$H$6:$H$13)+SUMIF('9月'!$C$19:$C58,H23,'9月'!$D$19:$D58)+SUMIF('9月'!$T$5:$T58,H23,'9月'!$X$5:$X58)</f>
        <v>0</v>
      </c>
      <c r="J23" s="138"/>
      <c r="K23" s="271"/>
    </row>
    <row r="24">
      <c r="B24" s="265"/>
      <c r="C24" s="55"/>
      <c r="D24" s="222">
        <f>SUMIF('3月'!$G$6:$G$13,C24,'3月'!$H$6:$H$13)+SUMIF('3月'!$C$19:$C58,C24,'3月'!$D$19:$D58)+SUMIF('3月'!$T$5:$T58,C24,'3月'!$X$5:$X58)</f>
        <v>0</v>
      </c>
      <c r="E24" s="138"/>
      <c r="F24" s="271"/>
      <c r="G24" s="265"/>
      <c r="H24" s="55"/>
      <c r="I24" s="222">
        <f>SUMIF('9月'!$G$6:$G$13,H24,'9月'!$H$6:$H$13)+SUMIF('9月'!$C$19:$C58,H24,'9月'!$D$19:$D58)+SUMIF('9月'!$T$5:$T58,H24,'9月'!$X$5:$X58)</f>
        <v>0</v>
      </c>
      <c r="J24" s="138"/>
      <c r="K24" s="271"/>
    </row>
    <row r="25">
      <c r="B25" s="265"/>
      <c r="C25" s="55"/>
      <c r="D25" s="222">
        <f>SUMIF('3月'!$G$6:$G$13,C25,'3月'!$H$6:$H$13)+SUMIF('3月'!$C$19:$C58,C25,'3月'!$D$19:$D58)+SUMIF('3月'!$T$5:$T58,C25,'3月'!$X$5:$X58)</f>
        <v>0</v>
      </c>
      <c r="E25" s="138"/>
      <c r="F25" s="271"/>
      <c r="G25" s="265"/>
      <c r="H25" s="55"/>
      <c r="I25" s="222">
        <f>SUMIF('9月'!$G$6:$G$13,H25,'9月'!$H$6:$H$13)+SUMIF('9月'!$C$19:$C58,H25,'9月'!$D$19:$D58)+SUMIF('9月'!$T$5:$T58,H25,'9月'!$X$5:$X58)</f>
        <v>0</v>
      </c>
      <c r="J25" s="138"/>
      <c r="K25" s="271"/>
    </row>
    <row r="26">
      <c r="B26" s="265"/>
      <c r="C26" s="55"/>
      <c r="D26" s="222">
        <f>SUMIF('3月'!$G$6:$G$13,C26,'3月'!$H$6:$H$13)+SUMIF('3月'!$C$19:$C58,C26,'3月'!$D$19:$D58)+SUMIF('3月'!$T$5:$T58,C26,'3月'!$X$5:$X58)</f>
        <v>0</v>
      </c>
      <c r="E26" s="138"/>
      <c r="F26" s="271"/>
      <c r="G26" s="265"/>
      <c r="H26" s="55"/>
      <c r="I26" s="222">
        <f>SUMIF('9月'!$G$6:$G$13,H26,'9月'!$H$6:$H$13)+SUMIF('9月'!$C$19:$C58,H26,'9月'!$D$19:$D58)+SUMIF('9月'!$T$5:$T58,H26,'9月'!$X$5:$X58)</f>
        <v>0</v>
      </c>
      <c r="J26" s="138"/>
      <c r="K26" s="271"/>
    </row>
    <row r="27">
      <c r="B27" s="265"/>
      <c r="C27" s="55"/>
      <c r="D27" s="222">
        <f>SUMIF('3月'!$G$6:$G$13,C27,'3月'!$H$6:$H$13)+SUMIF('3月'!$C$19:$C58,C27,'3月'!$D$19:$D58)+SUMIF('3月'!$T$5:$T58,C27,'3月'!$X$5:$X58)</f>
        <v>0</v>
      </c>
      <c r="E27" s="138"/>
      <c r="F27" s="271"/>
      <c r="G27" s="265"/>
      <c r="H27" s="55"/>
      <c r="I27" s="222">
        <f>SUMIF('9月'!$G$6:$G$13,H27,'9月'!$H$6:$H$13)+SUMIF('9月'!$C$19:$C58,H27,'9月'!$D$19:$D58)+SUMIF('9月'!$T$5:$T58,H27,'9月'!$X$5:$X58)</f>
        <v>0</v>
      </c>
      <c r="J27" s="138"/>
      <c r="K27" s="271"/>
    </row>
    <row r="28">
      <c r="B28" s="265"/>
      <c r="C28" s="55"/>
      <c r="D28" s="222">
        <f>SUMIF('3月'!$G$6:$G$13,C28,'3月'!$H$6:$H$13)+SUMIF('3月'!$C$19:$C58,C28,'3月'!$D$19:$D58)+SUMIF('3月'!$T$5:$T58,C28,'3月'!$X$5:$X58)</f>
        <v>0</v>
      </c>
      <c r="E28" s="138"/>
      <c r="F28" s="271"/>
      <c r="G28" s="265"/>
      <c r="H28" s="55"/>
      <c r="I28" s="222">
        <f>SUMIF('9月'!$G$6:$G$13,H28,'9月'!$H$6:$H$13)+SUMIF('9月'!$C$19:$C58,H28,'9月'!$D$19:$D58)+SUMIF('9月'!$T$5:$T58,H28,'9月'!$X$5:$X58)</f>
        <v>0</v>
      </c>
      <c r="J28" s="138"/>
      <c r="K28" s="271"/>
    </row>
    <row r="29">
      <c r="B29" s="265"/>
      <c r="C29" s="55"/>
      <c r="D29" s="222">
        <f>SUMIF('3月'!$G$6:$G$13,C29,'3月'!$H$6:$H$13)+SUMIF('3月'!$C$19:$C58,C29,'3月'!$D$19:$D58)+SUMIF('3月'!$T$5:$T58,C29,'3月'!$X$5:$X58)</f>
        <v>0</v>
      </c>
      <c r="E29" s="138"/>
      <c r="F29" s="271"/>
      <c r="G29" s="265"/>
      <c r="H29" s="55"/>
      <c r="I29" s="222">
        <f>SUMIF('9月'!$G$6:$G$13,H29,'9月'!$H$6:$H$13)+SUMIF('9月'!$C$19:$C58,H29,'9月'!$D$19:$D58)+SUMIF('9月'!$T$5:$T58,H29,'9月'!$X$5:$X58)</f>
        <v>0</v>
      </c>
      <c r="J29" s="138"/>
      <c r="K29" s="271"/>
    </row>
    <row r="30">
      <c r="B30" s="267"/>
      <c r="C30" s="70" t="s">
        <v>60</v>
      </c>
      <c r="D30" s="227">
        <f>SUM(D23:D29)</f>
        <v>0</v>
      </c>
      <c r="E30" s="274"/>
      <c r="F30" s="274"/>
      <c r="G30" s="267"/>
      <c r="H30" s="70" t="s">
        <v>60</v>
      </c>
      <c r="I30" s="227">
        <f>SUM(I23:I29)</f>
        <v>0</v>
      </c>
      <c r="J30" s="274"/>
      <c r="K30" s="274"/>
    </row>
    <row r="31">
      <c r="B31" s="268" t="s">
        <v>130</v>
      </c>
      <c r="C31" s="41" t="s">
        <v>192</v>
      </c>
      <c r="D31" s="41" t="s">
        <v>46</v>
      </c>
      <c r="E31" s="270" t="s">
        <v>197</v>
      </c>
      <c r="F31" s="270" t="s">
        <v>198</v>
      </c>
      <c r="G31" s="268" t="s">
        <v>136</v>
      </c>
      <c r="H31" s="41" t="s">
        <v>192</v>
      </c>
      <c r="I31" s="41" t="s">
        <v>46</v>
      </c>
      <c r="J31" s="270" t="s">
        <v>197</v>
      </c>
      <c r="K31" s="270" t="s">
        <v>198</v>
      </c>
    </row>
    <row r="32">
      <c r="B32" s="265"/>
      <c r="C32" s="55"/>
      <c r="D32" s="222">
        <f>SUMIF('4月'!$G$6:$G$13,C32,'4月'!$H$6:$H$13)+SUMIF('4月'!$C$19:$C58,C32,'4月'!$D$19:$D58)+SUMIF('4月'!$T$5:$T58,C32,'4月'!$X$5:$X58)</f>
        <v>0</v>
      </c>
      <c r="E32" s="138"/>
      <c r="F32" s="271"/>
      <c r="G32" s="265"/>
      <c r="H32" s="55"/>
      <c r="I32" s="222">
        <f>SUMIF('10月'!$G$6:$G$13,H32,'10月'!$H$6:$H$13)+SUMIF('10月'!$C$19:$C58,H32,'10月'!$D$19:$D58)+SUMIF('10月'!$T$5:$T58,H32,'10月'!$X$5:$X58)</f>
        <v>0</v>
      </c>
      <c r="J32" s="138"/>
      <c r="K32" s="271"/>
    </row>
    <row r="33">
      <c r="B33" s="265"/>
      <c r="C33" s="55"/>
      <c r="D33" s="222">
        <f>SUMIF('4月'!$G$6:$G$13,C33,'4月'!$H$6:$H$13)+SUMIF('4月'!$C$19:$C58,C33,'4月'!$D$19:$D58)+SUMIF('4月'!$T$5:$T58,C33,'4月'!$X$5:$X58)</f>
        <v>0</v>
      </c>
      <c r="E33" s="138"/>
      <c r="F33" s="271"/>
      <c r="G33" s="265"/>
      <c r="H33" s="55"/>
      <c r="I33" s="222">
        <f>SUMIF('10月'!$G$6:$G$13,H33,'10月'!$H$6:$H$13)+SUMIF('10月'!$C$19:$C58,H33,'10月'!$D$19:$D58)+SUMIF('10月'!$T$5:$T58,H33,'10月'!$X$5:$X58)</f>
        <v>0</v>
      </c>
      <c r="J33" s="138"/>
      <c r="K33" s="271"/>
    </row>
    <row r="34">
      <c r="B34" s="265"/>
      <c r="C34" s="55"/>
      <c r="D34" s="222">
        <f>SUMIF('4月'!$G$6:$G$13,C34,'4月'!$H$6:$H$13)+SUMIF('4月'!$C$19:$C58,C34,'4月'!$D$19:$D58)+SUMIF('4月'!$T$5:$T58,C34,'4月'!$X$5:$X58)</f>
        <v>0</v>
      </c>
      <c r="E34" s="138"/>
      <c r="F34" s="271"/>
      <c r="G34" s="265"/>
      <c r="H34" s="55"/>
      <c r="I34" s="222">
        <f>SUMIF('10月'!$G$6:$G$13,H34,'10月'!$H$6:$H$13)+SUMIF('10月'!$C$19:$C58,H34,'10月'!$D$19:$D58)+SUMIF('10月'!$T$5:$T58,H34,'10月'!$X$5:$X58)</f>
        <v>0</v>
      </c>
      <c r="J34" s="138"/>
      <c r="K34" s="271"/>
    </row>
    <row r="35">
      <c r="B35" s="265"/>
      <c r="C35" s="55"/>
      <c r="D35" s="222">
        <f>SUMIF('4月'!$G$6:$G$13,C35,'4月'!$H$6:$H$13)+SUMIF('4月'!$C$19:$C58,C35,'4月'!$D$19:$D58)+SUMIF('4月'!$T$5:$T58,C35,'4月'!$X$5:$X58)</f>
        <v>0</v>
      </c>
      <c r="E35" s="138"/>
      <c r="F35" s="271"/>
      <c r="G35" s="265"/>
      <c r="H35" s="55"/>
      <c r="I35" s="222">
        <f>SUMIF('10月'!$G$6:$G$13,H35,'10月'!$H$6:$H$13)+SUMIF('10月'!$C$19:$C58,H35,'10月'!$D$19:$D58)+SUMIF('10月'!$T$5:$T58,H35,'10月'!$X$5:$X58)</f>
        <v>0</v>
      </c>
      <c r="J35" s="138"/>
      <c r="K35" s="271"/>
    </row>
    <row r="36">
      <c r="B36" s="265"/>
      <c r="C36" s="55"/>
      <c r="D36" s="222">
        <f>SUMIF('4月'!$G$6:$G$13,C36,'4月'!$H$6:$H$13)+SUMIF('4月'!$C$19:$C58,C36,'4月'!$D$19:$D58)+SUMIF('4月'!$T$5:$T58,C36,'4月'!$X$5:$X58)</f>
        <v>0</v>
      </c>
      <c r="E36" s="138"/>
      <c r="F36" s="271"/>
      <c r="G36" s="265"/>
      <c r="H36" s="55"/>
      <c r="I36" s="222">
        <f>SUMIF('10月'!$G$6:$G$13,H36,'10月'!$H$6:$H$13)+SUMIF('10月'!$C$19:$C58,H36,'10月'!$D$19:$D58)+SUMIF('10月'!$T$5:$T58,H36,'10月'!$X$5:$X58)</f>
        <v>0</v>
      </c>
      <c r="J36" s="138"/>
      <c r="K36" s="271"/>
    </row>
    <row r="37">
      <c r="B37" s="265"/>
      <c r="C37" s="55"/>
      <c r="D37" s="222">
        <f>SUMIF('4月'!$G$6:$G$13,C37,'4月'!$H$6:$H$13)+SUMIF('4月'!$C$19:$C58,C37,'4月'!$D$19:$D58)+SUMIF('4月'!$T$5:$T58,C37,'4月'!$X$5:$X58)</f>
        <v>0</v>
      </c>
      <c r="E37" s="138"/>
      <c r="F37" s="271"/>
      <c r="G37" s="265"/>
      <c r="H37" s="55"/>
      <c r="I37" s="222">
        <f>SUMIF('10月'!$G$6:$G$13,H37,'10月'!$H$6:$H$13)+SUMIF('10月'!$C$19:$C58,H37,'10月'!$D$19:$D58)+SUMIF('10月'!$T$5:$T58,H37,'10月'!$X$5:$X58)</f>
        <v>0</v>
      </c>
      <c r="J37" s="138"/>
      <c r="K37" s="271"/>
    </row>
    <row r="38">
      <c r="B38" s="265"/>
      <c r="C38" s="55"/>
      <c r="D38" s="222">
        <f>SUMIF('4月'!$G$6:$G$13,C38,'4月'!$H$6:$H$13)+SUMIF('4月'!$C$19:$C58,C38,'4月'!$D$19:$D58)+SUMIF('4月'!$T$5:$T58,C38,'4月'!$X$5:$X58)</f>
        <v>0</v>
      </c>
      <c r="E38" s="138"/>
      <c r="F38" s="271"/>
      <c r="G38" s="265"/>
      <c r="H38" s="55"/>
      <c r="I38" s="222">
        <f>SUMIF('10月'!$G$6:$G$13,H38,'10月'!$H$6:$H$13)+SUMIF('10月'!$C$19:$C58,H38,'10月'!$D$19:$D58)+SUMIF('10月'!$T$5:$T58,H38,'10月'!$X$5:$X58)</f>
        <v>0</v>
      </c>
      <c r="J38" s="138"/>
      <c r="K38" s="271"/>
    </row>
    <row r="39">
      <c r="B39" s="267"/>
      <c r="C39" s="70" t="s">
        <v>60</v>
      </c>
      <c r="D39" s="227">
        <f>SUM(D32:D38)</f>
        <v>0</v>
      </c>
      <c r="E39" s="274"/>
      <c r="F39" s="274"/>
      <c r="G39" s="267"/>
      <c r="H39" s="70" t="s">
        <v>60</v>
      </c>
      <c r="I39" s="227">
        <f>SUM(I32:I38)</f>
        <v>0</v>
      </c>
      <c r="J39" s="274"/>
      <c r="K39" s="274"/>
    </row>
    <row r="40">
      <c r="B40" s="268" t="s">
        <v>131</v>
      </c>
      <c r="C40" s="41" t="s">
        <v>192</v>
      </c>
      <c r="D40" s="41" t="s">
        <v>46</v>
      </c>
      <c r="E40" s="270" t="s">
        <v>197</v>
      </c>
      <c r="F40" s="270" t="s">
        <v>198</v>
      </c>
      <c r="G40" s="268" t="s">
        <v>137</v>
      </c>
      <c r="H40" s="41" t="s">
        <v>192</v>
      </c>
      <c r="I40" s="41" t="s">
        <v>46</v>
      </c>
      <c r="J40" s="270" t="s">
        <v>197</v>
      </c>
      <c r="K40" s="270" t="s">
        <v>198</v>
      </c>
    </row>
    <row r="41">
      <c r="B41" s="265"/>
      <c r="C41" s="55"/>
      <c r="D41" s="222">
        <f>SUMIF('5月'!$G$6:$G$13,C41,'5月'!$H$6:$H$13)+SUMIF('5月'!$C$19:$C58,C41,'5月'!$D$19:$D58)+SUMIF('5月'!$T$5:$T58,C41,'5月'!$X$5:$X58)</f>
        <v>0</v>
      </c>
      <c r="E41" s="138"/>
      <c r="F41" s="271"/>
      <c r="G41" s="265"/>
      <c r="H41" s="55"/>
      <c r="I41" s="222">
        <f>SUMIF('11月'!$G$6:$G$13,H41,'11月'!$H$6:$H$13)+SUMIF('11月'!$C$19:$C58,H41,'11月'!$D$19:$D58)+SUMIF('11月'!$T$5:$T58,H41,'11月'!$X$5:$X58)</f>
        <v>0</v>
      </c>
      <c r="J41" s="138"/>
      <c r="K41" s="271"/>
    </row>
    <row r="42">
      <c r="B42" s="265"/>
      <c r="C42" s="55"/>
      <c r="D42" s="222">
        <f>SUMIF('5月'!$G$6:$G$13,C42,'5月'!$H$6:$H$13)+SUMIF('5月'!$C$19:$C58,C42,'5月'!$D$19:$D58)+SUMIF('5月'!$T$5:$T58,C42,'5月'!$X$5:$X58)</f>
        <v>0</v>
      </c>
      <c r="E42" s="138"/>
      <c r="F42" s="271"/>
      <c r="G42" s="265"/>
      <c r="H42" s="55"/>
      <c r="I42" s="222">
        <f>SUMIF('11月'!$G$6:$G$13,H42,'11月'!$H$6:$H$13)+SUMIF('11月'!$C$19:$C58,H42,'11月'!$D$19:$D58)+SUMIF('11月'!$T$5:$T58,H42,'11月'!$X$5:$X58)</f>
        <v>0</v>
      </c>
      <c r="J42" s="138"/>
      <c r="K42" s="271"/>
    </row>
    <row r="43">
      <c r="B43" s="265"/>
      <c r="C43" s="55"/>
      <c r="D43" s="222">
        <f>SUMIF('5月'!$G$6:$G$13,C43,'5月'!$H$6:$H$13)+SUMIF('5月'!$C$19:$C58,C43,'5月'!$D$19:$D58)+SUMIF('5月'!$T$5:$T58,C43,'5月'!$X$5:$X58)</f>
        <v>0</v>
      </c>
      <c r="E43" s="138"/>
      <c r="F43" s="271"/>
      <c r="G43" s="265"/>
      <c r="H43" s="55"/>
      <c r="I43" s="222">
        <f>SUMIF('11月'!$G$6:$G$13,H43,'11月'!$H$6:$H$13)+SUMIF('11月'!$C$19:$C58,H43,'11月'!$D$19:$D58)+SUMIF('11月'!$T$5:$T58,H43,'11月'!$X$5:$X58)</f>
        <v>0</v>
      </c>
      <c r="J43" s="138"/>
      <c r="K43" s="271"/>
    </row>
    <row r="44">
      <c r="B44" s="265"/>
      <c r="C44" s="55"/>
      <c r="D44" s="222">
        <f>SUMIF('5月'!$G$6:$G$13,C44,'5月'!$H$6:$H$13)+SUMIF('5月'!$C$19:$C58,C44,'5月'!$D$19:$D58)+SUMIF('5月'!$T$5:$T58,C44,'5月'!$X$5:$X58)</f>
        <v>0</v>
      </c>
      <c r="E44" s="138"/>
      <c r="F44" s="271"/>
      <c r="G44" s="265"/>
      <c r="H44" s="55"/>
      <c r="I44" s="222">
        <f>SUMIF('11月'!$G$6:$G$13,H44,'11月'!$H$6:$H$13)+SUMIF('11月'!$C$19:$C58,H44,'11月'!$D$19:$D58)+SUMIF('11月'!$T$5:$T58,H44,'11月'!$X$5:$X58)</f>
        <v>0</v>
      </c>
      <c r="J44" s="138"/>
      <c r="K44" s="271"/>
    </row>
    <row r="45">
      <c r="B45" s="265"/>
      <c r="C45" s="55"/>
      <c r="D45" s="222">
        <f>SUMIF('5月'!$G$6:$G$13,C45,'5月'!$H$6:$H$13)+SUMIF('5月'!$C$19:$C58,C45,'5月'!$D$19:$D58)+SUMIF('5月'!$T$5:$T58,C45,'5月'!$X$5:$X58)</f>
        <v>0</v>
      </c>
      <c r="E45" s="138"/>
      <c r="F45" s="271"/>
      <c r="G45" s="265"/>
      <c r="H45" s="55"/>
      <c r="I45" s="222">
        <f>SUMIF('11月'!$G$6:$G$13,H45,'11月'!$H$6:$H$13)+SUMIF('11月'!$C$19:$C58,H45,'11月'!$D$19:$D58)+SUMIF('11月'!$T$5:$T58,H45,'11月'!$X$5:$X58)</f>
        <v>0</v>
      </c>
      <c r="J45" s="138"/>
      <c r="K45" s="271"/>
    </row>
    <row r="46">
      <c r="B46" s="265"/>
      <c r="C46" s="55"/>
      <c r="D46" s="222">
        <f>SUMIF('5月'!$G$6:$G$13,C46,'5月'!$H$6:$H$13)+SUMIF('5月'!$C$19:$C58,C46,'5月'!$D$19:$D58)+SUMIF('5月'!$T$5:$T58,C46,'5月'!$X$5:$X58)</f>
        <v>0</v>
      </c>
      <c r="E46" s="138"/>
      <c r="F46" s="271"/>
      <c r="G46" s="265"/>
      <c r="H46" s="55"/>
      <c r="I46" s="222">
        <f>SUMIF('11月'!$G$6:$G$13,H46,'11月'!$H$6:$H$13)+SUMIF('11月'!$C$19:$C58,H46,'11月'!$D$19:$D58)+SUMIF('11月'!$T$5:$T58,H46,'11月'!$X$5:$X58)</f>
        <v>0</v>
      </c>
      <c r="J46" s="138"/>
      <c r="K46" s="271"/>
    </row>
    <row r="47">
      <c r="B47" s="265"/>
      <c r="C47" s="55"/>
      <c r="D47" s="222">
        <f>SUMIF('5月'!$G$6:$G$13,C47,'5月'!$H$6:$H$13)+SUMIF('5月'!$C$19:$C58,C47,'5月'!$D$19:$D58)+SUMIF('5月'!$T$5:$T58,C47,'5月'!$X$5:$X58)</f>
        <v>0</v>
      </c>
      <c r="E47" s="138"/>
      <c r="F47" s="271"/>
      <c r="G47" s="265"/>
      <c r="H47" s="55"/>
      <c r="I47" s="222">
        <f>SUMIF('11月'!$G$6:$G$13,H47,'11月'!$H$6:$H$13)+SUMIF('11月'!$C$19:$C58,H47,'11月'!$D$19:$D58)+SUMIF('11月'!$T$5:$T58,H47,'11月'!$X$5:$X58)</f>
        <v>0</v>
      </c>
      <c r="J47" s="138"/>
      <c r="K47" s="271"/>
    </row>
    <row r="48">
      <c r="B48" s="267"/>
      <c r="C48" s="70" t="s">
        <v>60</v>
      </c>
      <c r="D48" s="227">
        <f>SUM(D41:D47)</f>
        <v>0</v>
      </c>
      <c r="E48" s="274"/>
      <c r="F48" s="274"/>
      <c r="G48" s="267"/>
      <c r="H48" s="70" t="s">
        <v>60</v>
      </c>
      <c r="I48" s="227">
        <f>SUM(I41:I47)</f>
        <v>0</v>
      </c>
      <c r="J48" s="274"/>
      <c r="K48" s="274"/>
    </row>
    <row r="49">
      <c r="B49" s="268" t="s">
        <v>132</v>
      </c>
      <c r="C49" s="41" t="s">
        <v>192</v>
      </c>
      <c r="D49" s="41" t="s">
        <v>46</v>
      </c>
      <c r="E49" s="270" t="s">
        <v>197</v>
      </c>
      <c r="F49" s="270" t="s">
        <v>198</v>
      </c>
      <c r="G49" s="268" t="s">
        <v>138</v>
      </c>
      <c r="H49" s="41" t="s">
        <v>192</v>
      </c>
      <c r="I49" s="41" t="s">
        <v>46</v>
      </c>
      <c r="J49" s="270" t="s">
        <v>197</v>
      </c>
      <c r="K49" s="270" t="s">
        <v>198</v>
      </c>
    </row>
    <row r="50">
      <c r="B50" s="265"/>
      <c r="C50" s="55"/>
      <c r="D50" s="222">
        <f>SUMIF('6月'!$G$6:$G$13,C50,'6月'!$H$6:$H$13)+SUMIF('6月'!$C$19:$C58,C50,'6月'!$D$19:$D58)+SUMIF('6月'!$T$5:$T58,C50,'6月'!$X$5:$X58)</f>
        <v>0</v>
      </c>
      <c r="E50" s="138"/>
      <c r="F50" s="271"/>
      <c r="G50" s="265"/>
      <c r="H50" s="55"/>
      <c r="I50" s="222">
        <f>SUMIF('12月'!$G$6:$G$13,H50,'12月'!$H$6:$H$13)+SUMIF('12月'!$C$19:$C58,H50,'12月'!$D$19:$D58)+SUMIF('12月'!$T$5:$T58,H50,'12月'!$X$5:$X58)</f>
        <v>0</v>
      </c>
      <c r="J50" s="138"/>
      <c r="K50" s="271"/>
    </row>
    <row r="51">
      <c r="B51" s="265"/>
      <c r="C51" s="55"/>
      <c r="D51" s="222">
        <f>SUMIF('6月'!$G$6:$G$13,C51,'6月'!$H$6:$H$13)+SUMIF('6月'!$C$19:$C58,C51,'6月'!$D$19:$D58)+SUMIF('6月'!$T$5:$T58,C51,'6月'!$X$5:$X58)</f>
        <v>0</v>
      </c>
      <c r="E51" s="138"/>
      <c r="F51" s="271"/>
      <c r="G51" s="265"/>
      <c r="H51" s="55"/>
      <c r="I51" s="222">
        <f>SUMIF('12月'!$G$6:$G$13,H51,'12月'!$H$6:$H$13)+SUMIF('12月'!$C$19:$C58,H51,'12月'!$D$19:$D58)+SUMIF('12月'!$T$5:$T58,H51,'12月'!$X$5:$X58)</f>
        <v>0</v>
      </c>
      <c r="J51" s="138"/>
      <c r="K51" s="271"/>
    </row>
    <row r="52">
      <c r="B52" s="265"/>
      <c r="C52" s="55"/>
      <c r="D52" s="222">
        <f>SUMIF('6月'!$G$6:$G$13,C52,'6月'!$H$6:$H$13)+SUMIF('6月'!$C$19:$C58,C52,'6月'!$D$19:$D58)+SUMIF('6月'!$T$5:$T58,C52,'6月'!$X$5:$X58)</f>
        <v>0</v>
      </c>
      <c r="E52" s="138"/>
      <c r="F52" s="271"/>
      <c r="G52" s="265"/>
      <c r="H52" s="55"/>
      <c r="I52" s="222">
        <f>SUMIF('12月'!$G$6:$G$13,H52,'12月'!$H$6:$H$13)+SUMIF('12月'!$C$19:$C58,H52,'12月'!$D$19:$D58)+SUMIF('12月'!$T$5:$T58,H52,'12月'!$X$5:$X58)</f>
        <v>0</v>
      </c>
      <c r="J52" s="138"/>
      <c r="K52" s="271"/>
    </row>
    <row r="53">
      <c r="B53" s="265"/>
      <c r="C53" s="55"/>
      <c r="D53" s="222">
        <f>SUMIF('6月'!$G$6:$G$13,C53,'6月'!$H$6:$H$13)+SUMIF('6月'!$C$19:$C58,C53,'6月'!$D$19:$D58)+SUMIF('6月'!$T$5:$T58,C53,'6月'!$X$5:$X58)</f>
        <v>0</v>
      </c>
      <c r="E53" s="138"/>
      <c r="F53" s="271"/>
      <c r="G53" s="265"/>
      <c r="H53" s="55"/>
      <c r="I53" s="222">
        <f>SUMIF('12月'!$G$6:$G$13,H53,'12月'!$H$6:$H$13)+SUMIF('12月'!$C$19:$C58,H53,'12月'!$D$19:$D58)+SUMIF('12月'!$T$5:$T58,H53,'12月'!$X$5:$X58)</f>
        <v>0</v>
      </c>
      <c r="J53" s="138"/>
      <c r="K53" s="271"/>
    </row>
    <row r="54">
      <c r="B54" s="265"/>
      <c r="C54" s="55"/>
      <c r="D54" s="222">
        <f>SUMIF('6月'!$G$6:$G$13,C54,'6月'!$H$6:$H$13)+SUMIF('6月'!$C$19:$C58,C54,'6月'!$D$19:$D58)+SUMIF('6月'!$T$5:$T58,C54,'6月'!$X$5:$X58)</f>
        <v>0</v>
      </c>
      <c r="E54" s="138"/>
      <c r="F54" s="271"/>
      <c r="G54" s="265"/>
      <c r="H54" s="55"/>
      <c r="I54" s="222">
        <f>SUMIF('12月'!$G$6:$G$13,H54,'12月'!$H$6:$H$13)+SUMIF('12月'!$C$19:$C58,H54,'12月'!$D$19:$D58)+SUMIF('12月'!$T$5:$T58,H54,'12月'!$X$5:$X58)</f>
        <v>0</v>
      </c>
      <c r="J54" s="138"/>
      <c r="K54" s="271"/>
    </row>
    <row r="55">
      <c r="B55" s="265"/>
      <c r="C55" s="55"/>
      <c r="D55" s="222">
        <f>SUMIF('6月'!$G$6:$G$13,C55,'6月'!$H$6:$H$13)+SUMIF('6月'!$C$19:$C58,C55,'6月'!$D$19:$D58)+SUMIF('6月'!$T$5:$T58,C55,'6月'!$X$5:$X58)</f>
        <v>0</v>
      </c>
      <c r="E55" s="138"/>
      <c r="F55" s="271"/>
      <c r="G55" s="265"/>
      <c r="H55" s="55"/>
      <c r="I55" s="222">
        <f>SUMIF('12月'!$G$6:$G$13,H55,'12月'!$H$6:$H$13)+SUMIF('12月'!$C$19:$C58,H55,'12月'!$D$19:$D58)+SUMIF('12月'!$T$5:$T58,H55,'12月'!$X$5:$X58)</f>
        <v>0</v>
      </c>
      <c r="J55" s="138"/>
      <c r="K55" s="271"/>
    </row>
    <row r="56">
      <c r="B56" s="265"/>
      <c r="C56" s="55"/>
      <c r="D56" s="222">
        <f>SUMIF('6月'!$G$6:$G$13,C56,'6月'!$H$6:$H$13)+SUMIF('6月'!$C$19:$C58,C56,'6月'!$D$19:$D58)+SUMIF('6月'!$T$5:$T58,C56,'6月'!$X$5:$X58)</f>
        <v>0</v>
      </c>
      <c r="E56" s="138"/>
      <c r="F56" s="271"/>
      <c r="G56" s="265"/>
      <c r="H56" s="55"/>
      <c r="I56" s="222">
        <f>SUMIF('12月'!$G$6:$G$13,H56,'12月'!$H$6:$H$13)+SUMIF('12月'!$C$19:$C58,H56,'12月'!$D$19:$D58)+SUMIF('12月'!$T$5:$T58,H56,'12月'!$X$5:$X58)</f>
        <v>0</v>
      </c>
      <c r="J56" s="138"/>
      <c r="K56" s="271"/>
    </row>
    <row r="57">
      <c r="B57" s="96"/>
      <c r="C57" s="70" t="s">
        <v>60</v>
      </c>
      <c r="D57" s="227">
        <f>SUM(D50:D56)</f>
        <v>0</v>
      </c>
      <c r="E57" s="274"/>
      <c r="F57" s="274"/>
      <c r="G57" s="96"/>
      <c r="H57" s="70" t="s">
        <v>60</v>
      </c>
      <c r="I57" s="227">
        <f>SUM(I50:I56)</f>
        <v>0</v>
      </c>
      <c r="J57" s="274"/>
      <c r="K57" s="274"/>
    </row>
    <row r="58" ht="11.25" customHeight="1">
      <c r="B58" s="258"/>
      <c r="G58" s="258"/>
    </row>
  </sheetData>
  <mergeCells count="12">
    <mergeCell ref="B31:B39"/>
    <mergeCell ref="B40:B48"/>
    <mergeCell ref="B49:B57"/>
    <mergeCell ref="G40:G48"/>
    <mergeCell ref="G49:G57"/>
    <mergeCell ref="B4:B12"/>
    <mergeCell ref="G4:G12"/>
    <mergeCell ref="B13:B21"/>
    <mergeCell ref="G13:G21"/>
    <mergeCell ref="B22:B30"/>
    <mergeCell ref="G22:G30"/>
    <mergeCell ref="G31:G39"/>
  </mergeCells>
  <dataValidations>
    <dataValidation type="list" allowBlank="1" sqref="C5:C11 H5:H11 C14:C20 H14:H20 C23:C29 H23:H29 C32:C38 H32:H38 C41:C47 H41:H47 C50:C56 H50:H56">
      <formula1>list!$F$2:$F58</formula1>
    </dataValidation>
    <dataValidation type="custom" allowBlank="1" showDropDown="1" showErrorMessage="1" sqref="E5:E11 J5:J11 E14:E20 J14:J20 E23:E29 J23:J29 E32:E38 J32:J38 E41:E47 J41:J47 E50:E56 J50:J56">
      <formula1>OR(NOT(ISERROR(DATEVALUE(E5))), AND(ISNUMBER(E5), LEFT(CELL("format", E5))="D"))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6" t="s">
        <v>32</v>
      </c>
      <c r="B1" s="276" t="s">
        <v>199</v>
      </c>
      <c r="C1" s="276" t="s">
        <v>61</v>
      </c>
      <c r="D1" s="277" t="s">
        <v>86</v>
      </c>
      <c r="E1" s="277" t="s">
        <v>47</v>
      </c>
      <c r="F1" s="277" t="s">
        <v>43</v>
      </c>
      <c r="G1" s="278"/>
      <c r="H1" s="277"/>
      <c r="I1" s="278"/>
    </row>
    <row r="2">
      <c r="A2" s="279" t="s">
        <v>52</v>
      </c>
      <c r="B2" s="280" t="s">
        <v>54</v>
      </c>
      <c r="C2" s="279" t="s">
        <v>51</v>
      </c>
      <c r="D2" s="280" t="s">
        <v>155</v>
      </c>
      <c r="E2" s="280" t="s">
        <v>200</v>
      </c>
      <c r="F2" s="280" t="s">
        <v>58</v>
      </c>
      <c r="G2" s="281"/>
      <c r="H2" s="280"/>
      <c r="I2" s="281"/>
    </row>
    <row r="3">
      <c r="A3" s="279" t="s">
        <v>55</v>
      </c>
      <c r="B3" s="280" t="s">
        <v>59</v>
      </c>
      <c r="C3" s="279" t="s">
        <v>72</v>
      </c>
      <c r="D3" s="280" t="s">
        <v>89</v>
      </c>
      <c r="E3" s="280" t="s">
        <v>201</v>
      </c>
      <c r="F3" s="280" t="s">
        <v>71</v>
      </c>
      <c r="G3" s="281"/>
      <c r="H3" s="280"/>
    </row>
    <row r="4">
      <c r="A4" s="279" t="s">
        <v>144</v>
      </c>
      <c r="B4" s="280" t="s">
        <v>57</v>
      </c>
      <c r="C4" s="7" t="s">
        <v>147</v>
      </c>
      <c r="D4" s="280" t="s">
        <v>156</v>
      </c>
      <c r="E4" s="282" t="s">
        <v>202</v>
      </c>
      <c r="F4" s="282" t="s">
        <v>53</v>
      </c>
      <c r="G4" s="281"/>
      <c r="H4" s="281"/>
    </row>
    <row r="5">
      <c r="A5" s="279" t="s">
        <v>141</v>
      </c>
      <c r="B5" s="280" t="s">
        <v>203</v>
      </c>
      <c r="C5" s="283" t="s">
        <v>74</v>
      </c>
      <c r="D5" s="280" t="s">
        <v>157</v>
      </c>
      <c r="E5" s="282"/>
      <c r="F5" s="282" t="s">
        <v>56</v>
      </c>
      <c r="G5" s="281"/>
      <c r="H5" s="280"/>
    </row>
    <row r="6">
      <c r="A6" s="279" t="s">
        <v>142</v>
      </c>
      <c r="B6" s="280" t="s">
        <v>160</v>
      </c>
      <c r="C6" s="280" t="s">
        <v>149</v>
      </c>
      <c r="D6" s="279" t="s">
        <v>158</v>
      </c>
      <c r="E6" s="282"/>
      <c r="F6" s="282" t="s">
        <v>50</v>
      </c>
      <c r="G6" s="281"/>
      <c r="H6" s="280"/>
    </row>
    <row r="7">
      <c r="A7" s="279" t="s">
        <v>204</v>
      </c>
      <c r="B7" s="280" t="s">
        <v>161</v>
      </c>
      <c r="C7" s="279" t="s">
        <v>148</v>
      </c>
      <c r="D7" s="280" t="s">
        <v>193</v>
      </c>
      <c r="E7" s="282"/>
      <c r="F7" s="282"/>
      <c r="G7" s="281"/>
      <c r="H7" s="280"/>
    </row>
    <row r="8">
      <c r="A8" s="279" t="s">
        <v>143</v>
      </c>
      <c r="B8" s="280" t="s">
        <v>162</v>
      </c>
      <c r="C8" s="279" t="s">
        <v>78</v>
      </c>
      <c r="D8" s="283" t="s">
        <v>80</v>
      </c>
      <c r="E8" s="280"/>
      <c r="F8" s="280"/>
      <c r="G8" s="281"/>
      <c r="H8" s="280"/>
    </row>
    <row r="9">
      <c r="A9" s="279" t="s">
        <v>141</v>
      </c>
      <c r="B9" s="280" t="s">
        <v>163</v>
      </c>
      <c r="C9" s="279" t="s">
        <v>76</v>
      </c>
      <c r="D9" s="280"/>
      <c r="E9" s="280"/>
      <c r="F9" s="280"/>
      <c r="G9" s="281"/>
      <c r="H9" s="281"/>
    </row>
    <row r="10">
      <c r="A10" s="279" t="s">
        <v>205</v>
      </c>
      <c r="B10" s="280" t="s">
        <v>164</v>
      </c>
      <c r="C10" s="280" t="s">
        <v>150</v>
      </c>
      <c r="D10" s="282"/>
      <c r="E10" s="282"/>
      <c r="F10" s="282"/>
      <c r="G10" s="281"/>
      <c r="H10" s="281"/>
      <c r="I10" s="281"/>
    </row>
    <row r="11">
      <c r="A11" s="279"/>
      <c r="B11" s="283"/>
      <c r="C11" s="283" t="s">
        <v>68</v>
      </c>
      <c r="D11" s="282"/>
      <c r="E11" s="282"/>
      <c r="F11" s="282"/>
      <c r="G11" s="281"/>
      <c r="H11" s="281"/>
      <c r="I11" s="281"/>
    </row>
    <row r="12">
      <c r="A12" s="279"/>
      <c r="B12" s="279"/>
      <c r="C12" s="279" t="s">
        <v>70</v>
      </c>
      <c r="D12" s="280"/>
      <c r="E12" s="280"/>
      <c r="F12" s="280"/>
      <c r="G12" s="281"/>
      <c r="H12" s="281"/>
      <c r="I12" s="281"/>
    </row>
    <row r="13">
      <c r="A13" s="279"/>
      <c r="B13" s="279"/>
      <c r="C13" s="279" t="s">
        <v>73</v>
      </c>
      <c r="D13" s="280"/>
      <c r="E13" s="280"/>
      <c r="F13" s="280"/>
      <c r="G13" s="281"/>
      <c r="H13" s="284"/>
      <c r="I13" s="285"/>
    </row>
    <row r="14">
      <c r="A14" s="279"/>
      <c r="B14" s="279"/>
      <c r="C14" s="279" t="s">
        <v>75</v>
      </c>
      <c r="D14" s="280"/>
      <c r="E14" s="280"/>
      <c r="F14" s="280"/>
      <c r="G14" s="281"/>
      <c r="H14" s="284"/>
      <c r="I14" s="285"/>
    </row>
    <row r="15">
      <c r="A15" s="283"/>
      <c r="B15" s="279"/>
      <c r="C15" s="279" t="s">
        <v>77</v>
      </c>
      <c r="D15" s="280"/>
      <c r="E15" s="280"/>
      <c r="F15" s="280"/>
      <c r="G15" s="281"/>
      <c r="H15" s="284"/>
      <c r="I15" s="285"/>
    </row>
    <row r="16">
      <c r="A16" s="283"/>
      <c r="B16" s="279"/>
      <c r="C16" s="279" t="s">
        <v>79</v>
      </c>
      <c r="D16" s="280"/>
      <c r="E16" s="280"/>
      <c r="F16" s="280"/>
      <c r="G16" s="281"/>
      <c r="H16" s="284"/>
      <c r="I16" s="285"/>
    </row>
    <row r="17">
      <c r="A17" s="280"/>
      <c r="B17" s="279"/>
      <c r="C17" s="279" t="s">
        <v>81</v>
      </c>
      <c r="D17" s="280"/>
      <c r="E17" s="280"/>
      <c r="F17" s="280"/>
      <c r="G17" s="281"/>
      <c r="H17" s="286"/>
      <c r="I17" s="285"/>
    </row>
    <row r="18">
      <c r="A18" s="279"/>
      <c r="B18" s="283"/>
      <c r="C18" s="283" t="s">
        <v>206</v>
      </c>
      <c r="D18" s="281"/>
      <c r="E18" s="281"/>
      <c r="F18" s="281"/>
      <c r="G18" s="281"/>
      <c r="H18" s="286"/>
      <c r="I18" s="285"/>
    </row>
    <row r="19">
      <c r="A19" s="279"/>
      <c r="B19" s="283"/>
      <c r="C19" s="283" t="s">
        <v>82</v>
      </c>
      <c r="D19" s="285"/>
      <c r="E19" s="285"/>
      <c r="F19" s="285"/>
      <c r="G19" s="281"/>
      <c r="H19" s="286"/>
      <c r="I19" s="285"/>
    </row>
    <row r="20">
      <c r="A20" s="280"/>
      <c r="B20" s="280"/>
      <c r="C20" s="280" t="s">
        <v>207</v>
      </c>
      <c r="D20" s="282"/>
      <c r="E20" s="282"/>
      <c r="F20" s="282"/>
      <c r="G20" s="281"/>
      <c r="H20" s="286"/>
      <c r="I20" s="285"/>
    </row>
    <row r="21">
      <c r="A21" s="283"/>
      <c r="B21" s="279"/>
      <c r="C21" s="279" t="s">
        <v>208</v>
      </c>
      <c r="D21" s="280"/>
      <c r="E21" s="280"/>
      <c r="F21" s="282"/>
      <c r="G21" s="281"/>
      <c r="H21" s="286"/>
      <c r="I21" s="285"/>
    </row>
    <row r="22">
      <c r="A22" s="283"/>
      <c r="B22" s="279"/>
      <c r="C22" s="279" t="s">
        <v>209</v>
      </c>
      <c r="D22" s="282"/>
      <c r="E22" s="282"/>
      <c r="F22" s="285"/>
      <c r="G22" s="281"/>
      <c r="H22" s="286"/>
      <c r="I22" s="285"/>
    </row>
    <row r="23">
      <c r="A23" s="283"/>
      <c r="B23" s="279"/>
      <c r="C23" s="279" t="s">
        <v>210</v>
      </c>
      <c r="D23" s="282"/>
      <c r="E23" s="282"/>
      <c r="F23" s="285"/>
      <c r="G23" s="281"/>
      <c r="H23" s="286"/>
      <c r="I23" s="285"/>
    </row>
    <row r="24">
      <c r="A24" s="279"/>
      <c r="B24" s="283"/>
      <c r="C24" s="283" t="s">
        <v>80</v>
      </c>
      <c r="D24" s="285"/>
      <c r="E24" s="285"/>
      <c r="F24" s="285"/>
      <c r="G24" s="281"/>
      <c r="H24" s="286"/>
      <c r="I24" s="285"/>
    </row>
    <row r="25">
      <c r="A25" s="279"/>
      <c r="B25" s="280"/>
      <c r="D25" s="285"/>
      <c r="E25" s="285"/>
      <c r="F25" s="285"/>
      <c r="G25" s="281"/>
      <c r="H25" s="286"/>
      <c r="I25" s="285"/>
    </row>
    <row r="26">
      <c r="A26" s="279"/>
      <c r="B26" s="280"/>
      <c r="F26" s="285"/>
      <c r="G26" s="281"/>
      <c r="H26" s="286"/>
      <c r="I26" s="285"/>
    </row>
    <row r="27">
      <c r="A27" s="279"/>
      <c r="B27" s="280"/>
      <c r="D27" s="285"/>
      <c r="E27" s="285"/>
      <c r="F27" s="285"/>
      <c r="G27" s="281"/>
      <c r="H27" s="286"/>
      <c r="I27" s="285"/>
    </row>
    <row r="28">
      <c r="A28" s="279"/>
      <c r="B28" s="280"/>
      <c r="D28" s="285"/>
      <c r="E28" s="285"/>
      <c r="F28" s="285"/>
      <c r="G28" s="281"/>
      <c r="H28" s="286"/>
      <c r="I28" s="285"/>
    </row>
    <row r="29">
      <c r="A29" s="279"/>
      <c r="B29" s="280"/>
      <c r="D29" s="285"/>
      <c r="E29" s="285"/>
      <c r="F29" s="285"/>
      <c r="G29" s="281"/>
      <c r="H29" s="286"/>
      <c r="I29" s="285"/>
    </row>
    <row r="30">
      <c r="B30" s="280"/>
      <c r="D30" s="285"/>
      <c r="E30" s="285"/>
      <c r="F30" s="285"/>
      <c r="G30" s="281"/>
      <c r="H30" s="286"/>
      <c r="I30" s="285"/>
    </row>
    <row r="31">
      <c r="B31" s="280"/>
      <c r="D31" s="281"/>
      <c r="E31" s="281"/>
      <c r="F31" s="281"/>
      <c r="G31" s="281"/>
      <c r="H31" s="286"/>
      <c r="I31" s="285"/>
    </row>
    <row r="32">
      <c r="B32" s="280"/>
      <c r="D32" s="281"/>
      <c r="E32" s="281"/>
      <c r="F32" s="280"/>
      <c r="G32" s="281"/>
      <c r="H32" s="286"/>
      <c r="I32" s="285"/>
    </row>
    <row r="33">
      <c r="A33" s="281"/>
      <c r="B33" s="281"/>
      <c r="C33" s="281"/>
      <c r="D33" s="281"/>
      <c r="E33" s="281"/>
      <c r="F33" s="281"/>
      <c r="G33" s="281"/>
      <c r="H33" s="281"/>
      <c r="I33" s="285"/>
    </row>
    <row r="34">
      <c r="A34" s="281"/>
      <c r="B34" s="281"/>
      <c r="C34" s="281"/>
      <c r="D34" s="281"/>
      <c r="E34" s="281"/>
      <c r="F34" s="281"/>
      <c r="G34" s="281"/>
      <c r="H34" s="281"/>
      <c r="I34" s="281"/>
    </row>
    <row r="35">
      <c r="A35" s="281"/>
      <c r="B35" s="281"/>
      <c r="C35" s="281"/>
      <c r="D35" s="281"/>
      <c r="E35" s="281"/>
      <c r="F35" s="281"/>
      <c r="G35" s="281"/>
      <c r="H35" s="281"/>
      <c r="I35" s="281"/>
    </row>
    <row r="36">
      <c r="A36" s="281"/>
      <c r="B36" s="281"/>
      <c r="C36" s="281"/>
      <c r="D36" s="281"/>
      <c r="E36" s="281"/>
      <c r="G36" s="281"/>
      <c r="H36" s="281"/>
      <c r="I36" s="281"/>
    </row>
    <row r="37">
      <c r="A37" s="281"/>
      <c r="B37" s="281"/>
      <c r="C37" s="281"/>
      <c r="D37" s="281"/>
      <c r="E37" s="281"/>
      <c r="G37" s="281"/>
      <c r="H37" s="281"/>
      <c r="I37" s="281"/>
    </row>
    <row r="38">
      <c r="A38" s="281"/>
      <c r="B38" s="281"/>
      <c r="C38" s="281"/>
      <c r="D38" s="281"/>
      <c r="E38" s="281"/>
      <c r="G38" s="281"/>
      <c r="H38" s="281"/>
      <c r="I38" s="281"/>
    </row>
    <row r="39">
      <c r="A39" s="281"/>
      <c r="B39" s="281"/>
      <c r="C39" s="281"/>
      <c r="D39" s="281"/>
      <c r="E39" s="281"/>
      <c r="G39" s="281"/>
      <c r="H39" s="281"/>
      <c r="I39" s="281"/>
    </row>
    <row r="40">
      <c r="A40" s="281"/>
      <c r="B40" s="281"/>
      <c r="C40" s="281"/>
      <c r="D40" s="281"/>
      <c r="E40" s="281"/>
      <c r="F40" s="281"/>
      <c r="G40" s="281"/>
      <c r="H40" s="281"/>
      <c r="I40" s="281"/>
    </row>
    <row r="41">
      <c r="A41" s="281"/>
      <c r="B41" s="281"/>
      <c r="C41" s="281"/>
      <c r="D41" s="281"/>
      <c r="E41" s="281"/>
      <c r="F41" s="281"/>
      <c r="G41" s="281"/>
      <c r="H41" s="281"/>
      <c r="I41" s="281"/>
    </row>
    <row r="42">
      <c r="A42" s="281"/>
      <c r="B42" s="281"/>
      <c r="C42" s="281"/>
      <c r="D42" s="281"/>
      <c r="E42" s="281"/>
      <c r="F42" s="281"/>
      <c r="G42" s="281"/>
      <c r="H42" s="281"/>
      <c r="I42" s="281"/>
    </row>
    <row r="43">
      <c r="A43" s="281"/>
      <c r="B43" s="281"/>
      <c r="C43" s="281"/>
      <c r="D43" s="281"/>
      <c r="E43" s="281"/>
      <c r="F43" s="281"/>
      <c r="G43" s="281"/>
      <c r="H43" s="281"/>
      <c r="I43" s="281"/>
    </row>
    <row r="44">
      <c r="A44" s="281"/>
      <c r="B44" s="281"/>
      <c r="C44" s="281"/>
      <c r="D44" s="281"/>
      <c r="E44" s="281"/>
      <c r="F44" s="281"/>
      <c r="G44" s="281"/>
      <c r="H44" s="281"/>
      <c r="I44" s="281"/>
    </row>
    <row r="45">
      <c r="A45" s="281"/>
      <c r="B45" s="281"/>
      <c r="C45" s="281"/>
      <c r="D45" s="281"/>
      <c r="E45" s="281"/>
      <c r="F45" s="281"/>
      <c r="G45" s="281"/>
      <c r="H45" s="281"/>
      <c r="I45" s="281"/>
    </row>
    <row r="46">
      <c r="A46" s="281"/>
      <c r="B46" s="281"/>
      <c r="C46" s="281"/>
      <c r="D46" s="281"/>
      <c r="E46" s="281"/>
      <c r="F46" s="281"/>
      <c r="G46" s="281"/>
      <c r="H46" s="281"/>
      <c r="I46" s="281"/>
    </row>
    <row r="47">
      <c r="A47" s="281"/>
      <c r="B47" s="281"/>
      <c r="C47" s="281"/>
      <c r="D47" s="281"/>
      <c r="E47" s="281"/>
      <c r="F47" s="281"/>
      <c r="G47" s="281"/>
      <c r="H47" s="281"/>
      <c r="I47" s="281"/>
    </row>
    <row r="48">
      <c r="A48" s="281"/>
      <c r="B48" s="281"/>
      <c r="C48" s="281"/>
      <c r="D48" s="281"/>
      <c r="E48" s="281"/>
      <c r="F48" s="281"/>
      <c r="G48" s="281"/>
      <c r="H48" s="281"/>
      <c r="I48" s="281"/>
    </row>
    <row r="49">
      <c r="A49" s="281"/>
      <c r="B49" s="281"/>
      <c r="C49" s="281"/>
      <c r="D49" s="281"/>
      <c r="E49" s="281"/>
      <c r="F49" s="281"/>
      <c r="G49" s="281"/>
      <c r="H49" s="281"/>
      <c r="I49" s="281"/>
    </row>
    <row r="50">
      <c r="A50" s="281"/>
      <c r="B50" s="281"/>
      <c r="C50" s="281"/>
      <c r="D50" s="281"/>
      <c r="E50" s="281"/>
      <c r="F50" s="281"/>
      <c r="G50" s="281"/>
      <c r="H50" s="281"/>
      <c r="I50" s="281"/>
    </row>
    <row r="51">
      <c r="A51" s="281"/>
      <c r="B51" s="281"/>
      <c r="C51" s="281"/>
      <c r="D51" s="281"/>
      <c r="E51" s="281"/>
      <c r="F51" s="281"/>
      <c r="G51" s="281"/>
      <c r="H51" s="281"/>
      <c r="I51" s="281"/>
    </row>
    <row r="52">
      <c r="A52" s="281"/>
      <c r="B52" s="281"/>
      <c r="C52" s="281"/>
      <c r="D52" s="281"/>
      <c r="E52" s="281"/>
      <c r="F52" s="281"/>
      <c r="G52" s="281"/>
      <c r="H52" s="281"/>
      <c r="I52" s="281"/>
    </row>
    <row r="53">
      <c r="A53" s="281"/>
      <c r="B53" s="281"/>
      <c r="C53" s="281"/>
      <c r="D53" s="281"/>
      <c r="E53" s="281"/>
      <c r="F53" s="281"/>
      <c r="G53" s="281"/>
      <c r="H53" s="281"/>
      <c r="I53" s="281"/>
    </row>
    <row r="54">
      <c r="A54" s="281"/>
      <c r="B54" s="281"/>
      <c r="C54" s="281"/>
      <c r="D54" s="281"/>
      <c r="E54" s="281"/>
      <c r="F54" s="281"/>
      <c r="G54" s="281"/>
      <c r="H54" s="281"/>
      <c r="I54" s="281"/>
    </row>
    <row r="55">
      <c r="A55" s="281"/>
      <c r="B55" s="281"/>
      <c r="C55" s="281"/>
      <c r="D55" s="281"/>
      <c r="E55" s="281"/>
      <c r="F55" s="281"/>
      <c r="G55" s="281"/>
      <c r="H55" s="281"/>
      <c r="I55" s="281"/>
    </row>
    <row r="56">
      <c r="A56" s="281"/>
      <c r="B56" s="281"/>
      <c r="C56" s="281"/>
      <c r="D56" s="281"/>
      <c r="E56" s="281"/>
      <c r="F56" s="281"/>
      <c r="G56" s="281"/>
      <c r="H56" s="281"/>
      <c r="I56" s="281"/>
    </row>
    <row r="57">
      <c r="A57" s="281"/>
      <c r="B57" s="281"/>
      <c r="C57" s="281"/>
      <c r="D57" s="281"/>
      <c r="E57" s="281"/>
      <c r="F57" s="281"/>
      <c r="G57" s="281"/>
      <c r="H57" s="281"/>
      <c r="I57" s="281"/>
    </row>
    <row r="58">
      <c r="A58" s="281"/>
      <c r="B58" s="281"/>
      <c r="C58" s="281"/>
      <c r="D58" s="281"/>
      <c r="E58" s="281"/>
      <c r="F58" s="281"/>
      <c r="G58" s="281"/>
      <c r="H58" s="281"/>
      <c r="I58" s="281"/>
    </row>
    <row r="59">
      <c r="A59" s="281"/>
      <c r="B59" s="281"/>
      <c r="C59" s="281"/>
      <c r="D59" s="281"/>
      <c r="E59" s="281"/>
      <c r="F59" s="281"/>
      <c r="G59" s="281"/>
      <c r="H59" s="281"/>
      <c r="I59" s="281"/>
    </row>
    <row r="60">
      <c r="A60" s="281"/>
      <c r="B60" s="281"/>
      <c r="C60" s="281"/>
      <c r="D60" s="281"/>
      <c r="E60" s="281"/>
      <c r="F60" s="281"/>
      <c r="G60" s="281"/>
      <c r="H60" s="281"/>
      <c r="I60" s="281"/>
    </row>
    <row r="61">
      <c r="A61" s="281"/>
      <c r="B61" s="281"/>
      <c r="C61" s="281"/>
      <c r="D61" s="281"/>
      <c r="E61" s="281"/>
      <c r="F61" s="281"/>
      <c r="G61" s="281"/>
      <c r="H61" s="281"/>
      <c r="I61" s="281"/>
    </row>
    <row r="62">
      <c r="A62" s="281"/>
      <c r="B62" s="281"/>
      <c r="C62" s="281"/>
      <c r="D62" s="281"/>
      <c r="E62" s="281"/>
      <c r="F62" s="281"/>
      <c r="G62" s="281"/>
      <c r="H62" s="281"/>
      <c r="I62" s="281"/>
    </row>
    <row r="63">
      <c r="A63" s="281"/>
      <c r="B63" s="281"/>
      <c r="C63" s="281"/>
      <c r="D63" s="281"/>
      <c r="E63" s="281"/>
      <c r="F63" s="281"/>
      <c r="G63" s="281"/>
      <c r="H63" s="281"/>
      <c r="I63" s="281"/>
    </row>
    <row r="64">
      <c r="A64" s="281"/>
      <c r="B64" s="281"/>
      <c r="C64" s="281"/>
      <c r="D64" s="281"/>
      <c r="E64" s="281"/>
      <c r="F64" s="281"/>
      <c r="G64" s="281"/>
      <c r="H64" s="281"/>
      <c r="I64" s="281"/>
    </row>
    <row r="65">
      <c r="A65" s="281"/>
      <c r="B65" s="281"/>
      <c r="C65" s="281"/>
      <c r="D65" s="281"/>
      <c r="E65" s="281"/>
      <c r="F65" s="281"/>
      <c r="G65" s="281"/>
      <c r="H65" s="281"/>
      <c r="I65" s="281"/>
    </row>
    <row r="66">
      <c r="A66" s="281"/>
      <c r="B66" s="281"/>
      <c r="C66" s="281"/>
      <c r="D66" s="281"/>
      <c r="E66" s="281"/>
      <c r="F66" s="281"/>
      <c r="G66" s="281"/>
      <c r="H66" s="281"/>
      <c r="I66" s="281"/>
    </row>
    <row r="67">
      <c r="A67" s="281"/>
      <c r="B67" s="281"/>
      <c r="C67" s="281"/>
      <c r="D67" s="281"/>
      <c r="E67" s="281"/>
      <c r="F67" s="281"/>
      <c r="G67" s="281"/>
      <c r="H67" s="281"/>
      <c r="I67" s="281"/>
    </row>
    <row r="68">
      <c r="A68" s="281"/>
      <c r="B68" s="281"/>
      <c r="C68" s="281"/>
      <c r="D68" s="281"/>
      <c r="E68" s="281"/>
      <c r="F68" s="281"/>
      <c r="G68" s="281"/>
      <c r="H68" s="281"/>
      <c r="I68" s="281"/>
    </row>
    <row r="69">
      <c r="A69" s="281"/>
      <c r="B69" s="281"/>
      <c r="C69" s="281"/>
      <c r="D69" s="281"/>
      <c r="E69" s="281"/>
      <c r="F69" s="281"/>
      <c r="G69" s="281"/>
      <c r="H69" s="281"/>
      <c r="I69" s="281"/>
    </row>
    <row r="70">
      <c r="A70" s="281"/>
      <c r="B70" s="281"/>
      <c r="C70" s="281"/>
      <c r="D70" s="281"/>
      <c r="E70" s="281"/>
      <c r="F70" s="281"/>
      <c r="G70" s="281"/>
      <c r="H70" s="281"/>
      <c r="I70" s="281"/>
    </row>
    <row r="71">
      <c r="A71" s="281"/>
      <c r="B71" s="281"/>
      <c r="C71" s="281"/>
      <c r="D71" s="281"/>
      <c r="E71" s="281"/>
      <c r="F71" s="281"/>
      <c r="G71" s="281"/>
      <c r="H71" s="281"/>
      <c r="I71" s="281"/>
    </row>
    <row r="72">
      <c r="A72" s="281"/>
      <c r="B72" s="281"/>
      <c r="C72" s="281"/>
      <c r="D72" s="281"/>
      <c r="E72" s="281"/>
      <c r="F72" s="281"/>
      <c r="G72" s="281"/>
      <c r="H72" s="281"/>
      <c r="I72" s="281"/>
    </row>
    <row r="73">
      <c r="A73" s="281"/>
      <c r="B73" s="281"/>
      <c r="C73" s="281"/>
      <c r="D73" s="281"/>
      <c r="E73" s="281"/>
      <c r="F73" s="281"/>
      <c r="G73" s="281"/>
      <c r="H73" s="281"/>
      <c r="I73" s="281"/>
    </row>
    <row r="74">
      <c r="A74" s="281"/>
      <c r="B74" s="281"/>
      <c r="C74" s="281"/>
      <c r="D74" s="281"/>
      <c r="E74" s="281"/>
      <c r="F74" s="281"/>
      <c r="G74" s="281"/>
      <c r="H74" s="281"/>
      <c r="I74" s="281"/>
    </row>
    <row r="75">
      <c r="A75" s="281"/>
      <c r="B75" s="281"/>
      <c r="C75" s="281"/>
      <c r="D75" s="281"/>
      <c r="E75" s="281"/>
      <c r="F75" s="281"/>
      <c r="G75" s="281"/>
      <c r="H75" s="281"/>
      <c r="I75" s="281"/>
    </row>
    <row r="76">
      <c r="A76" s="281"/>
      <c r="B76" s="281"/>
      <c r="C76" s="281"/>
      <c r="D76" s="281"/>
      <c r="E76" s="281"/>
      <c r="F76" s="281"/>
      <c r="G76" s="281"/>
      <c r="H76" s="281"/>
      <c r="I76" s="281"/>
    </row>
    <row r="77">
      <c r="A77" s="281"/>
      <c r="B77" s="281"/>
      <c r="C77" s="281"/>
      <c r="D77" s="281"/>
      <c r="E77" s="281"/>
      <c r="F77" s="281"/>
      <c r="G77" s="281"/>
      <c r="H77" s="281"/>
      <c r="I77" s="281"/>
    </row>
    <row r="78">
      <c r="A78" s="281"/>
      <c r="B78" s="281"/>
      <c r="C78" s="281"/>
      <c r="D78" s="281"/>
      <c r="E78" s="281"/>
      <c r="F78" s="281"/>
      <c r="G78" s="281"/>
      <c r="H78" s="281"/>
      <c r="I78" s="281"/>
    </row>
    <row r="79">
      <c r="A79" s="281"/>
      <c r="B79" s="281"/>
      <c r="C79" s="281"/>
      <c r="D79" s="281"/>
      <c r="E79" s="281"/>
      <c r="F79" s="281"/>
      <c r="G79" s="281"/>
      <c r="H79" s="281"/>
      <c r="I79" s="281"/>
    </row>
    <row r="80">
      <c r="A80" s="281"/>
      <c r="B80" s="281"/>
      <c r="C80" s="281"/>
      <c r="D80" s="281"/>
      <c r="E80" s="281"/>
      <c r="F80" s="281"/>
      <c r="G80" s="281"/>
      <c r="H80" s="281"/>
      <c r="I80" s="281"/>
    </row>
    <row r="81">
      <c r="A81" s="281"/>
      <c r="B81" s="281"/>
      <c r="C81" s="281"/>
      <c r="D81" s="281"/>
      <c r="E81" s="281"/>
      <c r="F81" s="281"/>
      <c r="G81" s="281"/>
      <c r="H81" s="281"/>
      <c r="I81" s="281"/>
    </row>
    <row r="82">
      <c r="A82" s="281"/>
      <c r="B82" s="281"/>
      <c r="C82" s="281"/>
      <c r="D82" s="281"/>
      <c r="E82" s="281"/>
      <c r="F82" s="281"/>
      <c r="G82" s="281"/>
      <c r="H82" s="281"/>
      <c r="I82" s="281"/>
    </row>
    <row r="83">
      <c r="A83" s="281"/>
      <c r="B83" s="281"/>
      <c r="C83" s="281"/>
      <c r="D83" s="281"/>
      <c r="E83" s="281"/>
      <c r="F83" s="281"/>
      <c r="G83" s="281"/>
      <c r="H83" s="281"/>
      <c r="I83" s="281"/>
    </row>
    <row r="84">
      <c r="A84" s="281"/>
      <c r="B84" s="281"/>
      <c r="C84" s="281"/>
      <c r="D84" s="281"/>
      <c r="E84" s="281"/>
      <c r="F84" s="281"/>
      <c r="G84" s="281"/>
      <c r="H84" s="281"/>
      <c r="I84" s="281"/>
    </row>
    <row r="85">
      <c r="A85" s="281"/>
      <c r="B85" s="281"/>
      <c r="C85" s="281"/>
      <c r="D85" s="281"/>
      <c r="E85" s="281"/>
      <c r="F85" s="281"/>
      <c r="G85" s="281"/>
      <c r="H85" s="281"/>
      <c r="I85" s="281"/>
    </row>
    <row r="86">
      <c r="A86" s="281"/>
      <c r="B86" s="281"/>
      <c r="C86" s="281"/>
      <c r="D86" s="281"/>
      <c r="E86" s="281"/>
      <c r="F86" s="281"/>
      <c r="G86" s="281"/>
      <c r="H86" s="281"/>
      <c r="I86" s="281"/>
    </row>
    <row r="87">
      <c r="A87" s="281"/>
      <c r="B87" s="281"/>
      <c r="C87" s="281"/>
      <c r="D87" s="281"/>
      <c r="E87" s="281"/>
      <c r="F87" s="281"/>
      <c r="G87" s="281"/>
      <c r="H87" s="281"/>
      <c r="I87" s="281"/>
    </row>
    <row r="88">
      <c r="A88" s="281"/>
      <c r="B88" s="281"/>
      <c r="C88" s="281"/>
      <c r="D88" s="281"/>
      <c r="E88" s="281"/>
      <c r="F88" s="281"/>
      <c r="G88" s="281"/>
      <c r="H88" s="281"/>
      <c r="I88" s="281"/>
    </row>
    <row r="89">
      <c r="A89" s="281"/>
      <c r="B89" s="281"/>
      <c r="C89" s="281"/>
      <c r="D89" s="281"/>
      <c r="E89" s="281"/>
      <c r="F89" s="281"/>
      <c r="G89" s="281"/>
      <c r="H89" s="281"/>
      <c r="I89" s="281"/>
    </row>
    <row r="90">
      <c r="A90" s="281"/>
      <c r="B90" s="281"/>
      <c r="C90" s="281"/>
      <c r="D90" s="281"/>
      <c r="E90" s="281"/>
      <c r="F90" s="281"/>
      <c r="G90" s="281"/>
      <c r="H90" s="281"/>
      <c r="I90" s="281"/>
    </row>
    <row r="91">
      <c r="A91" s="281"/>
      <c r="B91" s="281"/>
      <c r="C91" s="281"/>
      <c r="D91" s="281"/>
      <c r="E91" s="281"/>
      <c r="F91" s="281"/>
      <c r="G91" s="281"/>
      <c r="H91" s="281"/>
      <c r="I91" s="281"/>
    </row>
    <row r="92">
      <c r="A92" s="281"/>
      <c r="B92" s="281"/>
      <c r="C92" s="281"/>
      <c r="D92" s="281"/>
      <c r="E92" s="281"/>
      <c r="F92" s="281"/>
      <c r="G92" s="281"/>
      <c r="H92" s="281"/>
      <c r="I92" s="281"/>
    </row>
    <row r="93">
      <c r="A93" s="281"/>
      <c r="B93" s="281"/>
      <c r="C93" s="281"/>
      <c r="D93" s="281"/>
      <c r="E93" s="281"/>
      <c r="F93" s="281"/>
      <c r="G93" s="281"/>
      <c r="H93" s="281"/>
      <c r="I93" s="281"/>
    </row>
    <row r="94">
      <c r="A94" s="281"/>
      <c r="B94" s="281"/>
      <c r="C94" s="281"/>
      <c r="D94" s="281"/>
      <c r="E94" s="281"/>
      <c r="F94" s="281"/>
      <c r="G94" s="281"/>
      <c r="H94" s="281"/>
      <c r="I94" s="281"/>
    </row>
    <row r="95">
      <c r="A95" s="281"/>
      <c r="B95" s="281"/>
      <c r="C95" s="281"/>
      <c r="D95" s="281"/>
      <c r="E95" s="281"/>
      <c r="F95" s="281"/>
      <c r="G95" s="281"/>
      <c r="H95" s="281"/>
      <c r="I95" s="281"/>
    </row>
    <row r="96">
      <c r="A96" s="281"/>
      <c r="B96" s="281"/>
      <c r="C96" s="281"/>
      <c r="D96" s="281"/>
      <c r="E96" s="281"/>
      <c r="F96" s="281"/>
      <c r="G96" s="281"/>
      <c r="H96" s="281"/>
      <c r="I96" s="281"/>
    </row>
    <row r="97">
      <c r="A97" s="281"/>
      <c r="B97" s="281"/>
      <c r="C97" s="281"/>
      <c r="D97" s="281"/>
      <c r="E97" s="281"/>
      <c r="F97" s="281"/>
      <c r="G97" s="281"/>
      <c r="H97" s="281"/>
      <c r="I97" s="281"/>
    </row>
    <row r="98">
      <c r="A98" s="281"/>
      <c r="B98" s="281"/>
      <c r="C98" s="281"/>
      <c r="D98" s="281"/>
      <c r="E98" s="281"/>
      <c r="F98" s="281"/>
      <c r="G98" s="281"/>
      <c r="H98" s="281"/>
      <c r="I98" s="281"/>
    </row>
    <row r="99">
      <c r="A99" s="281"/>
      <c r="B99" s="281"/>
      <c r="C99" s="281"/>
      <c r="D99" s="281"/>
      <c r="E99" s="281"/>
      <c r="F99" s="281"/>
      <c r="G99" s="281"/>
      <c r="H99" s="281"/>
      <c r="I99" s="281"/>
    </row>
    <row r="100">
      <c r="A100" s="281"/>
      <c r="B100" s="281"/>
      <c r="C100" s="281"/>
      <c r="D100" s="281"/>
      <c r="E100" s="281"/>
      <c r="F100" s="281"/>
      <c r="G100" s="281"/>
      <c r="H100" s="281"/>
      <c r="I100" s="281"/>
    </row>
    <row r="101">
      <c r="A101" s="281"/>
      <c r="B101" s="281"/>
      <c r="C101" s="281"/>
      <c r="D101" s="281"/>
      <c r="E101" s="281"/>
      <c r="F101" s="281"/>
      <c r="G101" s="281"/>
      <c r="H101" s="281"/>
      <c r="I101" s="281"/>
    </row>
    <row r="102">
      <c r="A102" s="281"/>
      <c r="B102" s="281"/>
      <c r="C102" s="281"/>
      <c r="D102" s="281"/>
      <c r="E102" s="281"/>
      <c r="F102" s="281"/>
      <c r="G102" s="281"/>
      <c r="H102" s="281"/>
      <c r="I102" s="281"/>
    </row>
    <row r="103">
      <c r="A103" s="281"/>
      <c r="B103" s="281"/>
      <c r="C103" s="281"/>
      <c r="D103" s="281"/>
      <c r="E103" s="281"/>
      <c r="F103" s="281"/>
      <c r="G103" s="281"/>
      <c r="H103" s="281"/>
      <c r="I103" s="281"/>
    </row>
    <row r="104">
      <c r="A104" s="281"/>
      <c r="B104" s="281"/>
      <c r="C104" s="281"/>
      <c r="D104" s="281"/>
      <c r="E104" s="281"/>
      <c r="F104" s="281"/>
      <c r="G104" s="281"/>
      <c r="H104" s="281"/>
      <c r="I104" s="281"/>
    </row>
    <row r="105">
      <c r="A105" s="281"/>
      <c r="B105" s="281"/>
      <c r="C105" s="281"/>
      <c r="D105" s="281"/>
      <c r="E105" s="281"/>
      <c r="F105" s="281"/>
      <c r="G105" s="281"/>
      <c r="H105" s="281"/>
      <c r="I105" s="281"/>
    </row>
    <row r="106">
      <c r="A106" s="281"/>
      <c r="B106" s="281"/>
      <c r="C106" s="281"/>
      <c r="D106" s="281"/>
      <c r="E106" s="281"/>
      <c r="F106" s="281"/>
      <c r="G106" s="281"/>
      <c r="H106" s="281"/>
      <c r="I106" s="281"/>
    </row>
    <row r="107">
      <c r="A107" s="281"/>
      <c r="B107" s="281"/>
      <c r="C107" s="281"/>
      <c r="D107" s="281"/>
      <c r="E107" s="281"/>
      <c r="F107" s="281"/>
      <c r="G107" s="281"/>
      <c r="H107" s="281"/>
      <c r="I107" s="281"/>
    </row>
    <row r="108">
      <c r="A108" s="281"/>
      <c r="B108" s="281"/>
      <c r="C108" s="281"/>
      <c r="D108" s="281"/>
      <c r="E108" s="281"/>
      <c r="F108" s="281"/>
      <c r="G108" s="281"/>
      <c r="H108" s="281"/>
      <c r="I108" s="281"/>
    </row>
    <row r="109">
      <c r="A109" s="281"/>
      <c r="B109" s="281"/>
      <c r="C109" s="281"/>
      <c r="D109" s="281"/>
      <c r="E109" s="281"/>
      <c r="F109" s="281"/>
      <c r="G109" s="281"/>
      <c r="H109" s="281"/>
      <c r="I109" s="281"/>
    </row>
    <row r="110">
      <c r="A110" s="281"/>
      <c r="B110" s="281"/>
      <c r="C110" s="281"/>
      <c r="D110" s="281"/>
      <c r="E110" s="281"/>
      <c r="F110" s="281"/>
      <c r="G110" s="281"/>
      <c r="H110" s="281"/>
      <c r="I110" s="281"/>
    </row>
    <row r="111">
      <c r="A111" s="281"/>
      <c r="B111" s="281"/>
      <c r="C111" s="281"/>
      <c r="D111" s="281"/>
      <c r="E111" s="281"/>
      <c r="F111" s="281"/>
      <c r="G111" s="281"/>
      <c r="H111" s="281"/>
      <c r="I111" s="281"/>
    </row>
    <row r="112">
      <c r="A112" s="281"/>
      <c r="B112" s="281"/>
      <c r="C112" s="281"/>
      <c r="D112" s="281"/>
      <c r="E112" s="281"/>
      <c r="F112" s="281"/>
      <c r="G112" s="281"/>
      <c r="H112" s="281"/>
      <c r="I112" s="281"/>
    </row>
    <row r="113">
      <c r="A113" s="281"/>
      <c r="B113" s="281"/>
      <c r="C113" s="281"/>
      <c r="D113" s="281"/>
      <c r="E113" s="281"/>
      <c r="F113" s="281"/>
      <c r="G113" s="281"/>
      <c r="H113" s="281"/>
      <c r="I113" s="281"/>
    </row>
    <row r="114">
      <c r="A114" s="281"/>
      <c r="B114" s="281"/>
      <c r="C114" s="281"/>
      <c r="D114" s="281"/>
      <c r="E114" s="281"/>
      <c r="F114" s="281"/>
      <c r="G114" s="281"/>
      <c r="H114" s="281"/>
      <c r="I114" s="281"/>
    </row>
    <row r="115">
      <c r="A115" s="281"/>
      <c r="B115" s="281"/>
      <c r="C115" s="281"/>
      <c r="D115" s="281"/>
      <c r="E115" s="281"/>
      <c r="F115" s="281"/>
      <c r="G115" s="281"/>
      <c r="H115" s="281"/>
      <c r="I115" s="281"/>
    </row>
    <row r="116">
      <c r="A116" s="281"/>
      <c r="B116" s="281"/>
      <c r="C116" s="281"/>
      <c r="D116" s="281"/>
      <c r="E116" s="281"/>
      <c r="F116" s="281"/>
      <c r="G116" s="281"/>
      <c r="H116" s="281"/>
      <c r="I116" s="281"/>
    </row>
    <row r="117">
      <c r="A117" s="281"/>
      <c r="B117" s="281"/>
      <c r="C117" s="281"/>
      <c r="D117" s="281"/>
      <c r="E117" s="281"/>
      <c r="F117" s="281"/>
      <c r="G117" s="281"/>
      <c r="H117" s="281"/>
      <c r="I117" s="281"/>
    </row>
    <row r="118">
      <c r="A118" s="281"/>
      <c r="B118" s="281"/>
      <c r="C118" s="281"/>
      <c r="D118" s="281"/>
      <c r="E118" s="281"/>
      <c r="F118" s="281"/>
      <c r="G118" s="281"/>
      <c r="H118" s="281"/>
      <c r="I118" s="281"/>
    </row>
    <row r="119">
      <c r="A119" s="281"/>
      <c r="B119" s="281"/>
      <c r="C119" s="281"/>
      <c r="D119" s="281"/>
      <c r="E119" s="281"/>
      <c r="F119" s="281"/>
      <c r="G119" s="281"/>
      <c r="H119" s="281"/>
      <c r="I119" s="281"/>
    </row>
    <row r="120">
      <c r="A120" s="281"/>
      <c r="B120" s="281"/>
      <c r="C120" s="281"/>
      <c r="D120" s="281"/>
      <c r="E120" s="281"/>
      <c r="F120" s="281"/>
      <c r="G120" s="281"/>
      <c r="H120" s="281"/>
      <c r="I120" s="281"/>
    </row>
    <row r="121">
      <c r="A121" s="281"/>
      <c r="B121" s="281"/>
      <c r="C121" s="281"/>
      <c r="D121" s="281"/>
      <c r="E121" s="281"/>
      <c r="F121" s="281"/>
      <c r="G121" s="281"/>
      <c r="H121" s="281"/>
      <c r="I121" s="281"/>
    </row>
    <row r="122">
      <c r="A122" s="281"/>
      <c r="B122" s="281"/>
      <c r="C122" s="281"/>
      <c r="D122" s="281"/>
      <c r="E122" s="281"/>
      <c r="F122" s="281"/>
      <c r="G122" s="281"/>
      <c r="H122" s="281"/>
      <c r="I122" s="281"/>
    </row>
  </sheetData>
  <drawing r:id="rId1"/>
</worksheet>
</file>