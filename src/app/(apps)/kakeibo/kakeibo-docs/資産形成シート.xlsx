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✊自己実現" sheetId="1" r:id="rId5"/>
    <sheet state="visible" name="👪目標" sheetId="2" r:id="rId6"/>
    <sheet state="visible" name="👂ヒアリング" sheetId="3" r:id="rId7"/>
    <sheet state="visible" name="🌷ライププラン" sheetId="4" r:id="rId8"/>
    <sheet state="visible" name="📈資産推移" sheetId="5" r:id="rId9"/>
    <sheet state="visible" name="🌱投信（ライフプラン用）" sheetId="6" r:id="rId10"/>
    <sheet state="visible" name="✨行動計画" sheetId="7" r:id="rId11"/>
    <sheet state="visible" name="🌟資産配分" sheetId="8" r:id="rId12"/>
    <sheet state="visible" name="🌱投信（自由）" sheetId="9" r:id="rId13"/>
  </sheets>
  <definedNames/>
  <calcPr/>
</workbook>
</file>

<file path=xl/sharedStrings.xml><?xml version="1.0" encoding="utf-8"?>
<sst xmlns="http://schemas.openxmlformats.org/spreadsheetml/2006/main" count="244" uniqueCount="172">
  <si>
    <t>🌸自己実現シート【自分軸を整えて夢を叶える🌷】</t>
  </si>
  <si>
    <t>🌸人生で叶えたい夢や目標はありますか？</t>
  </si>
  <si>
    <t>🌸理想とする暮らしや、自分の姿はありますか？</t>
  </si>
  <si>
    <t>5年後</t>
  </si>
  <si>
    <t>10年後</t>
  </si>
  <si>
    <t>20年後</t>
  </si>
  <si>
    <t>老後</t>
  </si>
  <si>
    <t>🌸過去、満足度の高かった＆低かった買い物や体験を記入してみましょう！</t>
  </si>
  <si>
    <t>満足度
高い</t>
  </si>
  <si>
    <t>満足度
低い</t>
  </si>
  <si>
    <t>🌸ストレスがたまった時お金を使って発散することがありますか？
あれば過去支払ったものを記入しましょう！</t>
  </si>
  <si>
    <t>🌸予算オーバーしがちな項目に対して、『お買い物のマイルール』を決めましょう！</t>
  </si>
  <si>
    <t>🌸目標管理シート【ライフイベントの支出に備える】</t>
  </si>
  <si>
    <t>💡人生における大きい支出に備えるため、目標額を決めておきましょう♪</t>
  </si>
  <si>
    <t xml:space="preserve">　セルは自由に編集OK</t>
  </si>
  <si>
    <t xml:space="preserve">　（不要な項目はスキップしてください）</t>
  </si>
  <si>
    <t>（〇万円）</t>
  </si>
  <si>
    <t>（〇年）</t>
  </si>
  <si>
    <t>結婚</t>
  </si>
  <si>
    <t>目標金額</t>
  </si>
  <si>
    <t>いつまでに</t>
  </si>
  <si>
    <t>式場代</t>
  </si>
  <si>
    <t>教育</t>
  </si>
  <si>
    <t>子ども①人目</t>
  </si>
  <si>
    <t>子ども②人目</t>
  </si>
  <si>
    <t>子ども③人目</t>
  </si>
  <si>
    <t>子ども④人目</t>
  </si>
  <si>
    <t>住宅</t>
  </si>
  <si>
    <t>引っ越し代</t>
  </si>
  <si>
    <t>家具代</t>
  </si>
  <si>
    <t>夫</t>
  </si>
  <si>
    <t>妻</t>
  </si>
  <si>
    <t>その他</t>
  </si>
  <si>
    <t>※その他は、上記の項目以外で何かある場合は記入してください。</t>
  </si>
  <si>
    <t>🌸ヒアリングシート</t>
  </si>
  <si>
    <t>🌷保険一覧（現在入っている保険をすべて記入）</t>
  </si>
  <si>
    <t>下に入力項目が続きます↓</t>
  </si>
  <si>
    <t>保険会社</t>
  </si>
  <si>
    <t>保険商品名</t>
  </si>
  <si>
    <t>料金</t>
  </si>
  <si>
    <t>見直しが
可能OR不可能？</t>
  </si>
  <si>
    <r>
      <rPr>
        <rFont val="Calibri"/>
        <color theme="1"/>
      </rPr>
      <t>保険内容</t>
    </r>
    <r>
      <rPr>
        <rFont val="Calibri"/>
        <color rgb="FFFF0000"/>
      </rPr>
      <t>（年金や満期の受取額があれば何歳からいくらもらえるのかも記入）</t>
    </r>
  </si>
  <si>
    <t>🌷サブスク一覧</t>
  </si>
  <si>
    <t>🌷通信費一覧（WIFI、スマホ）</t>
  </si>
  <si>
    <t>サブスク名</t>
  </si>
  <si>
    <t>通信会社</t>
  </si>
  <si>
    <t>合計</t>
  </si>
  <si>
    <t>🌷毎月の支払い金額（ご自身の家計簿と照らし合わせて項目を変更してください）</t>
  </si>
  <si>
    <t>ここは未記入で大丈夫です！</t>
  </si>
  <si>
    <t>支出</t>
  </si>
  <si>
    <t>月額</t>
  </si>
  <si>
    <t>理想の金額</t>
  </si>
  <si>
    <t>年額</t>
  </si>
  <si>
    <t>家賃・住宅ローン</t>
  </si>
  <si>
    <t>可能</t>
  </si>
  <si>
    <t>住宅管理費</t>
  </si>
  <si>
    <t>不可能</t>
  </si>
  <si>
    <t>車両ローン</t>
  </si>
  <si>
    <t>駐車場代</t>
  </si>
  <si>
    <t>テレビ契約料</t>
  </si>
  <si>
    <t>定期代</t>
  </si>
  <si>
    <t>食費</t>
  </si>
  <si>
    <t>水道光熱費</t>
  </si>
  <si>
    <t>日用品</t>
  </si>
  <si>
    <t>趣味・娯楽</t>
  </si>
  <si>
    <t>衣類・美容</t>
  </si>
  <si>
    <t>健康・医療費</t>
  </si>
  <si>
    <t>交際費</t>
  </si>
  <si>
    <t>交通費</t>
  </si>
  <si>
    <t>ガソリン代</t>
  </si>
  <si>
    <t>🌷現在の投資額一覧（新NISA、IDECO、企業型確定拠出年金など）</t>
  </si>
  <si>
    <t>銘柄</t>
  </si>
  <si>
    <t>月の積立額</t>
  </si>
  <si>
    <t>一括投資した額</t>
  </si>
  <si>
    <t>NISA</t>
  </si>
  <si>
    <t>IDECO</t>
  </si>
  <si>
    <t>企業型確定拠出年金</t>
  </si>
  <si>
    <t>🌷ご家族の年齢と年収（手取り）ライフプラン表で活用します/</t>
  </si>
  <si>
    <t>家族のお名前</t>
  </si>
  <si>
    <t>今年度の年齢
お子さんは
今年度の学年も</t>
  </si>
  <si>
    <t>手取り年収</t>
  </si>
  <si>
    <t>夫・一郎</t>
  </si>
  <si>
    <t>45歳</t>
  </si>
  <si>
    <t>※ライフプラン表作成のため、お子さんを望まれている場合は、
将来のお子さんのご予定（希望の人数分）もご入力お願いします</t>
  </si>
  <si>
    <t>🌷現在の貯金額（現金）</t>
  </si>
  <si>
    <t>※ライフプランシートで活用します</t>
  </si>
  <si>
    <t>🌸ライフプラン表（万円）</t>
  </si>
  <si>
    <t>年</t>
  </si>
  <si>
    <t>経過年数</t>
  </si>
  <si>
    <t>の年齢</t>
  </si>
  <si>
    <t>イベント</t>
  </si>
  <si>
    <t>退職</t>
  </si>
  <si>
    <t>子ども</t>
  </si>
  <si>
    <t>上昇率</t>
  </si>
  <si>
    <t>手取り</t>
  </si>
  <si>
    <t>収入</t>
  </si>
  <si>
    <t>夫の収入</t>
  </si>
  <si>
    <t>公的年金</t>
  </si>
  <si>
    <t>私的年金</t>
  </si>
  <si>
    <t>退職金</t>
  </si>
  <si>
    <t>妻の収入</t>
  </si>
  <si>
    <t>その他の収入</t>
  </si>
  <si>
    <t>収入合計①</t>
  </si>
  <si>
    <t>固定費</t>
  </si>
  <si>
    <t>※サブスク</t>
  </si>
  <si>
    <t>※通信（wifi・スマホ）</t>
  </si>
  <si>
    <t>※保険</t>
  </si>
  <si>
    <t>支出合計②</t>
  </si>
  <si>
    <t>変動費</t>
  </si>
  <si>
    <t>健康・医療</t>
  </si>
  <si>
    <t>特別費（不定期支出）</t>
  </si>
  <si>
    <t>支出合計③</t>
  </si>
  <si>
    <t>年間の貯金額</t>
  </si>
  <si>
    <t>🌸資産残高の推移（万円）</t>
  </si>
  <si>
    <t>🌸資産推移🌸</t>
  </si>
  <si>
    <t>現在</t>
  </si>
  <si>
    <t>現金</t>
  </si>
  <si>
    <t>投資資産</t>
  </si>
  <si>
    <t>不動産</t>
  </si>
  <si>
    <t>その他資産</t>
  </si>
  <si>
    <t>負債（住宅ローン等）</t>
  </si>
  <si>
    <t>純資産</t>
  </si>
  <si>
    <t>投資信託(NISA/IDECO)</t>
  </si>
  <si>
    <t>企業型ＤＣ</t>
  </si>
  <si>
    <t>🌸投資信託（複利計算ツール）</t>
  </si>
  <si>
    <t>一括投資済の額</t>
  </si>
  <si>
    <t>想定利回り</t>
  </si>
  <si>
    <t>◆金融庁：つみたてシミュレーター</t>
  </si>
  <si>
    <t>https://www.fsa.go.jp/policy/nisa2/tsumitate-simulator/</t>
  </si>
  <si>
    <t>年初残高</t>
  </si>
  <si>
    <t>年増加額</t>
  </si>
  <si>
    <t>利息</t>
  </si>
  <si>
    <t>年末残高</t>
  </si>
  <si>
    <t>投資額累計</t>
  </si>
  <si>
    <t>🌸行動計画シート（個別MTG時に使用します♪）</t>
  </si>
  <si>
    <t>🌷行動計画</t>
  </si>
  <si>
    <t>行動内容</t>
  </si>
  <si>
    <t>目標期日</t>
  </si>
  <si>
    <t>チェック</t>
  </si>
  <si>
    <t>メモ</t>
  </si>
  <si>
    <t>🌸資産配分（アセット・アロケーション）</t>
  </si>
  <si>
    <t>🌸銘柄名🌸</t>
  </si>
  <si>
    <t>評価額</t>
  </si>
  <si>
    <t>国際株式</t>
  </si>
  <si>
    <t>国際債券</t>
  </si>
  <si>
    <t>国内株式</t>
  </si>
  <si>
    <t>国内債券</t>
  </si>
  <si>
    <t>新興国株式</t>
  </si>
  <si>
    <t>新興国債券</t>
  </si>
  <si>
    <t>国際REIT</t>
  </si>
  <si>
    <t>国内REIT</t>
  </si>
  <si>
    <t>金</t>
  </si>
  <si>
    <t>評価額1</t>
  </si>
  <si>
    <t>評価額2</t>
  </si>
  <si>
    <t>評価額3</t>
  </si>
  <si>
    <t>評価額4</t>
  </si>
  <si>
    <t>評価額5</t>
  </si>
  <si>
    <t>評価額6</t>
  </si>
  <si>
    <t>評価額7</t>
  </si>
  <si>
    <t>評価額8</t>
  </si>
  <si>
    <t>評価額9</t>
  </si>
  <si>
    <t>評価額10</t>
  </si>
  <si>
    <t>三菱ＵＦＪ－ｅＭＡＸＩＳ　Ｓｌｉｍ　米国株式（Ｓ＆Ｐ５００）</t>
  </si>
  <si>
    <t>三菱ＵＦＪ－ｅＭＡＸＩＳ　Ｓｌｉｍ　全世界株式（オール・カントリー）</t>
  </si>
  <si>
    <t>大和－ｉＦｒｅｅＮＥＸＴ　ＦＡＮＧ＋インデックス</t>
  </si>
  <si>
    <t>ニッセイ－＜購入・換金手数料なし＞ニッセイＮＡＳＤＡＱ１００インデックスファンド</t>
  </si>
  <si>
    <t>三菱ＵＦＪ－ｅＭＡＸＩＳ　Ｓｌｉｍ　国内債券インデックス</t>
  </si>
  <si>
    <t>◆現金</t>
  </si>
  <si>
    <t>三菱ＵＦＪ－ｅＭＡＸＩＳ　Ｓｌｉｍ　バランス（８資産均等型）</t>
  </si>
  <si>
    <t>理想</t>
  </si>
  <si>
    <t>リバランス</t>
  </si>
  <si>
    <t>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</si>
</sst>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#,##0_ ;[Red]\-#,##0\ "/>
    <numFmt numFmtId="166" formatCode="#,###"/>
    <numFmt numFmtId="167" formatCode="&quot;$&quot;#,##0.00;[Red]&quot;$&quot;\-#,##0.00"/>
    <numFmt numFmtId="168" formatCode="yyyy/MM/dd"/>
    <numFmt numFmtId="169" formatCode="[Red]\+0.0%;[Blue]\-0.0%;0.0%"/>
    <numFmt numFmtId="170" formatCode="[Red]\+#,##0_ ;[Blue]\-#,##0\ "/>
  </numFmts>
  <fonts count="32">
    <font>
      <sz val="10.0"/>
      <color rgb="FF000000"/>
      <name val="Calibri"/>
      <scheme val="minor"/>
    </font>
    <font>
      <b/>
      <sz val="14.0"/>
      <color rgb="FF000000"/>
      <name val="Meiryo"/>
    </font>
    <font>
      <color theme="1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  <font/>
    <font>
      <b/>
      <color theme="1"/>
      <name val="Calibri"/>
      <scheme val="minor"/>
    </font>
    <font>
      <sz val="7.0"/>
      <color theme="1"/>
      <name val="Calibri"/>
      <scheme val="minor"/>
    </font>
    <font>
      <sz val="11.0"/>
      <color rgb="FF434343"/>
      <name val="Arial"/>
    </font>
    <font>
      <color theme="1"/>
      <name val="Arial"/>
    </font>
    <font>
      <b/>
      <color rgb="FF434343"/>
      <name val="HiraMaruProN-W4"/>
    </font>
    <font>
      <b/>
      <color rgb="FF434343"/>
      <name val="Arial"/>
    </font>
    <font>
      <color rgb="FF434343"/>
      <name val="HiraMaruProN-W4"/>
    </font>
    <font>
      <sz val="10.0"/>
      <color rgb="FF434343"/>
      <name val="Arial"/>
    </font>
    <font>
      <color rgb="FF434343"/>
      <name val="Arial"/>
    </font>
    <font>
      <color theme="1"/>
      <name val="Calibri"/>
    </font>
    <font>
      <sz val="12.0"/>
      <color rgb="FF000000"/>
      <name val="游ゴシック"/>
    </font>
    <font>
      <sz val="12.0"/>
      <color theme="1"/>
      <name val="Calibri"/>
      <scheme val="minor"/>
    </font>
    <font>
      <b/>
      <sz val="12.0"/>
      <color rgb="FF000000"/>
      <name val="Meiryo"/>
    </font>
    <font>
      <b/>
      <sz val="12.0"/>
      <color rgb="FFFFFFFF"/>
      <name val="游ゴシック"/>
    </font>
    <font>
      <sz val="9.0"/>
      <color theme="1"/>
      <name val="Calibri"/>
      <scheme val="minor"/>
    </font>
    <font>
      <b/>
      <sz val="12.0"/>
      <color rgb="FF000000"/>
      <name val="游ゴシック"/>
    </font>
    <font>
      <b/>
      <sz val="12.0"/>
      <color theme="1"/>
      <name val="Calibri"/>
      <scheme val="minor"/>
    </font>
    <font>
      <b/>
      <sz val="14.0"/>
      <color theme="1"/>
      <name val="Meiryo"/>
    </font>
    <font>
      <sz val="11.0"/>
      <color theme="1"/>
      <name val="Meiryo"/>
    </font>
    <font>
      <sz val="10.0"/>
      <color theme="1"/>
      <name val="Meiryo"/>
    </font>
    <font>
      <sz val="10.0"/>
      <color rgb="FFFFFFFF"/>
      <name val="Arial"/>
    </font>
    <font>
      <sz val="10.0"/>
      <color theme="1"/>
      <name val="Arial"/>
    </font>
    <font>
      <u/>
      <color rgb="FF0000FF"/>
    </font>
    <font>
      <sz val="10.0"/>
      <color rgb="FF000000"/>
      <name val="Arial"/>
    </font>
    <font>
      <b/>
      <sz val="11.0"/>
      <color theme="1"/>
      <name val="Meiryo"/>
    </font>
    <font>
      <color theme="1"/>
      <name val="Meiryo"/>
    </font>
  </fonts>
  <fills count="2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6EDF6"/>
        <bgColor rgb="FFF6EDF6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215C98"/>
        <bgColor rgb="FF215C98"/>
      </patternFill>
    </fill>
    <fill>
      <patternFill patternType="solid">
        <fgColor rgb="FFECF6FF"/>
        <bgColor rgb="FFECF6F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AEEF3"/>
        <bgColor rgb="FFDAEE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</fills>
  <borders count="14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666666"/>
      </left>
      <right style="thin">
        <color rgb="FF000000"/>
      </right>
      <top style="medium">
        <color rgb="FF666666"/>
      </top>
    </border>
    <border>
      <left style="thin">
        <color rgb="FFA6A6A6"/>
      </left>
      <top style="medium">
        <color rgb="FF666666"/>
      </top>
    </border>
    <border>
      <right style="thin">
        <color rgb="FFA6A6A6"/>
      </righ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right style="thin">
        <color rgb="FF000000"/>
      </right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right style="medium">
        <color rgb="FF666666"/>
      </right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medium">
        <color rgb="FF666666"/>
      </right>
      <top style="thin">
        <color rgb="FFA6A6A6"/>
      </top>
      <bottom style="thin">
        <color rgb="FFA6A6A6"/>
      </bottom>
    </border>
    <border>
      <left style="medium">
        <color rgb="FF666666"/>
      </left>
      <right style="thin">
        <color rgb="FF000000"/>
      </right>
      <bottom style="medium">
        <color rgb="FF666666"/>
      </bottom>
    </border>
    <border>
      <left style="thin">
        <color rgb="FFA6A6A6"/>
      </left>
      <top style="thin">
        <color rgb="FFA6A6A6"/>
      </top>
      <bottom style="medium">
        <color rgb="FF666666"/>
      </bottom>
    </border>
    <border>
      <right style="thin">
        <color rgb="FFA6A6A6"/>
      </right>
      <top style="thin">
        <color rgb="FFA6A6A6"/>
      </top>
      <bottom style="medium">
        <color rgb="FF666666"/>
      </bottom>
    </border>
    <border>
      <top style="thin">
        <color rgb="FFA6A6A6"/>
      </top>
      <bottom style="medium">
        <color rgb="FF66666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666666"/>
      </bottom>
    </border>
    <border>
      <right style="medium">
        <color rgb="FF666666"/>
      </right>
      <top style="thin">
        <color rgb="FFA6A6A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666666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medium">
        <color rgb="FF666666"/>
      </right>
      <top style="thin">
        <color rgb="FF666666"/>
      </top>
    </border>
    <border>
      <left style="medium">
        <color rgb="FF666666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medium">
        <color rgb="FF666666"/>
      </right>
      <top style="thin">
        <color rgb="FF000000"/>
      </top>
      <bottom style="thin">
        <color rgb="FF000000"/>
      </bottom>
    </border>
    <border>
      <left style="medium">
        <color rgb="FF666666"/>
      </left>
      <right style="thin">
        <color rgb="FF000000"/>
      </right>
      <top style="thin">
        <color rgb="FF000000"/>
      </top>
    </border>
    <border>
      <left style="thin">
        <color rgb="FFA6A6A6"/>
      </left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000000"/>
      </right>
      <top style="thin">
        <color rgb="FF000000"/>
      </top>
    </border>
    <border>
      <left style="medium">
        <color rgb="FF666666"/>
      </left>
      <top style="thin">
        <color rgb="FF000000"/>
      </top>
    </border>
    <border>
      <left style="medium">
        <color rgb="FF666666"/>
      </left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D8D8D8"/>
      </right>
      <top style="thin">
        <color rgb="FF000000"/>
      </top>
      <bottom style="thin">
        <color rgb="FFD8D8D8"/>
      </bottom>
    </border>
    <border>
      <left style="thin">
        <color rgb="FFD8D8D8"/>
      </left>
      <right style="thin">
        <color rgb="FF000000"/>
      </right>
      <top style="thin">
        <color rgb="FF000000"/>
      </top>
      <bottom style="thin">
        <color rgb="FFD8D8D8"/>
      </bottom>
    </border>
    <border>
      <left style="thin">
        <color rgb="FF000000"/>
      </left>
      <right/>
      <top style="thin">
        <color rgb="FF00000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000000"/>
      </top>
      <bottom style="thin">
        <color rgb="FFD8D8D8"/>
      </bottom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000000"/>
      </bottom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000000"/>
      </bottom>
    </border>
    <border>
      <left style="thin">
        <color rgb="FF000000"/>
      </left>
      <top style="thin">
        <color rgb="FFD8D8D8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</border>
    <border>
      <right style="thin">
        <color rgb="FFD8D8D8"/>
      </right>
      <top style="thin">
        <color rgb="FFD8D8D8"/>
      </top>
      <bottom style="thin">
        <color rgb="FF000000"/>
      </bottom>
    </border>
    <border>
      <right style="thin">
        <color rgb="FF000000"/>
      </right>
      <top style="thin">
        <color rgb="FFD8D8D8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medium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3F3F3F"/>
      </bottom>
    </border>
    <border>
      <right style="hair">
        <color theme="5"/>
      </right>
      <top style="thin">
        <color rgb="FF000000"/>
      </top>
      <bottom style="medium">
        <color theme="5"/>
      </bottom>
    </border>
    <border>
      <left style="hair">
        <color theme="5"/>
      </left>
      <right style="hair">
        <color theme="5"/>
      </right>
      <top style="thin">
        <color rgb="FF000000"/>
      </top>
      <bottom style="medium">
        <color theme="5"/>
      </bottom>
    </border>
    <border>
      <left style="medium">
        <color theme="5"/>
      </left>
      <right style="hair">
        <color theme="5"/>
      </right>
      <top style="thin">
        <color rgb="FF000000"/>
      </top>
      <bottom style="medium">
        <color theme="5"/>
      </bottom>
    </border>
    <border>
      <left style="thin">
        <color theme="5"/>
      </left>
      <right style="thin">
        <color rgb="FF000000"/>
      </right>
      <top style="thin">
        <color rgb="FF000000"/>
      </top>
      <bottom style="medium">
        <color theme="5"/>
      </bottom>
    </border>
    <border>
      <right style="hair">
        <color theme="5"/>
      </right>
      <bottom style="medium">
        <color theme="5"/>
      </bottom>
    </border>
    <border>
      <left style="hair">
        <color theme="5"/>
      </left>
      <right style="hair">
        <color theme="5"/>
      </right>
      <bottom style="medium">
        <color theme="5"/>
      </bottom>
    </border>
    <border>
      <left/>
      <right style="medium">
        <color theme="5"/>
      </right>
      <bottom style="medium">
        <color theme="5"/>
      </bottom>
    </border>
    <border>
      <left style="thin">
        <color rgb="FF000000"/>
      </left>
      <top/>
      <bottom style="hair">
        <color rgb="FF7F7F7F"/>
      </bottom>
    </border>
    <border>
      <left style="thin">
        <color rgb="FF000000"/>
      </left>
      <right style="thin">
        <color rgb="FF000000"/>
      </right>
      <top/>
      <bottom style="hair">
        <color rgb="FF7F7F7F"/>
      </bottom>
    </border>
    <border>
      <right style="hair">
        <color theme="5"/>
      </right>
      <top style="medium">
        <color theme="5"/>
      </top>
      <bottom style="hair">
        <color theme="5"/>
      </bottom>
    </border>
    <border>
      <left style="hair">
        <color theme="5"/>
      </left>
      <right style="hair">
        <color theme="5"/>
      </right>
      <top style="medium">
        <color theme="5"/>
      </top>
      <bottom style="hair">
        <color theme="5"/>
      </bottom>
    </border>
    <border>
      <left style="hair">
        <color theme="5"/>
      </left>
      <top style="medium">
        <color theme="5"/>
      </top>
      <bottom style="hair">
        <color theme="5"/>
      </bottom>
    </border>
    <border>
      <left style="hair">
        <color theme="5"/>
      </left>
      <right/>
      <top style="medium">
        <color theme="5"/>
      </top>
      <bottom style="hair">
        <color theme="5"/>
      </bottom>
    </border>
    <border>
      <left style="thin">
        <color theme="5"/>
      </left>
      <right style="thin">
        <color rgb="FF000000"/>
      </right>
      <top style="medium">
        <color theme="5"/>
      </top>
      <bottom style="hair">
        <color theme="5"/>
      </bottom>
    </border>
    <border>
      <right style="hair">
        <color theme="5"/>
      </right>
      <top style="hair">
        <color theme="5"/>
      </top>
      <bottom style="hair">
        <color theme="5"/>
      </bottom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</border>
    <border>
      <left/>
      <right style="medium">
        <color theme="5"/>
      </right>
      <top style="hair">
        <color theme="5"/>
      </top>
      <bottom style="hair">
        <color theme="5"/>
      </bottom>
    </border>
    <border>
      <left style="thin">
        <color rgb="FF000000"/>
      </left>
      <top style="hair">
        <color rgb="FF7F7F7F"/>
      </top>
      <bottom style="hair">
        <color rgb="FF7F7F7F"/>
      </bottom>
    </border>
    <border>
      <left style="thin">
        <color rgb="FF000000"/>
      </left>
      <right style="thin">
        <color rgb="FF000000"/>
      </right>
      <top style="hair">
        <color rgb="FF7F7F7F"/>
      </top>
      <bottom style="hair">
        <color rgb="FF7F7F7F"/>
      </bottom>
    </border>
    <border>
      <left style="hair">
        <color theme="5"/>
      </left>
      <top style="hair">
        <color theme="5"/>
      </top>
      <bottom style="hair">
        <color theme="5"/>
      </bottom>
    </border>
    <border>
      <left style="hair">
        <color theme="5"/>
      </left>
      <right/>
      <top style="hair">
        <color theme="5"/>
      </top>
      <bottom style="hair">
        <color theme="5"/>
      </bottom>
    </border>
    <border>
      <left style="thin">
        <color theme="5"/>
      </left>
      <right style="thin">
        <color rgb="FF000000"/>
      </right>
      <top style="hair">
        <color theme="5"/>
      </top>
      <bottom style="hair">
        <color theme="5"/>
      </bottom>
    </border>
    <border>
      <left style="thin">
        <color rgb="FF000000"/>
      </left>
      <top style="hair">
        <color rgb="FF7F7F7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7F7F7F"/>
      </top>
      <bottom style="thin">
        <color rgb="FF000000"/>
      </bottom>
    </border>
    <border>
      <right style="hair">
        <color theme="5"/>
      </right>
      <top style="hair">
        <color theme="5"/>
      </top>
      <bottom style="thin">
        <color rgb="FF000000"/>
      </bottom>
    </border>
    <border>
      <left style="hair">
        <color theme="5"/>
      </left>
      <right style="hair">
        <color theme="5"/>
      </right>
      <top style="hair">
        <color theme="5"/>
      </top>
      <bottom style="thin">
        <color rgb="FF000000"/>
      </bottom>
    </border>
    <border>
      <left style="hair">
        <color theme="5"/>
      </left>
      <top style="hair">
        <color theme="5"/>
      </top>
      <bottom style="thin">
        <color rgb="FF000000"/>
      </bottom>
    </border>
    <border>
      <left style="hair">
        <color theme="5"/>
      </left>
      <right/>
      <top style="hair">
        <color theme="5"/>
      </top>
      <bottom style="thin">
        <color rgb="FF000000"/>
      </bottom>
    </border>
    <border>
      <left style="thin">
        <color theme="5"/>
      </left>
      <right style="thin">
        <color rgb="FF000000"/>
      </right>
      <top style="hair">
        <color theme="5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757070"/>
      </bottom>
    </border>
    <border>
      <left style="thin">
        <color rgb="FF000000"/>
      </left>
      <bottom style="hair">
        <color rgb="FF757070"/>
      </bottom>
    </border>
    <border>
      <right style="medium">
        <color theme="5"/>
      </right>
      <bottom style="hair">
        <color rgb="FF757070"/>
      </bottom>
    </border>
    <border>
      <bottom style="hair">
        <color rgb="FF757070"/>
      </bottom>
    </border>
    <border>
      <left style="thin">
        <color rgb="FF000000"/>
      </left>
      <right style="thin">
        <color rgb="FF000000"/>
      </right>
      <top style="hair">
        <color rgb="FF757070"/>
      </top>
      <bottom style="hair">
        <color rgb="FF757070"/>
      </bottom>
    </border>
    <border>
      <left style="thin">
        <color rgb="FF000000"/>
      </left>
      <top style="hair">
        <color rgb="FF757070"/>
      </top>
      <bottom style="hair">
        <color rgb="FF757070"/>
      </bottom>
    </border>
    <border>
      <right style="medium">
        <color theme="5"/>
      </right>
      <top style="hair">
        <color rgb="FF757070"/>
      </top>
      <bottom style="hair">
        <color rgb="FF757070"/>
      </bottom>
    </border>
    <border>
      <top style="hair">
        <color rgb="FF757070"/>
      </top>
      <bottom style="hair">
        <color rgb="FF757070"/>
      </bottom>
    </border>
    <border>
      <left style="thin">
        <color rgb="FF000000"/>
      </left>
      <right style="thin">
        <color rgb="FF000000"/>
      </right>
      <top style="hair">
        <color rgb="FF75707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757070"/>
      </top>
      <bottom style="hair">
        <color rgb="FF757070"/>
      </bottom>
    </border>
    <border>
      <top style="hair">
        <color rgb="FF757070"/>
      </top>
    </border>
    <border>
      <left style="thin">
        <color rgb="FF000000"/>
      </left>
      <top style="hair">
        <color rgb="FF75707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757070"/>
      </top>
      <bottom style="thin">
        <color rgb="FF000000"/>
      </bottom>
    </border>
    <border>
      <right style="medium">
        <color theme="5"/>
      </right>
      <top style="hair">
        <color rgb="FF757070"/>
      </top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left" vertical="top"/>
    </xf>
    <xf borderId="1" fillId="2" fontId="3" numFmtId="0" xfId="0" applyBorder="1" applyFill="1" applyFont="1"/>
    <xf borderId="2" fillId="2" fontId="4" numFmtId="0" xfId="0" applyAlignment="1" applyBorder="1" applyFont="1">
      <alignment horizontal="left" readingOrder="0" vertical="top"/>
    </xf>
    <xf borderId="0" fillId="0" fontId="3" numFmtId="0" xfId="0" applyFont="1"/>
    <xf borderId="3" fillId="0" fontId="5" numFmtId="0" xfId="0" applyBorder="1" applyFont="1"/>
    <xf borderId="2" fillId="0" fontId="2" numFmtId="0" xfId="0" applyAlignment="1" applyBorder="1" applyFont="1">
      <alignment horizontal="left" vertical="top"/>
    </xf>
    <xf borderId="0" fillId="3" fontId="3" numFmtId="0" xfId="0" applyFill="1" applyFont="1"/>
    <xf borderId="0" fillId="3" fontId="4" numFmtId="0" xfId="0" applyAlignment="1" applyFont="1">
      <alignment horizontal="left" readingOrder="0" vertical="top"/>
    </xf>
    <xf borderId="2" fillId="2" fontId="3" numFmtId="0" xfId="0" applyBorder="1" applyFont="1"/>
    <xf borderId="2" fillId="2" fontId="4" numFmtId="0" xfId="0" applyAlignment="1" applyBorder="1" applyFont="1">
      <alignment horizontal="center" readingOrder="0" textRotation="0" vertical="center"/>
    </xf>
    <xf borderId="2" fillId="0" fontId="6" numFmtId="0" xfId="0" applyAlignment="1" applyBorder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 textRotation="255" vertical="center"/>
    </xf>
    <xf borderId="4" fillId="4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7" fillId="0" fontId="2" numFmtId="0" xfId="0" applyAlignment="1" applyBorder="1" applyFont="1">
      <alignment horizontal="center"/>
    </xf>
    <xf borderId="2" fillId="3" fontId="8" numFmtId="3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left"/>
    </xf>
    <xf borderId="9" fillId="4" fontId="2" numFmtId="0" xfId="0" applyAlignment="1" applyBorder="1" applyFont="1">
      <alignment horizontal="center" readingOrder="0"/>
    </xf>
    <xf borderId="10" fillId="4" fontId="2" numFmtId="0" xfId="0" applyAlignment="1" applyBorder="1" applyFont="1">
      <alignment horizontal="center"/>
    </xf>
    <xf borderId="10" fillId="4" fontId="2" numFmtId="0" xfId="0" applyBorder="1" applyFont="1"/>
    <xf borderId="10" fillId="4" fontId="2" numFmtId="0" xfId="0" applyAlignment="1" applyBorder="1" applyFont="1">
      <alignment vertical="center"/>
    </xf>
    <xf borderId="11" fillId="4" fontId="2" numFmtId="0" xfId="0" applyBorder="1" applyFont="1"/>
    <xf borderId="0" fillId="0" fontId="2" numFmtId="0" xfId="0" applyAlignment="1" applyFont="1">
      <alignment vertical="center"/>
    </xf>
    <xf borderId="4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11" fillId="4" fontId="2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vertical="bottom"/>
    </xf>
    <xf borderId="4" fillId="5" fontId="10" numFmtId="3" xfId="0" applyAlignment="1" applyBorder="1" applyFill="1" applyFont="1" applyNumberFormat="1">
      <alignment horizontal="center" readingOrder="0" vertical="center"/>
    </xf>
    <xf borderId="5" fillId="5" fontId="11" numFmtId="3" xfId="0" applyAlignment="1" applyBorder="1" applyFont="1" applyNumberFormat="1">
      <alignment horizontal="center" readingOrder="0" vertical="center"/>
    </xf>
    <xf borderId="6" fillId="5" fontId="11" numFmtId="3" xfId="0" applyAlignment="1" applyBorder="1" applyFont="1" applyNumberFormat="1">
      <alignment horizontal="center" readingOrder="0" vertical="center"/>
    </xf>
    <xf borderId="2" fillId="6" fontId="11" numFmtId="3" xfId="0" applyAlignment="1" applyBorder="1" applyFill="1" applyFont="1" applyNumberFormat="1">
      <alignment horizontal="center" readingOrder="0" vertical="center"/>
    </xf>
    <xf borderId="7" fillId="0" fontId="12" numFmtId="3" xfId="0" applyAlignment="1" applyBorder="1" applyFont="1" applyNumberFormat="1">
      <alignment vertical="bottom"/>
    </xf>
    <xf borderId="2" fillId="3" fontId="13" numFmtId="3" xfId="0" applyAlignment="1" applyBorder="1" applyFont="1" applyNumberFormat="1">
      <alignment horizontal="right" readingOrder="0" vertical="bottom"/>
    </xf>
    <xf borderId="2" fillId="3" fontId="8" numFmtId="3" xfId="0" applyAlignment="1" applyBorder="1" applyFont="1" applyNumberFormat="1">
      <alignment horizontal="center" readingOrder="0" vertical="bottom"/>
    </xf>
    <xf borderId="8" fillId="3" fontId="13" numFmtId="3" xfId="0" applyAlignment="1" applyBorder="1" applyFont="1" applyNumberFormat="1">
      <alignment horizontal="right" readingOrder="0" vertical="bottom"/>
    </xf>
    <xf borderId="2" fillId="6" fontId="8" numFmtId="1" xfId="0" applyAlignment="1" applyBorder="1" applyFont="1" applyNumberFormat="1">
      <alignment horizontal="right" vertical="bottom"/>
    </xf>
    <xf borderId="7" fillId="0" fontId="14" numFmtId="3" xfId="0" applyAlignment="1" applyBorder="1" applyFont="1" applyNumberFormat="1">
      <alignment readingOrder="0" vertical="bottom"/>
    </xf>
    <xf borderId="2" fillId="3" fontId="13" numFmtId="3" xfId="0" applyAlignment="1" applyBorder="1" applyFont="1" applyNumberFormat="1">
      <alignment horizontal="right" vertical="bottom"/>
    </xf>
    <xf borderId="8" fillId="3" fontId="13" numFmtId="3" xfId="0" applyAlignment="1" applyBorder="1" applyFont="1" applyNumberFormat="1">
      <alignment horizontal="right" vertical="bottom"/>
    </xf>
    <xf borderId="7" fillId="0" fontId="12" numFmtId="3" xfId="0" applyAlignment="1" applyBorder="1" applyFont="1" applyNumberFormat="1">
      <alignment readingOrder="0" vertical="bottom"/>
    </xf>
    <xf borderId="7" fillId="0" fontId="9" numFmtId="3" xfId="0" applyAlignment="1" applyBorder="1" applyFont="1" applyNumberFormat="1">
      <alignment readingOrder="0" vertical="bottom"/>
    </xf>
    <xf borderId="7" fillId="0" fontId="2" numFmtId="0" xfId="0" applyAlignment="1" applyBorder="1" applyFont="1">
      <alignment readingOrder="0"/>
    </xf>
    <xf borderId="9" fillId="0" fontId="12" numFmtId="3" xfId="0" applyAlignment="1" applyBorder="1" applyFont="1" applyNumberFormat="1">
      <alignment readingOrder="0" vertical="bottom"/>
    </xf>
    <xf borderId="10" fillId="3" fontId="13" numFmtId="3" xfId="0" applyAlignment="1" applyBorder="1" applyFont="1" applyNumberFormat="1">
      <alignment horizontal="right" vertical="bottom"/>
    </xf>
    <xf borderId="10" fillId="3" fontId="8" numFmtId="3" xfId="0" applyAlignment="1" applyBorder="1" applyFont="1" applyNumberFormat="1">
      <alignment horizontal="center" readingOrder="0" vertical="bottom"/>
    </xf>
    <xf borderId="11" fillId="3" fontId="13" numFmtId="3" xfId="0" applyAlignment="1" applyBorder="1" applyFont="1" applyNumberFormat="1">
      <alignment horizontal="right" vertical="bottom"/>
    </xf>
    <xf borderId="4" fillId="7" fontId="2" numFmtId="0" xfId="0" applyAlignment="1" applyBorder="1" applyFill="1" applyFont="1">
      <alignment horizontal="center" readingOrder="0" vertical="center"/>
    </xf>
    <xf borderId="5" fillId="7" fontId="2" numFmtId="0" xfId="0" applyAlignment="1" applyBorder="1" applyFont="1">
      <alignment horizontal="center" readingOrder="0" vertical="center"/>
    </xf>
    <xf borderId="6" fillId="7" fontId="2" numFmtId="0" xfId="0" applyAlignment="1" applyBorder="1" applyFont="1">
      <alignment horizontal="center" readingOrder="0" vertical="center"/>
    </xf>
    <xf borderId="2" fillId="0" fontId="2" numFmtId="0" xfId="0" applyBorder="1" applyFont="1"/>
    <xf borderId="7" fillId="0" fontId="15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9" fillId="7" fontId="2" numFmtId="0" xfId="0" applyAlignment="1" applyBorder="1" applyFont="1">
      <alignment horizontal="center" readingOrder="0"/>
    </xf>
    <xf borderId="10" fillId="7" fontId="2" numFmtId="0" xfId="0" applyAlignment="1" applyBorder="1" applyFont="1">
      <alignment horizontal="center" readingOrder="0"/>
    </xf>
    <xf borderId="11" fillId="7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2" fillId="8" fontId="6" numFmtId="0" xfId="0" applyAlignment="1" applyBorder="1" applyFill="1" applyFont="1">
      <alignment readingOrder="0"/>
    </xf>
    <xf borderId="3" fillId="0" fontId="2" numFmtId="0" xfId="0" applyBorder="1" applyFont="1"/>
    <xf borderId="0" fillId="0" fontId="16" numFmtId="0" xfId="0" applyAlignment="1" applyFont="1">
      <alignment shrinkToFit="0" wrapText="0"/>
    </xf>
    <xf borderId="0" fillId="0" fontId="17" numFmtId="0" xfId="0" applyFont="1"/>
    <xf borderId="0" fillId="0" fontId="18" numFmtId="0" xfId="0" applyAlignment="1" applyFont="1">
      <alignment readingOrder="0" shrinkToFit="0" wrapText="0"/>
    </xf>
    <xf borderId="12" fillId="9" fontId="16" numFmtId="0" xfId="0" applyAlignment="1" applyBorder="1" applyFill="1" applyFont="1">
      <alignment readingOrder="0" shrinkToFit="0" textRotation="255" vertical="center" wrapText="0"/>
    </xf>
    <xf borderId="13" fillId="9" fontId="19" numFmtId="0" xfId="0" applyAlignment="1" applyBorder="1" applyFont="1">
      <alignment horizontal="center" readingOrder="0" shrinkToFit="0" wrapText="0"/>
    </xf>
    <xf borderId="14" fillId="0" fontId="5" numFmtId="0" xfId="0" applyBorder="1" applyFont="1"/>
    <xf borderId="15" fillId="9" fontId="19" numFmtId="0" xfId="0" applyAlignment="1" applyBorder="1" applyFont="1">
      <alignment horizontal="center" readingOrder="0" shrinkToFit="0" wrapText="0"/>
    </xf>
    <xf borderId="16" fillId="9" fontId="19" numFmtId="0" xfId="0" applyAlignment="1" applyBorder="1" applyFont="1">
      <alignment horizontal="center" readingOrder="0" shrinkToFit="0" wrapText="0"/>
    </xf>
    <xf borderId="17" fillId="0" fontId="5" numFmtId="0" xfId="0" applyBorder="1" applyFont="1"/>
    <xf borderId="18" fillId="9" fontId="19" numFmtId="0" xfId="0" applyAlignment="1" applyBorder="1" applyFont="1">
      <alignment horizontal="center" readingOrder="0" shrinkToFit="0" wrapText="0"/>
    </xf>
    <xf borderId="19" fillId="0" fontId="5" numFmtId="0" xfId="0" applyBorder="1" applyFont="1"/>
    <xf borderId="0" fillId="9" fontId="19" numFmtId="0" xfId="0" applyAlignment="1" applyFont="1">
      <alignment horizontal="center" readingOrder="0" shrinkToFit="0" wrapText="0"/>
    </xf>
    <xf borderId="20" fillId="9" fontId="19" numFmtId="0" xfId="0" applyAlignment="1" applyBorder="1" applyFont="1">
      <alignment horizontal="center" readingOrder="0" shrinkToFit="0" wrapText="0"/>
    </xf>
    <xf borderId="18" fillId="10" fontId="16" numFmtId="0" xfId="0" applyAlignment="1" applyBorder="1" applyFill="1" applyFont="1">
      <alignment horizontal="right" readingOrder="0" shrinkToFit="0" wrapText="0"/>
    </xf>
    <xf borderId="19" fillId="10" fontId="16" numFmtId="0" xfId="0" applyAlignment="1" applyBorder="1" applyFont="1">
      <alignment readingOrder="0" shrinkToFit="0" wrapText="0"/>
    </xf>
    <xf borderId="0" fillId="10" fontId="16" numFmtId="0" xfId="0" applyAlignment="1" applyFont="1">
      <alignment horizontal="right" readingOrder="0" shrinkToFit="0" wrapText="0"/>
    </xf>
    <xf borderId="0" fillId="11" fontId="16" numFmtId="0" xfId="0" applyAlignment="1" applyFill="1" applyFont="1">
      <alignment horizontal="right" readingOrder="0" shrinkToFit="0" wrapText="0"/>
    </xf>
    <xf borderId="20" fillId="10" fontId="16" numFmtId="0" xfId="0" applyAlignment="1" applyBorder="1" applyFont="1">
      <alignment horizontal="right" readingOrder="0" shrinkToFit="0" wrapText="0"/>
    </xf>
    <xf borderId="0" fillId="3" fontId="16" numFmtId="0" xfId="0" applyAlignment="1" applyFont="1">
      <alignment shrinkToFit="0" wrapText="0"/>
    </xf>
    <xf borderId="21" fillId="3" fontId="16" numFmtId="0" xfId="0" applyAlignment="1" applyBorder="1" applyFont="1">
      <alignment horizontal="center" readingOrder="0" shrinkToFit="0" wrapText="0"/>
    </xf>
    <xf borderId="22" fillId="0" fontId="5" numFmtId="0" xfId="0" applyBorder="1" applyFont="1"/>
    <xf borderId="23" fillId="3" fontId="16" numFmtId="0" xfId="0" applyAlignment="1" applyBorder="1" applyFont="1">
      <alignment readingOrder="0"/>
    </xf>
    <xf borderId="21" fillId="3" fontId="16" numFmtId="0" xfId="0" applyAlignment="1" applyBorder="1" applyFont="1">
      <alignment shrinkToFit="0" wrapText="0"/>
    </xf>
    <xf borderId="24" fillId="3" fontId="16" numFmtId="0" xfId="0" applyAlignment="1" applyBorder="1" applyFont="1">
      <alignment shrinkToFit="0" wrapText="0"/>
    </xf>
    <xf borderId="23" fillId="3" fontId="16" numFmtId="0" xfId="0" applyAlignment="1" applyBorder="1" applyFont="1">
      <alignment shrinkToFit="0" wrapText="0"/>
    </xf>
    <xf borderId="22" fillId="3" fontId="16" numFmtId="0" xfId="0" applyAlignment="1" applyBorder="1" applyFont="1">
      <alignment readingOrder="0"/>
    </xf>
    <xf borderId="22" fillId="3" fontId="16" numFmtId="0" xfId="0" applyAlignment="1" applyBorder="1" applyFont="1">
      <alignment shrinkToFit="0" wrapText="0"/>
    </xf>
    <xf borderId="24" fillId="3" fontId="16" numFmtId="0" xfId="0" applyAlignment="1" applyBorder="1" applyFont="1">
      <alignment readingOrder="0" shrinkToFit="0" wrapText="0"/>
    </xf>
    <xf borderId="25" fillId="3" fontId="16" numFmtId="0" xfId="0" applyAlignment="1" applyBorder="1" applyFont="1">
      <alignment shrinkToFit="0" wrapText="0"/>
    </xf>
    <xf borderId="23" fillId="0" fontId="16" numFmtId="0" xfId="0" applyAlignment="1" applyBorder="1" applyFont="1">
      <alignment readingOrder="0"/>
    </xf>
    <xf borderId="21" fillId="0" fontId="16" numFmtId="0" xfId="0" applyAlignment="1" applyBorder="1" applyFont="1">
      <alignment shrinkToFit="0" wrapText="0"/>
    </xf>
    <xf borderId="24" fillId="0" fontId="16" numFmtId="0" xfId="0" applyAlignment="1" applyBorder="1" applyFont="1">
      <alignment shrinkToFit="0" wrapText="0"/>
    </xf>
    <xf borderId="23" fillId="0" fontId="16" numFmtId="0" xfId="0" applyAlignment="1" applyBorder="1" applyFont="1">
      <alignment shrinkToFit="0" wrapText="0"/>
    </xf>
    <xf borderId="22" fillId="0" fontId="16" numFmtId="0" xfId="0" applyAlignment="1" applyBorder="1" applyFont="1">
      <alignment readingOrder="0"/>
    </xf>
    <xf borderId="22" fillId="0" fontId="16" numFmtId="0" xfId="0" applyAlignment="1" applyBorder="1" applyFont="1">
      <alignment shrinkToFit="0" wrapText="0"/>
    </xf>
    <xf borderId="25" fillId="0" fontId="16" numFmtId="0" xfId="0" applyAlignment="1" applyBorder="1" applyFont="1">
      <alignment shrinkToFit="0" wrapText="0"/>
    </xf>
    <xf borderId="22" fillId="0" fontId="16" numFmtId="0" xfId="0" applyAlignment="1" applyBorder="1" applyFont="1">
      <alignment readingOrder="0" shrinkToFit="0" wrapText="0"/>
    </xf>
    <xf borderId="23" fillId="0" fontId="16" numFmtId="0" xfId="0" applyAlignment="1" applyBorder="1" applyFont="1">
      <alignment readingOrder="0" shrinkToFit="0" wrapText="0"/>
    </xf>
    <xf borderId="26" fillId="0" fontId="5" numFmtId="0" xfId="0" applyBorder="1" applyFont="1"/>
    <xf borderId="27" fillId="3" fontId="16" numFmtId="0" xfId="0" applyAlignment="1" applyBorder="1" applyFont="1">
      <alignment horizontal="center" readingOrder="0" shrinkToFit="0" wrapText="0"/>
    </xf>
    <xf borderId="28" fillId="0" fontId="5" numFmtId="0" xfId="0" applyBorder="1" applyFont="1"/>
    <xf borderId="29" fillId="0" fontId="16" numFmtId="0" xfId="0" applyAlignment="1" applyBorder="1" applyFont="1">
      <alignment readingOrder="0"/>
    </xf>
    <xf borderId="27" fillId="0" fontId="16" numFmtId="0" xfId="0" applyAlignment="1" applyBorder="1" applyFont="1">
      <alignment shrinkToFit="0" wrapText="0"/>
    </xf>
    <xf borderId="30" fillId="0" fontId="16" numFmtId="0" xfId="0" applyAlignment="1" applyBorder="1" applyFont="1">
      <alignment shrinkToFit="0" wrapText="0"/>
    </xf>
    <xf borderId="29" fillId="0" fontId="16" numFmtId="0" xfId="0" applyAlignment="1" applyBorder="1" applyFont="1">
      <alignment shrinkToFit="0" wrapText="0"/>
    </xf>
    <xf borderId="28" fillId="0" fontId="16" numFmtId="0" xfId="0" applyAlignment="1" applyBorder="1" applyFont="1">
      <alignment readingOrder="0"/>
    </xf>
    <xf borderId="28" fillId="0" fontId="16" numFmtId="0" xfId="0" applyAlignment="1" applyBorder="1" applyFont="1">
      <alignment shrinkToFit="0" wrapText="0"/>
    </xf>
    <xf borderId="31" fillId="0" fontId="16" numFmtId="0" xfId="0" applyAlignment="1" applyBorder="1" applyFont="1">
      <alignment shrinkToFit="0" wrapText="0"/>
    </xf>
    <xf borderId="32" fillId="0" fontId="20" numFmtId="0" xfId="0" applyAlignment="1" applyBorder="1" applyFont="1">
      <alignment horizontal="center" readingOrder="0"/>
    </xf>
    <xf borderId="33" fillId="0" fontId="20" numFmtId="0" xfId="0" applyAlignment="1" applyBorder="1" applyFont="1">
      <alignment horizontal="center" readingOrder="0"/>
    </xf>
    <xf borderId="12" fillId="12" fontId="21" numFmtId="0" xfId="0" applyAlignment="1" applyBorder="1" applyFill="1" applyFont="1">
      <alignment readingOrder="0" shrinkToFit="0" textRotation="255" vertical="center" wrapText="0"/>
    </xf>
    <xf borderId="34" fillId="3" fontId="16" numFmtId="0" xfId="0" applyAlignment="1" applyBorder="1" applyFont="1">
      <alignment horizontal="center" readingOrder="0" shrinkToFit="0" wrapText="0"/>
    </xf>
    <xf borderId="35" fillId="0" fontId="5" numFmtId="0" xfId="0" applyBorder="1" applyFont="1"/>
    <xf borderId="3" fillId="13" fontId="16" numFmtId="164" xfId="0" applyAlignment="1" applyBorder="1" applyFill="1" applyFont="1" applyNumberFormat="1">
      <alignment horizontal="right" readingOrder="0" shrinkToFit="0" wrapText="0"/>
    </xf>
    <xf borderId="36" fillId="11" fontId="16" numFmtId="0" xfId="0" applyAlignment="1" applyBorder="1" applyFont="1">
      <alignment horizontal="right" readingOrder="0" shrinkToFit="0" wrapText="0"/>
    </xf>
    <xf borderId="37" fillId="0" fontId="16" numFmtId="1" xfId="0" applyAlignment="1" applyBorder="1" applyFont="1" applyNumberFormat="1">
      <alignment horizontal="right" readingOrder="0" shrinkToFit="0" wrapText="0"/>
    </xf>
    <xf borderId="38" fillId="0" fontId="16" numFmtId="1" xfId="0" applyAlignment="1" applyBorder="1" applyFont="1" applyNumberFormat="1">
      <alignment horizontal="right" readingOrder="0" shrinkToFit="0" wrapText="0"/>
    </xf>
    <xf borderId="37" fillId="0" fontId="16" numFmtId="0" xfId="0" applyAlignment="1" applyBorder="1" applyFont="1">
      <alignment horizontal="right" readingOrder="0" shrinkToFit="0" wrapText="0"/>
    </xf>
    <xf borderId="39" fillId="13" fontId="17" numFmtId="0" xfId="0" applyAlignment="1" applyBorder="1" applyFont="1">
      <alignment horizontal="center" readingOrder="0"/>
    </xf>
    <xf borderId="40" fillId="0" fontId="5" numFmtId="0" xfId="0" applyBorder="1" applyFont="1"/>
    <xf borderId="2" fillId="13" fontId="17" numFmtId="0" xfId="0" applyBorder="1" applyFont="1"/>
    <xf borderId="41" fillId="11" fontId="17" numFmtId="0" xfId="0" applyBorder="1" applyFont="1"/>
    <xf borderId="42" fillId="0" fontId="17" numFmtId="0" xfId="0" applyBorder="1" applyFont="1"/>
    <xf borderId="43" fillId="0" fontId="17" numFmtId="0" xfId="0" applyBorder="1" applyFont="1"/>
    <xf borderId="42" fillId="0" fontId="16" numFmtId="1" xfId="0" applyAlignment="1" applyBorder="1" applyFont="1" applyNumberFormat="1">
      <alignment horizontal="right" readingOrder="0" shrinkToFit="0" wrapText="0"/>
    </xf>
    <xf borderId="41" fillId="0" fontId="17" numFmtId="0" xfId="0" applyBorder="1" applyFont="1"/>
    <xf borderId="42" fillId="0" fontId="17" numFmtId="0" xfId="0" applyAlignment="1" applyBorder="1" applyFont="1">
      <alignment readingOrder="0"/>
    </xf>
    <xf borderId="39" fillId="3" fontId="17" numFmtId="0" xfId="0" applyAlignment="1" applyBorder="1" applyFont="1">
      <alignment horizontal="center" readingOrder="0"/>
    </xf>
    <xf borderId="44" fillId="0" fontId="17" numFmtId="0" xfId="0" applyBorder="1" applyFont="1"/>
    <xf borderId="2" fillId="13" fontId="16" numFmtId="0" xfId="0" applyAlignment="1" applyBorder="1" applyFont="1">
      <alignment horizontal="right" readingOrder="0" shrinkToFit="0" wrapText="0"/>
    </xf>
    <xf borderId="41" fillId="11" fontId="16" numFmtId="0" xfId="0" applyAlignment="1" applyBorder="1" applyFont="1">
      <alignment horizontal="right" readingOrder="0" shrinkToFit="0" wrapText="0"/>
    </xf>
    <xf borderId="42" fillId="0" fontId="16" numFmtId="0" xfId="0" applyAlignment="1" applyBorder="1" applyFont="1">
      <alignment horizontal="right" readingOrder="0" shrinkToFit="0" wrapText="0"/>
    </xf>
    <xf borderId="45" fillId="0" fontId="16" numFmtId="0" xfId="0" applyAlignment="1" applyBorder="1" applyFont="1">
      <alignment horizontal="right" readingOrder="0" shrinkToFit="0" wrapText="0"/>
    </xf>
    <xf borderId="39" fillId="0" fontId="16" numFmtId="0" xfId="0" applyAlignment="1" applyBorder="1" applyFont="1">
      <alignment horizontal="center" readingOrder="0" shrinkToFit="0" wrapText="0"/>
    </xf>
    <xf borderId="2" fillId="13" fontId="16" numFmtId="164" xfId="0" applyAlignment="1" applyBorder="1" applyFont="1" applyNumberFormat="1">
      <alignment horizontal="right" readingOrder="0" shrinkToFit="0" wrapText="0"/>
    </xf>
    <xf borderId="39" fillId="3" fontId="16" numFmtId="0" xfId="0" applyAlignment="1" applyBorder="1" applyFont="1">
      <alignment horizontal="center" readingOrder="0" shrinkToFit="0" wrapText="0"/>
    </xf>
    <xf borderId="46" fillId="11" fontId="16" numFmtId="0" xfId="0" applyAlignment="1" applyBorder="1" applyFont="1">
      <alignment horizontal="right" readingOrder="0" shrinkToFit="0" wrapText="0"/>
    </xf>
    <xf borderId="47" fillId="0" fontId="16" numFmtId="0" xfId="0" applyAlignment="1" applyBorder="1" applyFont="1">
      <alignment horizontal="right" readingOrder="0" shrinkToFit="0" wrapText="0"/>
    </xf>
    <xf borderId="48" fillId="0" fontId="16" numFmtId="0" xfId="0" applyAlignment="1" applyBorder="1" applyFont="1">
      <alignment horizontal="right" readingOrder="0" shrinkToFit="0" wrapText="0"/>
    </xf>
    <xf borderId="49" fillId="0" fontId="5" numFmtId="0" xfId="0" applyBorder="1" applyFont="1"/>
    <xf borderId="32" fillId="12" fontId="21" numFmtId="0" xfId="0" applyAlignment="1" applyBorder="1" applyFont="1">
      <alignment horizontal="center" readingOrder="0" shrinkToFit="0" wrapText="0"/>
    </xf>
    <xf borderId="50" fillId="0" fontId="5" numFmtId="0" xfId="0" applyBorder="1" applyFont="1"/>
    <xf borderId="2" fillId="12" fontId="21" numFmtId="0" xfId="0" applyAlignment="1" applyBorder="1" applyFont="1">
      <alignment horizontal="right" readingOrder="0" shrinkToFit="0" wrapText="0"/>
    </xf>
    <xf borderId="51" fillId="12" fontId="21" numFmtId="0" xfId="0" applyAlignment="1" applyBorder="1" applyFont="1">
      <alignment horizontal="right" readingOrder="0" shrinkToFit="0" wrapText="0"/>
    </xf>
    <xf borderId="52" fillId="12" fontId="21" numFmtId="1" xfId="0" applyAlignment="1" applyBorder="1" applyFont="1" applyNumberFormat="1">
      <alignment horizontal="right" readingOrder="0" shrinkToFit="0" wrapText="0"/>
    </xf>
    <xf borderId="52" fillId="12" fontId="21" numFmtId="0" xfId="0" applyAlignment="1" applyBorder="1" applyFont="1">
      <alignment horizontal="right" readingOrder="0" shrinkToFit="0" wrapText="0"/>
    </xf>
    <xf borderId="53" fillId="12" fontId="21" numFmtId="0" xfId="0" applyAlignment="1" applyBorder="1" applyFont="1">
      <alignment horizontal="right" readingOrder="0" shrinkToFit="0" wrapText="0"/>
    </xf>
    <xf borderId="54" fillId="14" fontId="21" numFmtId="0" xfId="0" applyAlignment="1" applyBorder="1" applyFill="1" applyFont="1">
      <alignment readingOrder="0" shrinkToFit="0" textRotation="255" vertical="center" wrapText="0"/>
    </xf>
    <xf borderId="21" fillId="0" fontId="16" numFmtId="0" xfId="0" applyAlignment="1" applyBorder="1" applyFont="1">
      <alignment horizontal="center" readingOrder="0" shrinkToFit="0" wrapText="0"/>
    </xf>
    <xf borderId="36" fillId="0" fontId="16" numFmtId="0" xfId="0" applyAlignment="1" applyBorder="1" applyFont="1">
      <alignment horizontal="right" readingOrder="0" shrinkToFit="0" wrapText="0"/>
    </xf>
    <xf borderId="21" fillId="13" fontId="16" numFmtId="0" xfId="0" applyAlignment="1" applyBorder="1" applyFont="1">
      <alignment horizontal="center" readingOrder="0" shrinkToFit="0" wrapText="0"/>
    </xf>
    <xf borderId="41" fillId="0" fontId="16" numFmtId="0" xfId="0" applyAlignment="1" applyBorder="1" applyFont="1">
      <alignment horizontal="right" readingOrder="0" shrinkToFit="0" wrapText="0"/>
    </xf>
    <xf borderId="50" fillId="13" fontId="16" numFmtId="0" xfId="0" applyAlignment="1" applyBorder="1" applyFont="1">
      <alignment horizontal="right" readingOrder="0" shrinkToFit="0" wrapText="0"/>
    </xf>
    <xf borderId="55" fillId="13" fontId="16" numFmtId="0" xfId="0" applyAlignment="1" applyBorder="1" applyFont="1">
      <alignment horizontal="center" readingOrder="0" shrinkToFit="0" wrapText="0"/>
    </xf>
    <xf borderId="56" fillId="0" fontId="5" numFmtId="0" xfId="0" applyBorder="1" applyFont="1"/>
    <xf borderId="50" fillId="13" fontId="16" numFmtId="0" xfId="0" applyAlignment="1" applyBorder="1" applyFont="1">
      <alignment shrinkToFit="0" wrapText="0"/>
    </xf>
    <xf borderId="41" fillId="0" fontId="16" numFmtId="0" xfId="0" applyAlignment="1" applyBorder="1" applyFont="1">
      <alignment readingOrder="0" shrinkToFit="0" wrapText="0"/>
    </xf>
    <xf borderId="57" fillId="0" fontId="16" numFmtId="0" xfId="0" applyAlignment="1" applyBorder="1" applyFont="1">
      <alignment horizontal="center" readingOrder="0" shrinkToFit="0" wrapText="0"/>
    </xf>
    <xf borderId="58" fillId="0" fontId="5" numFmtId="0" xfId="0" applyBorder="1" applyFont="1"/>
    <xf borderId="46" fillId="0" fontId="16" numFmtId="0" xfId="0" applyAlignment="1" applyBorder="1" applyFont="1">
      <alignment horizontal="right" readingOrder="0" shrinkToFit="0" wrapText="0"/>
    </xf>
    <xf borderId="59" fillId="14" fontId="21" numFmtId="0" xfId="0" applyAlignment="1" applyBorder="1" applyFont="1">
      <alignment horizontal="center" readingOrder="0" shrinkToFit="0" wrapText="0"/>
    </xf>
    <xf borderId="60" fillId="0" fontId="5" numFmtId="0" xfId="0" applyBorder="1" applyFont="1"/>
    <xf borderId="1" fillId="14" fontId="21" numFmtId="0" xfId="0" applyAlignment="1" applyBorder="1" applyFont="1">
      <alignment shrinkToFit="0" wrapText="0"/>
    </xf>
    <xf borderId="61" fillId="14" fontId="21" numFmtId="0" xfId="0" applyAlignment="1" applyBorder="1" applyFont="1">
      <alignment shrinkToFit="0" wrapText="0"/>
    </xf>
    <xf borderId="62" fillId="14" fontId="21" numFmtId="1" xfId="0" applyAlignment="1" applyBorder="1" applyFont="1" applyNumberFormat="1">
      <alignment shrinkToFit="0" wrapText="0"/>
    </xf>
    <xf borderId="63" fillId="14" fontId="21" numFmtId="1" xfId="0" applyAlignment="1" applyBorder="1" applyFont="1" applyNumberFormat="1">
      <alignment shrinkToFit="0" wrapText="0"/>
    </xf>
    <xf borderId="41" fillId="14" fontId="21" numFmtId="1" xfId="0" applyAlignment="1" applyBorder="1" applyFont="1" applyNumberFormat="1">
      <alignment shrinkToFit="0" wrapText="0"/>
    </xf>
    <xf borderId="42" fillId="14" fontId="21" numFmtId="1" xfId="0" applyAlignment="1" applyBorder="1" applyFont="1" applyNumberFormat="1">
      <alignment shrinkToFit="0" wrapText="0"/>
    </xf>
    <xf borderId="45" fillId="14" fontId="21" numFmtId="1" xfId="0" applyAlignment="1" applyBorder="1" applyFont="1" applyNumberFormat="1">
      <alignment shrinkToFit="0" wrapText="0"/>
    </xf>
    <xf borderId="64" fillId="8" fontId="21" numFmtId="0" xfId="0" applyAlignment="1" applyBorder="1" applyFont="1">
      <alignment readingOrder="0" shrinkToFit="0" textRotation="255" vertical="center" wrapText="0"/>
    </xf>
    <xf borderId="43" fillId="0" fontId="16" numFmtId="0" xfId="0" applyAlignment="1" applyBorder="1" applyFont="1">
      <alignment horizontal="center" readingOrder="0" shrinkToFit="0" wrapText="0"/>
    </xf>
    <xf borderId="41" fillId="0" fontId="5" numFmtId="0" xfId="0" applyBorder="1" applyFont="1"/>
    <xf borderId="42" fillId="13" fontId="16" numFmtId="164" xfId="0" applyAlignment="1" applyBorder="1" applyFont="1" applyNumberFormat="1">
      <alignment horizontal="right" readingOrder="0" shrinkToFit="0" wrapText="0"/>
    </xf>
    <xf borderId="65" fillId="0" fontId="5" numFmtId="0" xfId="0" applyBorder="1" applyFont="1"/>
    <xf borderId="43" fillId="13" fontId="16" numFmtId="0" xfId="0" applyAlignment="1" applyBorder="1" applyFont="1">
      <alignment horizontal="center" readingOrder="0" shrinkToFit="0" wrapText="0"/>
    </xf>
    <xf borderId="66" fillId="13" fontId="16" numFmtId="0" xfId="0" applyAlignment="1" applyBorder="1" applyFont="1">
      <alignment horizontal="center" readingOrder="0" shrinkToFit="0" wrapText="0"/>
    </xf>
    <xf borderId="46" fillId="0" fontId="5" numFmtId="0" xfId="0" applyBorder="1" applyFont="1"/>
    <xf borderId="32" fillId="13" fontId="21" numFmtId="0" xfId="0" applyAlignment="1" applyBorder="1" applyFont="1">
      <alignment horizontal="center" readingOrder="0" shrinkToFit="0" wrapText="0"/>
    </xf>
    <xf borderId="67" fillId="13" fontId="16" numFmtId="0" xfId="0" applyAlignment="1" applyBorder="1" applyFont="1">
      <alignment horizontal="right" readingOrder="0" shrinkToFit="0" wrapText="0"/>
    </xf>
    <xf borderId="68" fillId="0" fontId="5" numFmtId="0" xfId="0" applyBorder="1" applyFont="1"/>
    <xf borderId="69" fillId="8" fontId="21" numFmtId="0" xfId="0" applyAlignment="1" applyBorder="1" applyFont="1">
      <alignment horizontal="center" readingOrder="0" shrinkToFit="0" wrapText="0"/>
    </xf>
    <xf borderId="36" fillId="0" fontId="5" numFmtId="0" xfId="0" applyBorder="1" applyFont="1"/>
    <xf borderId="42" fillId="8" fontId="17" numFmtId="0" xfId="0" applyBorder="1" applyFont="1"/>
    <xf borderId="42" fillId="8" fontId="22" numFmtId="0" xfId="0" applyBorder="1" applyFont="1"/>
    <xf borderId="42" fillId="8" fontId="22" numFmtId="1" xfId="0" applyBorder="1" applyFont="1" applyNumberFormat="1"/>
    <xf borderId="45" fillId="8" fontId="22" numFmtId="1" xfId="0" applyBorder="1" applyFont="1" applyNumberFormat="1"/>
    <xf borderId="32" fillId="15" fontId="21" numFmtId="0" xfId="0" applyAlignment="1" applyBorder="1" applyFill="1" applyFont="1">
      <alignment horizontal="center" readingOrder="0" shrinkToFit="0" wrapText="0"/>
    </xf>
    <xf borderId="70" fillId="0" fontId="5" numFmtId="0" xfId="0" applyBorder="1" applyFont="1"/>
    <xf borderId="41" fillId="0" fontId="16" numFmtId="1" xfId="0" applyAlignment="1" applyBorder="1" applyFont="1" applyNumberFormat="1">
      <alignment horizontal="right" readingOrder="0" shrinkToFit="0" wrapText="0"/>
    </xf>
    <xf borderId="0" fillId="3" fontId="23" numFmtId="0" xfId="0" applyAlignment="1" applyFont="1">
      <alignment horizontal="left" readingOrder="0" vertical="bottom"/>
    </xf>
    <xf borderId="0" fillId="3" fontId="23" numFmtId="0" xfId="0" applyAlignment="1" applyFont="1">
      <alignment horizontal="left" vertical="bottom"/>
    </xf>
    <xf borderId="0" fillId="3" fontId="24" numFmtId="0" xfId="0" applyAlignment="1" applyFont="1">
      <alignment vertical="bottom"/>
    </xf>
    <xf borderId="0" fillId="3" fontId="24" numFmtId="38" xfId="0" applyAlignment="1" applyFont="1" applyNumberFormat="1">
      <alignment vertical="bottom"/>
    </xf>
    <xf borderId="0" fillId="3" fontId="25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59" fillId="0" fontId="23" numFmtId="0" xfId="0" applyAlignment="1" applyBorder="1" applyFont="1">
      <alignment horizontal="center" readingOrder="0" vertical="center"/>
    </xf>
    <xf borderId="71" fillId="0" fontId="5" numFmtId="0" xfId="0" applyBorder="1" applyFont="1"/>
    <xf borderId="72" fillId="0" fontId="5" numFmtId="0" xfId="0" applyBorder="1" applyFont="1"/>
    <xf borderId="0" fillId="0" fontId="25" numFmtId="9" xfId="0" applyAlignment="1" applyFont="1" applyNumberFormat="1">
      <alignment horizontal="center" vertical="center"/>
    </xf>
    <xf borderId="73" fillId="8" fontId="24" numFmtId="0" xfId="0" applyAlignment="1" applyBorder="1" applyFont="1">
      <alignment horizontal="center" readingOrder="0" vertical="center"/>
    </xf>
    <xf borderId="74" fillId="8" fontId="24" numFmtId="164" xfId="0" applyAlignment="1" applyBorder="1" applyFont="1" applyNumberFormat="1">
      <alignment horizontal="center" vertical="center"/>
    </xf>
    <xf borderId="75" fillId="11" fontId="24" numFmtId="165" xfId="0" applyAlignment="1" applyBorder="1" applyFont="1" applyNumberFormat="1">
      <alignment readingOrder="0" vertical="center"/>
    </xf>
    <xf borderId="76" fillId="8" fontId="24" numFmtId="165" xfId="0" applyAlignment="1" applyBorder="1" applyFont="1" applyNumberFormat="1">
      <alignment vertical="center"/>
    </xf>
    <xf borderId="74" fillId="8" fontId="24" numFmtId="165" xfId="0" applyAlignment="1" applyBorder="1" applyFont="1" applyNumberFormat="1">
      <alignment vertical="center"/>
    </xf>
    <xf borderId="77" fillId="8" fontId="24" numFmtId="0" xfId="0" applyAlignment="1" applyBorder="1" applyFont="1">
      <alignment horizontal="center" vertical="center"/>
    </xf>
    <xf borderId="78" fillId="8" fontId="24" numFmtId="164" xfId="0" applyAlignment="1" applyBorder="1" applyFont="1" applyNumberFormat="1">
      <alignment horizontal="center" vertical="center"/>
    </xf>
    <xf borderId="79" fillId="11" fontId="24" numFmtId="165" xfId="0" applyAlignment="1" applyBorder="1" applyFont="1" applyNumberFormat="1">
      <alignment readingOrder="0" vertical="center"/>
    </xf>
    <xf borderId="80" fillId="8" fontId="24" numFmtId="166" xfId="0" applyAlignment="1" applyBorder="1" applyFont="1" applyNumberFormat="1">
      <alignment horizontal="right"/>
    </xf>
    <xf borderId="80" fillId="8" fontId="15" numFmtId="166" xfId="0" applyBorder="1" applyFont="1" applyNumberFormat="1"/>
    <xf borderId="0" fillId="0" fontId="25" numFmtId="0" xfId="0" applyAlignment="1" applyFont="1">
      <alignment vertical="center"/>
    </xf>
    <xf borderId="81" fillId="8" fontId="24" numFmtId="165" xfId="0" applyAlignment="1" applyBorder="1" applyFont="1" applyNumberFormat="1">
      <alignment vertical="center"/>
    </xf>
    <xf borderId="78" fillId="8" fontId="24" numFmtId="165" xfId="0" applyAlignment="1" applyBorder="1" applyFont="1" applyNumberFormat="1">
      <alignment vertical="center"/>
    </xf>
    <xf borderId="79" fillId="11" fontId="24" numFmtId="165" xfId="0" applyAlignment="1" applyBorder="1" applyFont="1" applyNumberFormat="1">
      <alignment vertical="center"/>
    </xf>
    <xf borderId="81" fillId="8" fontId="24" numFmtId="165" xfId="0" applyAlignment="1" applyBorder="1" applyFont="1" applyNumberFormat="1">
      <alignment readingOrder="0" vertical="center"/>
    </xf>
    <xf borderId="78" fillId="8" fontId="24" numFmtId="0" xfId="0" applyAlignment="1" applyBorder="1" applyFont="1">
      <alignment horizontal="center" vertical="center"/>
    </xf>
    <xf borderId="80" fillId="8" fontId="24" numFmtId="165" xfId="0" applyAlignment="1" applyBorder="1" applyFont="1" applyNumberFormat="1">
      <alignment vertical="center"/>
    </xf>
    <xf borderId="82" fillId="8" fontId="24" numFmtId="165" xfId="0" applyAlignment="1" applyBorder="1" applyFont="1" applyNumberFormat="1">
      <alignment vertical="center"/>
    </xf>
    <xf borderId="83" fillId="8" fontId="24" numFmtId="165" xfId="0" applyAlignment="1" applyBorder="1" applyFont="1" applyNumberFormat="1">
      <alignment vertical="center"/>
    </xf>
    <xf borderId="77" fillId="16" fontId="24" numFmtId="0" xfId="0" applyAlignment="1" applyBorder="1" applyFill="1" applyFont="1">
      <alignment horizontal="center" readingOrder="0" vertical="center"/>
    </xf>
    <xf borderId="78" fillId="16" fontId="25" numFmtId="0" xfId="0" applyAlignment="1" applyBorder="1" applyFont="1">
      <alignment horizontal="center" vertical="center"/>
    </xf>
    <xf borderId="84" fillId="11" fontId="25" numFmtId="165" xfId="0" applyAlignment="1" applyBorder="1" applyFont="1" applyNumberFormat="1">
      <alignment vertical="center"/>
    </xf>
    <xf borderId="80" fillId="16" fontId="25" numFmtId="165" xfId="0" applyAlignment="1" applyBorder="1" applyFont="1" applyNumberFormat="1">
      <alignment vertical="center"/>
    </xf>
    <xf borderId="85" fillId="16" fontId="25" numFmtId="165" xfId="0" applyAlignment="1" applyBorder="1" applyFont="1" applyNumberFormat="1">
      <alignment vertical="center"/>
    </xf>
    <xf borderId="80" fillId="16" fontId="25" numFmtId="165" xfId="0" applyAlignment="1" applyBorder="1" applyFont="1" applyNumberFormat="1">
      <alignment readingOrder="0" vertical="center"/>
    </xf>
    <xf borderId="86" fillId="16" fontId="24" numFmtId="0" xfId="0" applyAlignment="1" applyBorder="1" applyFont="1">
      <alignment horizontal="center" readingOrder="0" vertical="center"/>
    </xf>
    <xf borderId="87" fillId="16" fontId="25" numFmtId="0" xfId="0" applyAlignment="1" applyBorder="1" applyFont="1">
      <alignment horizontal="center" vertical="center"/>
    </xf>
    <xf borderId="88" fillId="11" fontId="25" numFmtId="165" xfId="0" applyAlignment="1" applyBorder="1" applyFont="1" applyNumberFormat="1">
      <alignment vertical="center"/>
    </xf>
    <xf borderId="89" fillId="16" fontId="25" numFmtId="165" xfId="0" applyAlignment="1" applyBorder="1" applyFont="1" applyNumberFormat="1">
      <alignment readingOrder="0" vertical="center"/>
    </xf>
    <xf borderId="90" fillId="16" fontId="25" numFmtId="165" xfId="0" applyAlignment="1" applyBorder="1" applyFont="1" applyNumberFormat="1">
      <alignment vertical="center"/>
    </xf>
    <xf borderId="91" fillId="16" fontId="25" numFmtId="165" xfId="0" applyAlignment="1" applyBorder="1" applyFont="1" applyNumberFormat="1">
      <alignment vertical="center"/>
    </xf>
    <xf borderId="0" fillId="3" fontId="25" numFmtId="0" xfId="0" applyAlignment="1" applyFont="1">
      <alignment vertical="center"/>
    </xf>
    <xf borderId="0" fillId="3" fontId="26" numFmtId="0" xfId="0" applyAlignment="1" applyFont="1">
      <alignment horizontal="center"/>
    </xf>
    <xf borderId="2" fillId="2" fontId="26" numFmtId="0" xfId="0" applyAlignment="1" applyBorder="1" applyFont="1">
      <alignment horizontal="center" readingOrder="0"/>
    </xf>
    <xf borderId="2" fillId="0" fontId="27" numFmtId="3" xfId="0" applyAlignment="1" applyBorder="1" applyFont="1" applyNumberFormat="1">
      <alignment readingOrder="0"/>
    </xf>
    <xf borderId="2" fillId="0" fontId="27" numFmtId="9" xfId="0" applyAlignment="1" applyBorder="1" applyFont="1" applyNumberFormat="1">
      <alignment readingOrder="0"/>
    </xf>
    <xf borderId="0" fillId="0" fontId="28" numFmtId="0" xfId="0" applyAlignment="1" applyFont="1">
      <alignment readingOrder="0"/>
    </xf>
    <xf borderId="92" fillId="17" fontId="27" numFmtId="0" xfId="0" applyAlignment="1" applyBorder="1" applyFill="1" applyFont="1">
      <alignment horizontal="center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27" numFmtId="3" xfId="0" applyFont="1" applyNumberFormat="1"/>
    <xf borderId="0" fillId="0" fontId="29" numFmtId="167" xfId="0" applyFont="1" applyNumberFormat="1"/>
    <xf borderId="0" fillId="3" fontId="2" numFmtId="0" xfId="0" applyAlignment="1" applyFont="1">
      <alignment horizontal="center" readingOrder="0"/>
    </xf>
    <xf borderId="2" fillId="4" fontId="6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168" xfId="0" applyBorder="1" applyFont="1" applyNumberFormat="1"/>
    <xf borderId="0" fillId="0" fontId="24" numFmtId="0" xfId="0" applyAlignment="1" applyFont="1">
      <alignment vertical="center"/>
    </xf>
    <xf borderId="0" fillId="3" fontId="30" numFmtId="0" xfId="0" applyAlignment="1" applyFont="1">
      <alignment horizontal="center" vertical="center"/>
    </xf>
    <xf borderId="0" fillId="3" fontId="24" numFmtId="0" xfId="0" applyAlignment="1" applyFont="1">
      <alignment shrinkToFit="0" vertical="center" wrapText="0"/>
    </xf>
    <xf borderId="0" fillId="0" fontId="24" numFmtId="0" xfId="0" applyAlignment="1" applyFont="1">
      <alignment shrinkToFit="0" vertical="center" wrapText="0"/>
    </xf>
    <xf borderId="0" fillId="0" fontId="30" numFmtId="0" xfId="0" applyAlignment="1" applyFont="1">
      <alignment horizontal="center" vertical="center"/>
    </xf>
    <xf borderId="0" fillId="3" fontId="24" numFmtId="0" xfId="0" applyAlignment="1" applyFont="1">
      <alignment horizontal="center" readingOrder="0" shrinkToFit="0" vertical="center" wrapText="0"/>
    </xf>
    <xf borderId="93" fillId="4" fontId="24" numFmtId="0" xfId="0" applyAlignment="1" applyBorder="1" applyFont="1">
      <alignment horizontal="center" readingOrder="0" shrinkToFit="0" vertical="center" wrapText="0"/>
    </xf>
    <xf borderId="94" fillId="4" fontId="24" numFmtId="0" xfId="0" applyAlignment="1" applyBorder="1" applyFont="1">
      <alignment horizontal="center" vertical="center"/>
    </xf>
    <xf borderId="95" fillId="4" fontId="24" numFmtId="0" xfId="0" applyAlignment="1" applyBorder="1" applyFont="1">
      <alignment horizontal="center" readingOrder="0" vertical="center"/>
    </xf>
    <xf borderId="96" fillId="4" fontId="24" numFmtId="0" xfId="0" applyAlignment="1" applyBorder="1" applyFont="1">
      <alignment horizontal="center" readingOrder="0" vertical="center"/>
    </xf>
    <xf borderId="97" fillId="4" fontId="24" numFmtId="0" xfId="0" applyAlignment="1" applyBorder="1" applyFont="1">
      <alignment horizontal="center" vertical="center"/>
    </xf>
    <xf borderId="96" fillId="4" fontId="24" numFmtId="0" xfId="0" applyAlignment="1" applyBorder="1" applyFont="1">
      <alignment horizontal="center" vertical="center"/>
    </xf>
    <xf borderId="98" fillId="18" fontId="24" numFmtId="0" xfId="0" applyAlignment="1" applyBorder="1" applyFill="1" applyFont="1">
      <alignment horizontal="center" vertical="center"/>
    </xf>
    <xf borderId="99" fillId="19" fontId="30" numFmtId="0" xfId="0" applyAlignment="1" applyBorder="1" applyFill="1" applyFont="1">
      <alignment horizontal="center" vertical="center"/>
    </xf>
    <xf borderId="100" fillId="19" fontId="30" numFmtId="0" xfId="0" applyAlignment="1" applyBorder="1" applyFont="1">
      <alignment horizontal="center" vertical="center"/>
    </xf>
    <xf borderId="101" fillId="19" fontId="30" numFmtId="0" xfId="0" applyAlignment="1" applyBorder="1" applyFont="1">
      <alignment horizontal="center" vertical="center"/>
    </xf>
    <xf borderId="0" fillId="3" fontId="24" numFmtId="49" xfId="0" applyAlignment="1" applyFont="1" applyNumberFormat="1">
      <alignment readingOrder="0" shrinkToFit="0" vertical="center" wrapText="0"/>
    </xf>
    <xf borderId="102" fillId="3" fontId="24" numFmtId="49" xfId="0" applyAlignment="1" applyBorder="1" applyFont="1" applyNumberFormat="1">
      <alignment readingOrder="0" shrinkToFit="0" vertical="center" wrapText="0"/>
    </xf>
    <xf borderId="103" fillId="3" fontId="24" numFmtId="165" xfId="0" applyAlignment="1" applyBorder="1" applyFont="1" applyNumberFormat="1">
      <alignment readingOrder="0" vertical="center"/>
    </xf>
    <xf borderId="104" fillId="3" fontId="24" numFmtId="9" xfId="0" applyAlignment="1" applyBorder="1" applyFont="1" applyNumberFormat="1">
      <alignment horizontal="center" readingOrder="0" vertical="center"/>
    </xf>
    <xf borderId="105" fillId="3" fontId="24" numFmtId="9" xfId="0" applyAlignment="1" applyBorder="1" applyFont="1" applyNumberFormat="1">
      <alignment horizontal="center" vertical="center"/>
    </xf>
    <xf borderId="106" fillId="3" fontId="24" numFmtId="9" xfId="0" applyAlignment="1" applyBorder="1" applyFont="1" applyNumberFormat="1">
      <alignment horizontal="center" vertical="center"/>
    </xf>
    <xf borderId="107" fillId="3" fontId="24" numFmtId="9" xfId="0" applyAlignment="1" applyBorder="1" applyFont="1" applyNumberFormat="1">
      <alignment horizontal="center" vertical="center"/>
    </xf>
    <xf borderId="108" fillId="18" fontId="24" numFmtId="9" xfId="0" applyAlignment="1" applyBorder="1" applyFont="1" applyNumberFormat="1">
      <alignment horizontal="center" vertical="center"/>
    </xf>
    <xf borderId="109" fillId="19" fontId="24" numFmtId="165" xfId="0" applyAlignment="1" applyBorder="1" applyFont="1" applyNumberFormat="1">
      <alignment vertical="center"/>
    </xf>
    <xf borderId="110" fillId="19" fontId="24" numFmtId="165" xfId="0" applyAlignment="1" applyBorder="1" applyFont="1" applyNumberFormat="1">
      <alignment vertical="center"/>
    </xf>
    <xf borderId="111" fillId="19" fontId="24" numFmtId="165" xfId="0" applyAlignment="1" applyBorder="1" applyFont="1" applyNumberFormat="1">
      <alignment vertical="center"/>
    </xf>
    <xf borderId="112" fillId="3" fontId="24" numFmtId="49" xfId="0" applyAlignment="1" applyBorder="1" applyFont="1" applyNumberFormat="1">
      <alignment readingOrder="0" shrinkToFit="0" vertical="center" wrapText="0"/>
    </xf>
    <xf borderId="113" fillId="3" fontId="24" numFmtId="165" xfId="0" applyAlignment="1" applyBorder="1" applyFont="1" applyNumberFormat="1">
      <alignment readingOrder="0" vertical="center"/>
    </xf>
    <xf borderId="109" fillId="3" fontId="24" numFmtId="9" xfId="0" applyAlignment="1" applyBorder="1" applyFont="1" applyNumberFormat="1">
      <alignment horizontal="center" readingOrder="0" vertical="center"/>
    </xf>
    <xf borderId="110" fillId="3" fontId="24" numFmtId="9" xfId="0" applyAlignment="1" applyBorder="1" applyFont="1" applyNumberFormat="1">
      <alignment horizontal="center" vertical="center"/>
    </xf>
    <xf borderId="114" fillId="3" fontId="24" numFmtId="9" xfId="0" applyAlignment="1" applyBorder="1" applyFont="1" applyNumberFormat="1">
      <alignment horizontal="center" vertical="center"/>
    </xf>
    <xf borderId="115" fillId="3" fontId="24" numFmtId="9" xfId="0" applyAlignment="1" applyBorder="1" applyFont="1" applyNumberFormat="1">
      <alignment horizontal="center" vertical="center"/>
    </xf>
    <xf borderId="116" fillId="18" fontId="24" numFmtId="9" xfId="0" applyAlignment="1" applyBorder="1" applyFont="1" applyNumberFormat="1">
      <alignment horizontal="center" vertical="center"/>
    </xf>
    <xf borderId="109" fillId="3" fontId="24" numFmtId="9" xfId="0" applyAlignment="1" applyBorder="1" applyFont="1" applyNumberFormat="1">
      <alignment horizontal="center" vertical="center"/>
    </xf>
    <xf borderId="110" fillId="3" fontId="24" numFmtId="9" xfId="0" applyAlignment="1" applyBorder="1" applyFont="1" applyNumberFormat="1">
      <alignment horizontal="center" readingOrder="0" vertical="center"/>
    </xf>
    <xf borderId="115" fillId="3" fontId="24" numFmtId="9" xfId="0" applyAlignment="1" applyBorder="1" applyFont="1" applyNumberFormat="1">
      <alignment horizontal="center" readingOrder="0" vertical="center"/>
    </xf>
    <xf borderId="0" fillId="3" fontId="24" numFmtId="49" xfId="0" applyAlignment="1" applyFont="1" applyNumberFormat="1">
      <alignment shrinkToFit="0" vertical="center" wrapText="0"/>
    </xf>
    <xf borderId="112" fillId="3" fontId="24" numFmtId="49" xfId="0" applyAlignment="1" applyBorder="1" applyFont="1" applyNumberFormat="1">
      <alignment shrinkToFit="0" vertical="center" wrapText="0"/>
    </xf>
    <xf borderId="113" fillId="3" fontId="24" numFmtId="165" xfId="0" applyAlignment="1" applyBorder="1" applyFont="1" applyNumberFormat="1">
      <alignment vertical="center"/>
    </xf>
    <xf borderId="117" fillId="4" fontId="24" numFmtId="49" xfId="0" applyAlignment="1" applyBorder="1" applyFont="1" applyNumberFormat="1">
      <alignment readingOrder="0" shrinkToFit="0" vertical="center" wrapText="0"/>
    </xf>
    <xf borderId="118" fillId="4" fontId="24" numFmtId="165" xfId="0" applyAlignment="1" applyBorder="1" applyFont="1" applyNumberFormat="1">
      <alignment readingOrder="0" vertical="center"/>
    </xf>
    <xf borderId="119" fillId="4" fontId="24" numFmtId="9" xfId="0" applyAlignment="1" applyBorder="1" applyFont="1" applyNumberFormat="1">
      <alignment horizontal="center" vertical="center"/>
    </xf>
    <xf borderId="120" fillId="4" fontId="24" numFmtId="9" xfId="0" applyAlignment="1" applyBorder="1" applyFont="1" applyNumberFormat="1">
      <alignment horizontal="center" vertical="center"/>
    </xf>
    <xf borderId="121" fillId="4" fontId="24" numFmtId="9" xfId="0" applyAlignment="1" applyBorder="1" applyFont="1" applyNumberFormat="1">
      <alignment horizontal="center" readingOrder="0" vertical="center"/>
    </xf>
    <xf borderId="122" fillId="4" fontId="24" numFmtId="9" xfId="0" applyAlignment="1" applyBorder="1" applyFont="1" applyNumberFormat="1">
      <alignment horizontal="center" readingOrder="0" vertical="center"/>
    </xf>
    <xf borderId="123" fillId="18" fontId="24" numFmtId="9" xfId="0" applyAlignment="1" applyBorder="1" applyFont="1" applyNumberFormat="1">
      <alignment horizontal="center" vertical="center"/>
    </xf>
    <xf borderId="0" fillId="0" fontId="24" numFmtId="0" xfId="0" applyAlignment="1" applyFont="1">
      <alignment readingOrder="0" shrinkToFit="0" vertical="center" wrapText="0"/>
    </xf>
    <xf borderId="0" fillId="0" fontId="24" numFmtId="9" xfId="0" applyAlignment="1" applyFont="1" applyNumberFormat="1">
      <alignment readingOrder="0" vertical="center"/>
    </xf>
    <xf borderId="32" fillId="3" fontId="24" numFmtId="0" xfId="0" applyAlignment="1" applyBorder="1" applyFont="1">
      <alignment horizontal="center" readingOrder="0" vertical="center"/>
    </xf>
    <xf borderId="32" fillId="3" fontId="24" numFmtId="0" xfId="0" applyAlignment="1" applyBorder="1" applyFont="1">
      <alignment horizontal="center" vertical="center"/>
    </xf>
    <xf borderId="32" fillId="20" fontId="24" numFmtId="0" xfId="0" applyAlignment="1" applyBorder="1" applyFill="1" applyFont="1">
      <alignment horizontal="center" vertical="center"/>
    </xf>
    <xf borderId="0" fillId="3" fontId="30" numFmtId="0" xfId="0" applyAlignment="1" applyFont="1">
      <alignment shrinkToFit="0" vertical="center" wrapText="0"/>
    </xf>
    <xf borderId="2" fillId="19" fontId="30" numFmtId="0" xfId="0" applyAlignment="1" applyBorder="1" applyFont="1">
      <alignment shrinkToFit="0" vertical="center" wrapText="0"/>
    </xf>
    <xf borderId="71" fillId="19" fontId="24" numFmtId="0" xfId="0" applyAlignment="1" applyBorder="1" applyFont="1">
      <alignment horizontal="center" readingOrder="0" vertical="center"/>
    </xf>
    <xf borderId="2" fillId="19" fontId="24" numFmtId="0" xfId="0" applyAlignment="1" applyBorder="1" applyFont="1">
      <alignment horizontal="center" vertical="center"/>
    </xf>
    <xf borderId="2" fillId="19" fontId="24" numFmtId="0" xfId="0" applyAlignment="1" applyBorder="1" applyFont="1">
      <alignment horizontal="center" readingOrder="0" vertical="center"/>
    </xf>
    <xf borderId="72" fillId="19" fontId="24" numFmtId="0" xfId="0" applyAlignment="1" applyBorder="1" applyFont="1">
      <alignment horizontal="center" vertical="center"/>
    </xf>
    <xf borderId="0" fillId="0" fontId="30" numFmtId="0" xfId="0" applyAlignment="1" applyFont="1">
      <alignment vertical="center"/>
    </xf>
    <xf borderId="124" fillId="0" fontId="24" numFmtId="0" xfId="0" applyAlignment="1" applyBorder="1" applyFont="1">
      <alignment shrinkToFit="0" vertical="center" wrapText="0"/>
    </xf>
    <xf borderId="125" fillId="8" fontId="24" numFmtId="164" xfId="0" applyAlignment="1" applyBorder="1" applyFont="1" applyNumberFormat="1">
      <alignment horizontal="center" readingOrder="0" vertical="center"/>
    </xf>
    <xf borderId="124" fillId="0" fontId="24" numFmtId="165" xfId="0" applyAlignment="1" applyBorder="1" applyFont="1" applyNumberFormat="1">
      <alignment vertical="center"/>
    </xf>
    <xf borderId="124" fillId="0" fontId="24" numFmtId="164" xfId="0" applyAlignment="1" applyBorder="1" applyFont="1" applyNumberFormat="1">
      <alignment horizontal="center" vertical="center"/>
    </xf>
    <xf borderId="124" fillId="0" fontId="24" numFmtId="169" xfId="0" applyAlignment="1" applyBorder="1" applyFont="1" applyNumberFormat="1">
      <alignment horizontal="center" vertical="center"/>
    </xf>
    <xf borderId="126" fillId="0" fontId="24" numFmtId="170" xfId="0" applyAlignment="1" applyBorder="1" applyFont="1" applyNumberFormat="1">
      <alignment vertical="center"/>
    </xf>
    <xf borderId="127" fillId="0" fontId="24" numFmtId="0" xfId="0" applyAlignment="1" applyBorder="1" applyFont="1">
      <alignment vertical="center"/>
    </xf>
    <xf borderId="128" fillId="0" fontId="24" numFmtId="0" xfId="0" applyAlignment="1" applyBorder="1" applyFont="1">
      <alignment shrinkToFit="0" vertical="center" wrapText="0"/>
    </xf>
    <xf borderId="129" fillId="8" fontId="24" numFmtId="164" xfId="0" applyAlignment="1" applyBorder="1" applyFont="1" applyNumberFormat="1">
      <alignment horizontal="center" readingOrder="0" vertical="center"/>
    </xf>
    <xf borderId="128" fillId="0" fontId="24" numFmtId="165" xfId="0" applyAlignment="1" applyBorder="1" applyFont="1" applyNumberFormat="1">
      <alignment vertical="center"/>
    </xf>
    <xf borderId="128" fillId="0" fontId="24" numFmtId="164" xfId="0" applyAlignment="1" applyBorder="1" applyFont="1" applyNumberFormat="1">
      <alignment horizontal="center" vertical="center"/>
    </xf>
    <xf borderId="128" fillId="0" fontId="24" numFmtId="169" xfId="0" applyAlignment="1" applyBorder="1" applyFont="1" applyNumberFormat="1">
      <alignment horizontal="center" vertical="center"/>
    </xf>
    <xf borderId="130" fillId="0" fontId="24" numFmtId="170" xfId="0" applyAlignment="1" applyBorder="1" applyFont="1" applyNumberFormat="1">
      <alignment vertical="center"/>
    </xf>
    <xf borderId="131" fillId="0" fontId="24" numFmtId="0" xfId="0" applyAlignment="1" applyBorder="1" applyFont="1">
      <alignment vertical="center"/>
    </xf>
    <xf borderId="132" fillId="0" fontId="24" numFmtId="164" xfId="0" applyAlignment="1" applyBorder="1" applyFont="1" applyNumberFormat="1">
      <alignment horizontal="center" vertical="center"/>
    </xf>
    <xf borderId="132" fillId="0" fontId="24" numFmtId="165" xfId="0" applyAlignment="1" applyBorder="1" applyFont="1" applyNumberFormat="1">
      <alignment vertical="center"/>
    </xf>
    <xf borderId="129" fillId="0" fontId="24" numFmtId="165" xfId="0" applyAlignment="1" applyBorder="1" applyFont="1" applyNumberFormat="1">
      <alignment vertical="center"/>
    </xf>
    <xf borderId="133" fillId="0" fontId="24" numFmtId="164" xfId="0" applyAlignment="1" applyBorder="1" applyFont="1" applyNumberFormat="1">
      <alignment horizontal="center" vertical="center"/>
    </xf>
    <xf borderId="133" fillId="0" fontId="24" numFmtId="165" xfId="0" applyAlignment="1" applyBorder="1" applyFont="1" applyNumberFormat="1">
      <alignment vertical="center"/>
    </xf>
    <xf borderId="134" fillId="0" fontId="24" numFmtId="169" xfId="0" applyAlignment="1" applyBorder="1" applyFont="1" applyNumberFormat="1">
      <alignment horizontal="center" vertical="center"/>
    </xf>
    <xf borderId="132" fillId="0" fontId="24" numFmtId="0" xfId="0" applyAlignment="1" applyBorder="1" applyFont="1">
      <alignment readingOrder="0" shrinkToFit="0" vertical="center" wrapText="0"/>
    </xf>
    <xf borderId="133" fillId="0" fontId="24" numFmtId="165" xfId="0" applyAlignment="1" applyBorder="1" applyFont="1" applyNumberFormat="1">
      <alignment readingOrder="0" vertical="center"/>
    </xf>
    <xf borderId="135" fillId="0" fontId="24" numFmtId="0" xfId="0" applyAlignment="1" applyBorder="1" applyFont="1">
      <alignment vertical="center"/>
    </xf>
    <xf borderId="132" fillId="0" fontId="24" numFmtId="0" xfId="0" applyAlignment="1" applyBorder="1" applyFont="1">
      <alignment shrinkToFit="0" vertical="center" wrapText="0"/>
    </xf>
    <xf borderId="136" fillId="0" fontId="24" numFmtId="165" xfId="0" applyAlignment="1" applyBorder="1" applyFont="1" applyNumberFormat="1">
      <alignment vertical="center"/>
    </xf>
    <xf borderId="137" fillId="0" fontId="24" numFmtId="164" xfId="0" applyAlignment="1" applyBorder="1" applyFont="1" applyNumberFormat="1">
      <alignment horizontal="center" vertical="center"/>
    </xf>
    <xf borderId="137" fillId="0" fontId="24" numFmtId="165" xfId="0" applyAlignment="1" applyBorder="1" applyFont="1" applyNumberFormat="1">
      <alignment vertical="center"/>
    </xf>
    <xf borderId="138" fillId="0" fontId="24" numFmtId="169" xfId="0" applyAlignment="1" applyBorder="1" applyFont="1" applyNumberFormat="1">
      <alignment horizontal="center" vertical="center"/>
    </xf>
    <xf borderId="139" fillId="0" fontId="24" numFmtId="170" xfId="0" applyAlignment="1" applyBorder="1" applyFont="1" applyNumberFormat="1">
      <alignment vertical="center"/>
    </xf>
    <xf borderId="2" fillId="19" fontId="24" numFmtId="0" xfId="0" applyAlignment="1" applyBorder="1" applyFont="1">
      <alignment shrinkToFit="0" vertical="center" wrapText="0"/>
    </xf>
    <xf borderId="32" fillId="19" fontId="30" numFmtId="164" xfId="0" applyAlignment="1" applyBorder="1" applyFont="1" applyNumberFormat="1">
      <alignment horizontal="center" vertical="center"/>
    </xf>
    <xf borderId="50" fillId="19" fontId="30" numFmtId="165" xfId="0" applyAlignment="1" applyBorder="1" applyFont="1" applyNumberFormat="1">
      <alignment vertical="center"/>
    </xf>
    <xf borderId="3" fillId="19" fontId="30" numFmtId="164" xfId="0" applyAlignment="1" applyBorder="1" applyFont="1" applyNumberFormat="1">
      <alignment horizontal="center" vertical="center"/>
    </xf>
    <xf borderId="3" fillId="19" fontId="30" numFmtId="165" xfId="0" applyAlignment="1" applyBorder="1" applyFont="1" applyNumberFormat="1">
      <alignment vertical="center"/>
    </xf>
    <xf borderId="70" fillId="19" fontId="30" numFmtId="0" xfId="0" applyAlignment="1" applyBorder="1" applyFont="1">
      <alignment vertical="center"/>
    </xf>
    <xf borderId="50" fillId="19" fontId="30" numFmtId="0" xfId="0" applyAlignment="1" applyBorder="1" applyFont="1">
      <alignment vertical="center"/>
    </xf>
    <xf borderId="0" fillId="0" fontId="31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現金残高（バランスシート）（万円）</a:t>
            </a:r>
          </a:p>
        </c:rich>
      </c:tx>
      <c:layout>
        <c:manualLayout>
          <c:xMode val="edge"/>
          <c:yMode val="edge"/>
          <c:x val="0.04265927977839335"/>
          <c:y val="0.036577181208053686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現金</c:v>
          </c:tx>
          <c:spPr>
            <a:solidFill>
              <a:srgbClr val="FFD966"/>
            </a:solidFill>
            <a:ln cmpd="sng">
              <a:solidFill>
                <a:srgbClr val="FFD966">
                  <a:alpha val="100000"/>
                </a:srgbClr>
              </a:solidFill>
            </a:ln>
          </c:spPr>
          <c:cat>
            <c:strRef>
              <c:f>'📈資産推移'!$E$3:$BI$3</c:f>
            </c:strRef>
          </c:cat>
          <c:val>
            <c:numRef>
              <c:f>'📈資産推移'!$E$5:$BI$5</c:f>
              <c:numCache/>
            </c:numRef>
          </c:val>
        </c:ser>
        <c:overlap val="100"/>
        <c:axId val="1028772202"/>
        <c:axId val="307992362"/>
      </c:barChart>
      <c:catAx>
        <c:axId val="1028772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年齢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307992362"/>
      </c:catAx>
      <c:valAx>
        <c:axId val="307992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 ;[Red]\-#,##0\ 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028772202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資産残高（バランスシート）（万円）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総資産</c:v>
          </c:tx>
          <c:spPr>
            <a:solidFill>
              <a:srgbClr val="A2C4C9"/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'📈資産推移'!$E$3:$BI$3</c:f>
            </c:strRef>
          </c:cat>
          <c:val>
            <c:numRef>
              <c:f>'📈資産推移'!$E$10:$BI$10</c:f>
              <c:numCache/>
            </c:numRef>
          </c:val>
        </c:ser>
        <c:overlap val="100"/>
        <c:axId val="1375494487"/>
        <c:axId val="1444866807"/>
      </c:barChart>
      <c:catAx>
        <c:axId val="1375494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444866807"/>
      </c:catAx>
      <c:valAx>
        <c:axId val="1444866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 ;[Red]\-#,##0\ 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37549448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年末残高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'🌱投信（ライフプラン用）'!$A$9:$A$38</c:f>
            </c:strRef>
          </c:cat>
          <c:val>
            <c:numRef>
              <c:f>'🌱投信（ライフプラン用）'!$E$9:$E$38</c:f>
              <c:numCache/>
            </c:numRef>
          </c:val>
        </c:ser>
        <c:ser>
          <c:idx val="1"/>
          <c:order val="1"/>
          <c:tx>
            <c:v>投資額累計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'🌱投信（ライフプラン用）'!$A$9:$A$38</c:f>
            </c:strRef>
          </c:cat>
          <c:val>
            <c:numRef>
              <c:f>'🌱投信（ライフプラン用）'!$F$9:$F$38</c:f>
              <c:numCache/>
            </c:numRef>
          </c:val>
        </c:ser>
        <c:axId val="2036937602"/>
        <c:axId val="1673053201"/>
      </c:barChart>
      <c:catAx>
        <c:axId val="2036937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673053201"/>
      </c:catAx>
      <c:valAx>
        <c:axId val="1673053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3693760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🌸理想の資産配分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'🌟資産配分'!$B$19:$B$29</c:f>
            </c:strRef>
          </c:cat>
          <c:val>
            <c:numRef>
              <c:f>'🌟資産配分'!$C$19:$C$29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🌸現在の資産配分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'🌟資産配分'!$B$19:$B$29</c:f>
            </c:strRef>
          </c:cat>
          <c:val>
            <c:numRef>
              <c:f>'🌟資産配分'!$E$19:$E$29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年末残高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'🌱投信（自由）'!$A$9:$A$38</c:f>
            </c:strRef>
          </c:cat>
          <c:val>
            <c:numRef>
              <c:f>'🌱投信（自由）'!$E$9:$E$38</c:f>
              <c:numCache/>
            </c:numRef>
          </c:val>
        </c:ser>
        <c:ser>
          <c:idx val="1"/>
          <c:order val="1"/>
          <c:tx>
            <c:v>投資額累計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'🌱投信（自由）'!$A$9:$A$38</c:f>
            </c:strRef>
          </c:cat>
          <c:val>
            <c:numRef>
              <c:f>'🌱投信（自由）'!$F$9:$F$38</c:f>
              <c:numCache/>
            </c:numRef>
          </c:val>
        </c:ser>
        <c:axId val="1906785911"/>
        <c:axId val="2099908422"/>
      </c:barChart>
      <c:catAx>
        <c:axId val="1906785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99908422"/>
      </c:catAx>
      <c:valAx>
        <c:axId val="2099908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9067859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14</xdr:row>
      <xdr:rowOff>19050</xdr:rowOff>
    </xdr:from>
    <xdr:ext cx="6877050" cy="5676900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304800</xdr:colOff>
      <xdr:row>14</xdr:row>
      <xdr:rowOff>19050</xdr:rowOff>
    </xdr:from>
    <xdr:ext cx="6877050" cy="5676900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8</xdr:row>
      <xdr:rowOff>133350</xdr:rowOff>
    </xdr:from>
    <xdr:ext cx="12220575" cy="5591175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31</xdr:row>
      <xdr:rowOff>180975</xdr:rowOff>
    </xdr:from>
    <xdr:ext cx="5715000" cy="3533775"/>
    <xdr:graphicFrame>
      <xdr:nvGraphicFramePr>
        <xdr:cNvPr id="4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161925</xdr:colOff>
      <xdr:row>31</xdr:row>
      <xdr:rowOff>180975</xdr:rowOff>
    </xdr:from>
    <xdr:ext cx="5715000" cy="3533775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8</xdr:row>
      <xdr:rowOff>133350</xdr:rowOff>
    </xdr:from>
    <xdr:ext cx="12220575" cy="5591175"/>
    <xdr:graphicFrame>
      <xdr:nvGraphicFramePr>
        <xdr:cNvPr id="6" name="Chart 6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sa.go.jp/policy/nisa2/tsumitate-simulato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sa.go.jp/policy/nisa2/tsumitate-simulator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86"/>
    <col customWidth="1" min="2" max="2" width="83.14"/>
  </cols>
  <sheetData>
    <row r="1">
      <c r="A1" s="1" t="s">
        <v>0</v>
      </c>
      <c r="B1" s="2"/>
    </row>
    <row r="2">
      <c r="B2" s="2"/>
    </row>
    <row r="3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7.5" customHeight="1">
      <c r="A4" s="6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/>
      <c r="B7" s="4" t="s">
        <v>2</v>
      </c>
    </row>
    <row r="8" ht="33.0" customHeight="1">
      <c r="A8" s="11" t="s">
        <v>3</v>
      </c>
      <c r="B8" s="7"/>
    </row>
    <row r="9" ht="31.5" customHeight="1">
      <c r="A9" s="11" t="s">
        <v>4</v>
      </c>
      <c r="B9" s="12"/>
    </row>
    <row r="10" ht="34.5" customHeight="1">
      <c r="A10" s="11" t="s">
        <v>5</v>
      </c>
      <c r="B10" s="7"/>
    </row>
    <row r="11" ht="34.5" customHeight="1">
      <c r="A11" s="11" t="s">
        <v>6</v>
      </c>
      <c r="B11" s="7"/>
    </row>
    <row r="12">
      <c r="B12" s="2"/>
    </row>
    <row r="13">
      <c r="A13" s="10"/>
      <c r="B13" s="4" t="s">
        <v>7</v>
      </c>
    </row>
    <row r="14" ht="49.5" customHeight="1">
      <c r="A14" s="11" t="s">
        <v>8</v>
      </c>
      <c r="B14" s="7"/>
    </row>
    <row r="15" ht="54.0" customHeight="1">
      <c r="A15" s="11" t="s">
        <v>9</v>
      </c>
      <c r="B15" s="12"/>
    </row>
    <row r="16">
      <c r="B16" s="2"/>
    </row>
    <row r="17">
      <c r="A17" s="3"/>
      <c r="B17" s="4" t="s">
        <v>10</v>
      </c>
    </row>
    <row r="18" ht="42.75" customHeight="1">
      <c r="A18" s="6"/>
      <c r="B18" s="7"/>
    </row>
    <row r="19">
      <c r="B19" s="2"/>
    </row>
    <row r="20">
      <c r="A20" s="3"/>
      <c r="B20" s="4" t="s">
        <v>11</v>
      </c>
    </row>
    <row r="21" ht="64.5" customHeight="1">
      <c r="A21" s="6"/>
      <c r="B21" s="7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</sheetData>
  <mergeCells count="3">
    <mergeCell ref="A3:A4"/>
    <mergeCell ref="A17:A18"/>
    <mergeCell ref="A20:A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7.14"/>
    <col customWidth="1" min="3" max="3" width="23.14"/>
  </cols>
  <sheetData>
    <row r="1">
      <c r="A1" s="1" t="s">
        <v>12</v>
      </c>
    </row>
    <row r="3">
      <c r="A3" s="13" t="s">
        <v>13</v>
      </c>
    </row>
    <row r="4">
      <c r="A4" s="13" t="s">
        <v>14</v>
      </c>
    </row>
    <row r="5">
      <c r="A5" s="13" t="s">
        <v>15</v>
      </c>
    </row>
    <row r="7">
      <c r="B7" s="14" t="s">
        <v>16</v>
      </c>
      <c r="C7" s="14" t="s">
        <v>17</v>
      </c>
    </row>
    <row r="8">
      <c r="A8" s="15" t="s">
        <v>18</v>
      </c>
      <c r="B8" s="15" t="s">
        <v>19</v>
      </c>
      <c r="C8" s="15" t="s">
        <v>20</v>
      </c>
    </row>
    <row r="9">
      <c r="A9" s="15" t="s">
        <v>21</v>
      </c>
      <c r="B9" s="16"/>
      <c r="C9" s="16"/>
    </row>
    <row r="11">
      <c r="A11" s="15" t="s">
        <v>22</v>
      </c>
      <c r="B11" s="15" t="s">
        <v>19</v>
      </c>
      <c r="C11" s="15" t="s">
        <v>20</v>
      </c>
    </row>
    <row r="12">
      <c r="A12" s="11" t="s">
        <v>23</v>
      </c>
      <c r="B12" s="16"/>
      <c r="C12" s="16"/>
    </row>
    <row r="13">
      <c r="A13" s="11" t="s">
        <v>24</v>
      </c>
      <c r="B13" s="17"/>
      <c r="C13" s="16"/>
    </row>
    <row r="14">
      <c r="A14" s="11" t="s">
        <v>25</v>
      </c>
      <c r="B14" s="16"/>
      <c r="C14" s="16"/>
    </row>
    <row r="15">
      <c r="A15" s="11" t="s">
        <v>26</v>
      </c>
      <c r="B15" s="16"/>
      <c r="C15" s="16"/>
    </row>
    <row r="17">
      <c r="A17" s="15" t="s">
        <v>27</v>
      </c>
      <c r="B17" s="15" t="s">
        <v>19</v>
      </c>
      <c r="C17" s="15" t="s">
        <v>20</v>
      </c>
    </row>
    <row r="18">
      <c r="A18" s="11" t="s">
        <v>28</v>
      </c>
      <c r="B18" s="16"/>
      <c r="C18" s="16"/>
    </row>
    <row r="19">
      <c r="A19" s="11" t="s">
        <v>29</v>
      </c>
      <c r="B19" s="16"/>
      <c r="C19" s="16"/>
    </row>
    <row r="21">
      <c r="A21" s="15" t="s">
        <v>6</v>
      </c>
      <c r="B21" s="15" t="s">
        <v>19</v>
      </c>
      <c r="C21" s="15" t="s">
        <v>20</v>
      </c>
    </row>
    <row r="22">
      <c r="A22" s="11" t="s">
        <v>30</v>
      </c>
      <c r="B22" s="16"/>
      <c r="C22" s="16"/>
    </row>
    <row r="23">
      <c r="A23" s="11" t="s">
        <v>31</v>
      </c>
      <c r="B23" s="17"/>
      <c r="C23" s="16"/>
    </row>
    <row r="25">
      <c r="A25" s="15" t="s">
        <v>32</v>
      </c>
      <c r="B25" s="15" t="s">
        <v>19</v>
      </c>
      <c r="C25" s="15" t="s">
        <v>20</v>
      </c>
    </row>
    <row r="26">
      <c r="A26" s="11"/>
      <c r="B26" s="16"/>
      <c r="C26" s="16"/>
    </row>
    <row r="27">
      <c r="A27" s="11"/>
      <c r="B27" s="17"/>
      <c r="C27" s="16"/>
    </row>
    <row r="28">
      <c r="A28" s="11"/>
      <c r="B28" s="17"/>
      <c r="C28" s="16"/>
    </row>
    <row r="29">
      <c r="A29" s="13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24.29"/>
    <col customWidth="1" min="3" max="3" width="15.86"/>
    <col customWidth="1" min="4" max="4" width="20.57"/>
    <col customWidth="1" min="5" max="5" width="16.0"/>
    <col customWidth="1" min="6" max="6" width="78.43"/>
    <col customWidth="1" min="7" max="7" width="19.14"/>
    <col customWidth="1" min="9" max="9" width="18.43"/>
    <col customWidth="1" min="11" max="11" width="22.14"/>
  </cols>
  <sheetData>
    <row r="1">
      <c r="A1" s="1" t="s">
        <v>34</v>
      </c>
      <c r="D1" s="18"/>
    </row>
    <row r="2">
      <c r="B2" s="13"/>
      <c r="D2" s="18"/>
    </row>
    <row r="3">
      <c r="B3" s="19" t="s">
        <v>35</v>
      </c>
    </row>
    <row r="4">
      <c r="A4" s="20" t="s">
        <v>36</v>
      </c>
      <c r="B4" s="21" t="s">
        <v>37</v>
      </c>
      <c r="C4" s="22" t="s">
        <v>38</v>
      </c>
      <c r="D4" s="22" t="s">
        <v>39</v>
      </c>
      <c r="E4" s="22" t="s">
        <v>40</v>
      </c>
      <c r="F4" s="23" t="s">
        <v>41</v>
      </c>
      <c r="S4" s="24"/>
      <c r="T4" s="24"/>
      <c r="U4" s="24"/>
      <c r="V4" s="24"/>
    </row>
    <row r="5" ht="30.0" customHeight="1">
      <c r="B5" s="25"/>
      <c r="C5" s="16"/>
      <c r="D5" s="16"/>
      <c r="E5" s="26"/>
      <c r="F5" s="27"/>
      <c r="M5" s="24"/>
    </row>
    <row r="6" ht="30.0" customHeight="1">
      <c r="B6" s="25"/>
      <c r="C6" s="16"/>
      <c r="D6" s="16"/>
      <c r="E6" s="26"/>
      <c r="F6" s="27"/>
    </row>
    <row r="7" ht="30.0" customHeight="1">
      <c r="B7" s="25"/>
      <c r="C7" s="16"/>
      <c r="D7" s="16"/>
      <c r="E7" s="26"/>
      <c r="F7" s="27"/>
    </row>
    <row r="8" ht="30.0" customHeight="1">
      <c r="B8" s="25"/>
      <c r="C8" s="16"/>
      <c r="D8" s="16"/>
      <c r="E8" s="26"/>
      <c r="F8" s="27"/>
    </row>
    <row r="9" ht="30.0" customHeight="1">
      <c r="B9" s="25"/>
      <c r="C9" s="16"/>
      <c r="D9" s="16"/>
      <c r="E9" s="26"/>
      <c r="F9" s="27"/>
    </row>
    <row r="10" ht="30.0" customHeight="1">
      <c r="B10" s="25"/>
      <c r="C10" s="16"/>
      <c r="D10" s="16"/>
      <c r="E10" s="26"/>
      <c r="F10" s="27"/>
    </row>
    <row r="11" ht="30.0" customHeight="1">
      <c r="B11" s="25"/>
      <c r="C11" s="16"/>
      <c r="D11" s="16"/>
      <c r="E11" s="26"/>
      <c r="F11" s="27"/>
    </row>
    <row r="12" ht="30.0" customHeight="1">
      <c r="B12" s="25"/>
      <c r="C12" s="16"/>
      <c r="D12" s="16"/>
      <c r="E12" s="26"/>
      <c r="F12" s="27"/>
    </row>
    <row r="13" ht="30.0" customHeight="1">
      <c r="B13" s="25"/>
      <c r="C13" s="16"/>
      <c r="D13" s="16"/>
      <c r="E13" s="26"/>
      <c r="F13" s="27"/>
    </row>
    <row r="14">
      <c r="B14" s="28"/>
      <c r="C14" s="29"/>
      <c r="D14" s="30">
        <f>SUM(D5:D13)</f>
        <v>0</v>
      </c>
      <c r="E14" s="31"/>
      <c r="F14" s="32"/>
    </row>
    <row r="15">
      <c r="E15" s="33"/>
    </row>
    <row r="16">
      <c r="B16" s="19" t="s">
        <v>42</v>
      </c>
      <c r="D16" s="19" t="s">
        <v>43</v>
      </c>
    </row>
    <row r="17">
      <c r="B17" s="34" t="s">
        <v>44</v>
      </c>
      <c r="C17" s="35" t="s">
        <v>39</v>
      </c>
      <c r="D17" s="34" t="s">
        <v>45</v>
      </c>
      <c r="E17" s="35" t="s">
        <v>39</v>
      </c>
    </row>
    <row r="18">
      <c r="B18" s="36"/>
      <c r="C18" s="37"/>
      <c r="D18" s="36"/>
      <c r="E18" s="37"/>
    </row>
    <row r="19">
      <c r="B19" s="36"/>
      <c r="C19" s="37"/>
      <c r="D19" s="36"/>
      <c r="E19" s="37"/>
    </row>
    <row r="20">
      <c r="B20" s="36"/>
      <c r="C20" s="37"/>
      <c r="D20" s="36"/>
      <c r="E20" s="37"/>
    </row>
    <row r="21">
      <c r="B21" s="36"/>
      <c r="C21" s="37"/>
      <c r="D21" s="36"/>
      <c r="E21" s="37"/>
    </row>
    <row r="22">
      <c r="B22" s="36"/>
      <c r="C22" s="37"/>
      <c r="D22" s="36"/>
      <c r="E22" s="37"/>
    </row>
    <row r="23">
      <c r="B23" s="36"/>
      <c r="C23" s="37"/>
      <c r="D23" s="36"/>
      <c r="E23" s="37"/>
    </row>
    <row r="24">
      <c r="B24" s="36"/>
      <c r="C24" s="37"/>
      <c r="D24" s="36"/>
      <c r="E24" s="37"/>
    </row>
    <row r="25">
      <c r="B25" s="36"/>
      <c r="C25" s="37"/>
      <c r="D25" s="36"/>
      <c r="E25" s="37"/>
    </row>
    <row r="26">
      <c r="B26" s="36"/>
      <c r="C26" s="37"/>
      <c r="D26" s="36"/>
      <c r="E26" s="37"/>
    </row>
    <row r="27">
      <c r="B27" s="28" t="s">
        <v>46</v>
      </c>
      <c r="C27" s="38">
        <f>SUM(C18:C26)</f>
        <v>0</v>
      </c>
      <c r="D27" s="28" t="s">
        <v>46</v>
      </c>
      <c r="E27" s="38">
        <f>SUM(E18:E26)</f>
        <v>0</v>
      </c>
      <c r="F27" s="39"/>
    </row>
    <row r="28">
      <c r="F28" s="40"/>
    </row>
    <row r="29">
      <c r="B29" s="19" t="s">
        <v>47</v>
      </c>
      <c r="D29" s="18"/>
      <c r="F29" s="40"/>
      <c r="H29" s="13" t="s">
        <v>48</v>
      </c>
    </row>
    <row r="30">
      <c r="B30" s="41" t="s">
        <v>49</v>
      </c>
      <c r="C30" s="42" t="s">
        <v>50</v>
      </c>
      <c r="D30" s="42" t="s">
        <v>40</v>
      </c>
      <c r="E30" s="43" t="s">
        <v>51</v>
      </c>
      <c r="F30" s="40"/>
      <c r="H30" s="44" t="s">
        <v>52</v>
      </c>
    </row>
    <row r="31">
      <c r="B31" s="45" t="s">
        <v>53</v>
      </c>
      <c r="C31" s="46">
        <v>0.0</v>
      </c>
      <c r="D31" s="47" t="s">
        <v>54</v>
      </c>
      <c r="E31" s="48">
        <v>0.0</v>
      </c>
      <c r="F31" s="40"/>
      <c r="H31" s="49">
        <f t="shared" ref="H31:H50" si="1">C31*12</f>
        <v>0</v>
      </c>
    </row>
    <row r="32">
      <c r="B32" s="50" t="s">
        <v>55</v>
      </c>
      <c r="C32" s="51">
        <v>0.0</v>
      </c>
      <c r="D32" s="47" t="s">
        <v>56</v>
      </c>
      <c r="E32" s="52">
        <v>0.0</v>
      </c>
      <c r="F32" s="40"/>
      <c r="H32" s="49">
        <f t="shared" si="1"/>
        <v>0</v>
      </c>
    </row>
    <row r="33">
      <c r="B33" s="53" t="s">
        <v>57</v>
      </c>
      <c r="C33" s="51">
        <v>0.0</v>
      </c>
      <c r="D33" s="47"/>
      <c r="E33" s="52">
        <v>0.0</v>
      </c>
      <c r="F33" s="40"/>
      <c r="H33" s="49">
        <f t="shared" si="1"/>
        <v>0</v>
      </c>
    </row>
    <row r="34">
      <c r="B34" s="45" t="s">
        <v>58</v>
      </c>
      <c r="C34" s="51">
        <v>0.0</v>
      </c>
      <c r="D34" s="47"/>
      <c r="E34" s="52">
        <v>0.0</v>
      </c>
      <c r="H34" s="49">
        <f t="shared" si="1"/>
        <v>0</v>
      </c>
    </row>
    <row r="35">
      <c r="B35" s="45" t="s">
        <v>59</v>
      </c>
      <c r="C35" s="51">
        <v>0.0</v>
      </c>
      <c r="D35" s="47"/>
      <c r="E35" s="52">
        <v>0.0</v>
      </c>
      <c r="H35" s="49">
        <f t="shared" si="1"/>
        <v>0</v>
      </c>
    </row>
    <row r="36">
      <c r="B36" s="53" t="s">
        <v>22</v>
      </c>
      <c r="C36" s="51">
        <v>0.0</v>
      </c>
      <c r="D36" s="47"/>
      <c r="E36" s="52">
        <v>0.0</v>
      </c>
      <c r="H36" s="49">
        <f t="shared" si="1"/>
        <v>0</v>
      </c>
    </row>
    <row r="37">
      <c r="B37" s="54" t="s">
        <v>60</v>
      </c>
      <c r="C37" s="51">
        <v>0.0</v>
      </c>
      <c r="D37" s="47"/>
      <c r="E37" s="52">
        <v>0.0</v>
      </c>
      <c r="H37" s="49">
        <f t="shared" si="1"/>
        <v>0</v>
      </c>
    </row>
    <row r="38">
      <c r="B38" s="45" t="s">
        <v>61</v>
      </c>
      <c r="C38" s="51">
        <v>0.0</v>
      </c>
      <c r="D38" s="47"/>
      <c r="E38" s="52">
        <v>0.0</v>
      </c>
      <c r="H38" s="49">
        <f t="shared" si="1"/>
        <v>0</v>
      </c>
    </row>
    <row r="39">
      <c r="B39" s="53" t="s">
        <v>62</v>
      </c>
      <c r="C39" s="51">
        <v>0.0</v>
      </c>
      <c r="D39" s="47"/>
      <c r="E39" s="52">
        <v>0.0</v>
      </c>
      <c r="H39" s="49">
        <f t="shared" si="1"/>
        <v>0</v>
      </c>
    </row>
    <row r="40">
      <c r="B40" s="53" t="s">
        <v>63</v>
      </c>
      <c r="C40" s="51">
        <v>0.0</v>
      </c>
      <c r="D40" s="47"/>
      <c r="E40" s="52">
        <v>0.0</v>
      </c>
      <c r="H40" s="49">
        <f t="shared" si="1"/>
        <v>0</v>
      </c>
    </row>
    <row r="41">
      <c r="B41" s="53" t="s">
        <v>64</v>
      </c>
      <c r="C41" s="51">
        <v>0.0</v>
      </c>
      <c r="D41" s="47"/>
      <c r="E41" s="52">
        <v>0.0</v>
      </c>
      <c r="H41" s="49">
        <f t="shared" si="1"/>
        <v>0</v>
      </c>
    </row>
    <row r="42">
      <c r="B42" s="53" t="s">
        <v>65</v>
      </c>
      <c r="C42" s="51">
        <v>0.0</v>
      </c>
      <c r="D42" s="47"/>
      <c r="E42" s="52">
        <v>0.0</v>
      </c>
      <c r="H42" s="49">
        <f t="shared" si="1"/>
        <v>0</v>
      </c>
    </row>
    <row r="43">
      <c r="B43" s="55" t="s">
        <v>66</v>
      </c>
      <c r="C43" s="51">
        <v>0.0</v>
      </c>
      <c r="D43" s="47"/>
      <c r="E43" s="52">
        <v>0.0</v>
      </c>
      <c r="H43" s="49">
        <f t="shared" si="1"/>
        <v>0</v>
      </c>
    </row>
    <row r="44">
      <c r="B44" s="45" t="s">
        <v>67</v>
      </c>
      <c r="C44" s="51">
        <v>0.0</v>
      </c>
      <c r="D44" s="47"/>
      <c r="E44" s="52">
        <v>0.0</v>
      </c>
      <c r="H44" s="49">
        <f t="shared" si="1"/>
        <v>0</v>
      </c>
    </row>
    <row r="45">
      <c r="B45" s="53" t="s">
        <v>68</v>
      </c>
      <c r="C45" s="51">
        <v>0.0</v>
      </c>
      <c r="D45" s="47"/>
      <c r="E45" s="52">
        <v>0.0</v>
      </c>
      <c r="H45" s="49">
        <f t="shared" si="1"/>
        <v>0</v>
      </c>
    </row>
    <row r="46">
      <c r="B46" s="53" t="s">
        <v>69</v>
      </c>
      <c r="C46" s="51">
        <v>0.0</v>
      </c>
      <c r="D46" s="47"/>
      <c r="E46" s="52">
        <v>0.0</v>
      </c>
      <c r="H46" s="49">
        <f t="shared" si="1"/>
        <v>0</v>
      </c>
    </row>
    <row r="47">
      <c r="B47" s="53"/>
      <c r="C47" s="51">
        <v>0.0</v>
      </c>
      <c r="D47" s="47"/>
      <c r="E47" s="52">
        <v>0.0</v>
      </c>
      <c r="H47" s="49">
        <f t="shared" si="1"/>
        <v>0</v>
      </c>
    </row>
    <row r="48">
      <c r="B48" s="53"/>
      <c r="C48" s="51">
        <v>0.0</v>
      </c>
      <c r="D48" s="47"/>
      <c r="E48" s="52">
        <v>0.0</v>
      </c>
      <c r="H48" s="49">
        <f t="shared" si="1"/>
        <v>0</v>
      </c>
    </row>
    <row r="49">
      <c r="B49" s="45"/>
      <c r="C49" s="51">
        <v>0.0</v>
      </c>
      <c r="D49" s="47"/>
      <c r="E49" s="52">
        <v>0.0</v>
      </c>
      <c r="H49" s="49">
        <f t="shared" si="1"/>
        <v>0</v>
      </c>
    </row>
    <row r="50">
      <c r="B50" s="56"/>
      <c r="C50" s="57">
        <v>0.0</v>
      </c>
      <c r="D50" s="58"/>
      <c r="E50" s="59">
        <v>0.0</v>
      </c>
      <c r="H50" s="49">
        <f t="shared" si="1"/>
        <v>0</v>
      </c>
    </row>
    <row r="52">
      <c r="B52" s="19" t="s">
        <v>70</v>
      </c>
    </row>
    <row r="53">
      <c r="B53" s="60" t="s">
        <v>71</v>
      </c>
      <c r="C53" s="61" t="s">
        <v>72</v>
      </c>
      <c r="D53" s="62" t="s">
        <v>73</v>
      </c>
    </row>
    <row r="54">
      <c r="B54" s="55" t="s">
        <v>74</v>
      </c>
      <c r="C54" s="63"/>
      <c r="D54" s="37"/>
    </row>
    <row r="55">
      <c r="B55" s="55" t="s">
        <v>74</v>
      </c>
      <c r="C55" s="63"/>
      <c r="D55" s="37"/>
    </row>
    <row r="56">
      <c r="B56" s="55" t="s">
        <v>75</v>
      </c>
      <c r="C56" s="63"/>
      <c r="D56" s="37"/>
    </row>
    <row r="57">
      <c r="B57" s="55" t="s">
        <v>75</v>
      </c>
      <c r="C57" s="63"/>
      <c r="D57" s="37"/>
    </row>
    <row r="58">
      <c r="B58" s="55" t="s">
        <v>76</v>
      </c>
      <c r="C58" s="63"/>
      <c r="D58" s="37"/>
    </row>
    <row r="59">
      <c r="B59" s="55" t="s">
        <v>76</v>
      </c>
      <c r="C59" s="63"/>
      <c r="D59" s="37"/>
    </row>
    <row r="60">
      <c r="B60" s="64"/>
      <c r="C60" s="65"/>
      <c r="D60" s="66"/>
    </row>
    <row r="61">
      <c r="B61" s="64"/>
      <c r="C61" s="65"/>
      <c r="D61" s="66"/>
    </row>
    <row r="62">
      <c r="B62" s="64"/>
      <c r="C62" s="65"/>
      <c r="D62" s="66"/>
    </row>
    <row r="63">
      <c r="B63" s="64"/>
      <c r="C63" s="65"/>
      <c r="D63" s="66"/>
    </row>
    <row r="64">
      <c r="B64" s="36"/>
      <c r="C64" s="63"/>
      <c r="D64" s="37"/>
    </row>
    <row r="65">
      <c r="B65" s="36"/>
      <c r="C65" s="63"/>
      <c r="D65" s="37"/>
    </row>
    <row r="66">
      <c r="B66" s="36"/>
      <c r="C66" s="63"/>
      <c r="D66" s="37"/>
    </row>
    <row r="67">
      <c r="B67" s="36"/>
      <c r="C67" s="63"/>
      <c r="D67" s="37"/>
      <c r="E67" s="24"/>
      <c r="F67" s="24"/>
      <c r="G67" s="24"/>
    </row>
    <row r="68">
      <c r="B68" s="36"/>
      <c r="C68" s="63"/>
      <c r="D68" s="37"/>
    </row>
    <row r="69">
      <c r="B69" s="36"/>
      <c r="C69" s="63"/>
      <c r="D69" s="37"/>
    </row>
    <row r="70">
      <c r="B70" s="36"/>
      <c r="C70" s="63"/>
      <c r="D70" s="37"/>
    </row>
    <row r="71">
      <c r="B71" s="36"/>
      <c r="C71" s="63"/>
      <c r="D71" s="37"/>
    </row>
    <row r="72">
      <c r="B72" s="67" t="s">
        <v>46</v>
      </c>
      <c r="C72" s="68">
        <f t="shared" ref="C72:D72" si="2">SUM(C54:C62)</f>
        <v>0</v>
      </c>
      <c r="D72" s="69">
        <f t="shared" si="2"/>
        <v>0</v>
      </c>
    </row>
    <row r="75">
      <c r="B75" s="19" t="s">
        <v>77</v>
      </c>
    </row>
    <row r="76">
      <c r="B76" s="60" t="s">
        <v>78</v>
      </c>
      <c r="C76" s="61" t="s">
        <v>79</v>
      </c>
      <c r="D76" s="62" t="s">
        <v>80</v>
      </c>
    </row>
    <row r="77">
      <c r="B77" s="70" t="s">
        <v>81</v>
      </c>
      <c r="C77" s="71" t="s">
        <v>82</v>
      </c>
      <c r="D77" s="72">
        <v>500.0</v>
      </c>
    </row>
    <row r="78">
      <c r="B78" s="55"/>
      <c r="C78" s="63"/>
      <c r="D78" s="37"/>
    </row>
    <row r="79">
      <c r="B79" s="55"/>
      <c r="C79" s="63"/>
      <c r="D79" s="37"/>
    </row>
    <row r="80">
      <c r="B80" s="55"/>
      <c r="C80" s="63"/>
      <c r="D80" s="37"/>
    </row>
    <row r="81">
      <c r="B81" s="55"/>
      <c r="C81" s="63"/>
      <c r="D81" s="37"/>
    </row>
    <row r="82">
      <c r="B82" s="73"/>
      <c r="C82" s="74"/>
      <c r="D82" s="75"/>
    </row>
    <row r="83">
      <c r="B83" s="13" t="s">
        <v>83</v>
      </c>
      <c r="D83" s="18"/>
    </row>
    <row r="84">
      <c r="D84" s="18"/>
    </row>
    <row r="85">
      <c r="B85" s="76" t="s">
        <v>84</v>
      </c>
      <c r="C85" s="13" t="s">
        <v>85</v>
      </c>
      <c r="D85" s="18"/>
    </row>
    <row r="86">
      <c r="B86" s="77"/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</sheetData>
  <mergeCells count="1">
    <mergeCell ref="A4:A14"/>
  </mergeCells>
  <dataValidations>
    <dataValidation type="list" allowBlank="1" showErrorMessage="1" sqref="E5:E13 D31:D50">
      <formula1>"可能,不可能"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5.0" topLeftCell="F16" activePane="bottomRight" state="frozen"/>
      <selection activeCell="F1" sqref="F1" pane="topRight"/>
      <selection activeCell="A16" sqref="A16" pane="bottomLeft"/>
      <selection activeCell="F16" sqref="F16" pane="bottomRight"/>
    </sheetView>
  </sheetViews>
  <sheetFormatPr customHeight="1" defaultColWidth="14.43" defaultRowHeight="15.75" outlineLevelCol="1"/>
  <cols>
    <col customWidth="1" min="1" max="1" width="10.29"/>
    <col customWidth="1" min="2" max="2" width="5.29" outlineLevel="1"/>
    <col customWidth="1" min="3" max="3" width="27.86" outlineLevel="1"/>
    <col customWidth="1" min="4" max="4" width="8.0" outlineLevel="1"/>
    <col customWidth="1" min="5" max="5" width="6.29"/>
    <col customWidth="1" min="6" max="15" width="7.14"/>
    <col customWidth="1" min="16" max="25" width="7.86"/>
    <col customWidth="1" min="26" max="26" width="7.14"/>
    <col customWidth="1" min="27" max="35" width="6.29"/>
    <col customWidth="1" min="36" max="44" width="7.86"/>
    <col customWidth="1" min="45" max="48" width="6.29"/>
    <col customWidth="1" min="49" max="49" width="6.86"/>
    <col customWidth="1" min="50" max="54" width="6.29"/>
    <col customWidth="1" min="55" max="63" width="7.86"/>
  </cols>
  <sheetData>
    <row r="1">
      <c r="A1" s="1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</row>
    <row r="2">
      <c r="A2" s="78"/>
      <c r="B2" s="78"/>
      <c r="D2" s="80"/>
      <c r="E2" s="80"/>
      <c r="F2" s="80"/>
      <c r="G2" s="80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</row>
    <row r="4">
      <c r="A4" s="78"/>
      <c r="B4" s="81"/>
      <c r="C4" s="82" t="s">
        <v>87</v>
      </c>
      <c r="D4" s="83"/>
      <c r="E4" s="84"/>
      <c r="F4" s="84">
        <v>2025.0</v>
      </c>
      <c r="G4" s="84">
        <f t="shared" ref="G4:BK4" si="1">F4+1</f>
        <v>2026</v>
      </c>
      <c r="H4" s="84">
        <f t="shared" si="1"/>
        <v>2027</v>
      </c>
      <c r="I4" s="84">
        <f t="shared" si="1"/>
        <v>2028</v>
      </c>
      <c r="J4" s="84">
        <f t="shared" si="1"/>
        <v>2029</v>
      </c>
      <c r="K4" s="84">
        <f t="shared" si="1"/>
        <v>2030</v>
      </c>
      <c r="L4" s="84">
        <f t="shared" si="1"/>
        <v>2031</v>
      </c>
      <c r="M4" s="84">
        <f t="shared" si="1"/>
        <v>2032</v>
      </c>
      <c r="N4" s="84">
        <f t="shared" si="1"/>
        <v>2033</v>
      </c>
      <c r="O4" s="84">
        <f t="shared" si="1"/>
        <v>2034</v>
      </c>
      <c r="P4" s="84">
        <f t="shared" si="1"/>
        <v>2035</v>
      </c>
      <c r="Q4" s="84">
        <f t="shared" si="1"/>
        <v>2036</v>
      </c>
      <c r="R4" s="84">
        <f t="shared" si="1"/>
        <v>2037</v>
      </c>
      <c r="S4" s="84">
        <f t="shared" si="1"/>
        <v>2038</v>
      </c>
      <c r="T4" s="84">
        <f t="shared" si="1"/>
        <v>2039</v>
      </c>
      <c r="U4" s="84">
        <f t="shared" si="1"/>
        <v>2040</v>
      </c>
      <c r="V4" s="84">
        <f t="shared" si="1"/>
        <v>2041</v>
      </c>
      <c r="W4" s="84">
        <f t="shared" si="1"/>
        <v>2042</v>
      </c>
      <c r="X4" s="84">
        <f t="shared" si="1"/>
        <v>2043</v>
      </c>
      <c r="Y4" s="84">
        <f t="shared" si="1"/>
        <v>2044</v>
      </c>
      <c r="Z4" s="84">
        <f t="shared" si="1"/>
        <v>2045</v>
      </c>
      <c r="AA4" s="84">
        <f t="shared" si="1"/>
        <v>2046</v>
      </c>
      <c r="AB4" s="84">
        <f t="shared" si="1"/>
        <v>2047</v>
      </c>
      <c r="AC4" s="84">
        <f t="shared" si="1"/>
        <v>2048</v>
      </c>
      <c r="AD4" s="84">
        <f t="shared" si="1"/>
        <v>2049</v>
      </c>
      <c r="AE4" s="84">
        <f t="shared" si="1"/>
        <v>2050</v>
      </c>
      <c r="AF4" s="84">
        <f t="shared" si="1"/>
        <v>2051</v>
      </c>
      <c r="AG4" s="84">
        <f t="shared" si="1"/>
        <v>2052</v>
      </c>
      <c r="AH4" s="84">
        <f t="shared" si="1"/>
        <v>2053</v>
      </c>
      <c r="AI4" s="84">
        <f t="shared" si="1"/>
        <v>2054</v>
      </c>
      <c r="AJ4" s="84">
        <f t="shared" si="1"/>
        <v>2055</v>
      </c>
      <c r="AK4" s="84">
        <f t="shared" si="1"/>
        <v>2056</v>
      </c>
      <c r="AL4" s="84">
        <f t="shared" si="1"/>
        <v>2057</v>
      </c>
      <c r="AM4" s="84">
        <f t="shared" si="1"/>
        <v>2058</v>
      </c>
      <c r="AN4" s="84">
        <f t="shared" si="1"/>
        <v>2059</v>
      </c>
      <c r="AO4" s="84">
        <f t="shared" si="1"/>
        <v>2060</v>
      </c>
      <c r="AP4" s="84">
        <f t="shared" si="1"/>
        <v>2061</v>
      </c>
      <c r="AQ4" s="84">
        <f t="shared" si="1"/>
        <v>2062</v>
      </c>
      <c r="AR4" s="84">
        <f t="shared" si="1"/>
        <v>2063</v>
      </c>
      <c r="AS4" s="84">
        <f t="shared" si="1"/>
        <v>2064</v>
      </c>
      <c r="AT4" s="84">
        <f t="shared" si="1"/>
        <v>2065</v>
      </c>
      <c r="AU4" s="84">
        <f t="shared" si="1"/>
        <v>2066</v>
      </c>
      <c r="AV4" s="84">
        <f t="shared" si="1"/>
        <v>2067</v>
      </c>
      <c r="AW4" s="84">
        <f t="shared" si="1"/>
        <v>2068</v>
      </c>
      <c r="AX4" s="84">
        <f t="shared" si="1"/>
        <v>2069</v>
      </c>
      <c r="AY4" s="84">
        <f t="shared" si="1"/>
        <v>2070</v>
      </c>
      <c r="AZ4" s="84">
        <f t="shared" si="1"/>
        <v>2071</v>
      </c>
      <c r="BA4" s="84">
        <f t="shared" si="1"/>
        <v>2072</v>
      </c>
      <c r="BB4" s="84">
        <f t="shared" si="1"/>
        <v>2073</v>
      </c>
      <c r="BC4" s="84">
        <f t="shared" si="1"/>
        <v>2074</v>
      </c>
      <c r="BD4" s="84">
        <f t="shared" si="1"/>
        <v>2075</v>
      </c>
      <c r="BE4" s="84">
        <f t="shared" si="1"/>
        <v>2076</v>
      </c>
      <c r="BF4" s="84">
        <f t="shared" si="1"/>
        <v>2077</v>
      </c>
      <c r="BG4" s="84">
        <f t="shared" si="1"/>
        <v>2078</v>
      </c>
      <c r="BH4" s="84">
        <f t="shared" si="1"/>
        <v>2079</v>
      </c>
      <c r="BI4" s="84">
        <f t="shared" si="1"/>
        <v>2080</v>
      </c>
      <c r="BJ4" s="84">
        <f t="shared" si="1"/>
        <v>2081</v>
      </c>
      <c r="BK4" s="85">
        <f t="shared" si="1"/>
        <v>2082</v>
      </c>
    </row>
    <row r="5">
      <c r="A5" s="78"/>
      <c r="B5" s="86"/>
      <c r="C5" s="87" t="s">
        <v>88</v>
      </c>
      <c r="D5" s="88"/>
      <c r="E5" s="89"/>
      <c r="F5" s="89">
        <v>1.0</v>
      </c>
      <c r="G5" s="87">
        <f t="shared" ref="G5:BK5" si="2">F5+1</f>
        <v>2</v>
      </c>
      <c r="H5" s="87">
        <f t="shared" si="2"/>
        <v>3</v>
      </c>
      <c r="I5" s="87">
        <f t="shared" si="2"/>
        <v>4</v>
      </c>
      <c r="J5" s="87">
        <f t="shared" si="2"/>
        <v>5</v>
      </c>
      <c r="K5" s="87">
        <f t="shared" si="2"/>
        <v>6</v>
      </c>
      <c r="L5" s="87">
        <f t="shared" si="2"/>
        <v>7</v>
      </c>
      <c r="M5" s="87">
        <f t="shared" si="2"/>
        <v>8</v>
      </c>
      <c r="N5" s="87">
        <f t="shared" si="2"/>
        <v>9</v>
      </c>
      <c r="O5" s="87">
        <f t="shared" si="2"/>
        <v>10</v>
      </c>
      <c r="P5" s="87">
        <f t="shared" si="2"/>
        <v>11</v>
      </c>
      <c r="Q5" s="87">
        <f t="shared" si="2"/>
        <v>12</v>
      </c>
      <c r="R5" s="87">
        <f t="shared" si="2"/>
        <v>13</v>
      </c>
      <c r="S5" s="87">
        <f t="shared" si="2"/>
        <v>14</v>
      </c>
      <c r="T5" s="87">
        <f t="shared" si="2"/>
        <v>15</v>
      </c>
      <c r="U5" s="87">
        <f t="shared" si="2"/>
        <v>16</v>
      </c>
      <c r="V5" s="87">
        <f t="shared" si="2"/>
        <v>17</v>
      </c>
      <c r="W5" s="87">
        <f t="shared" si="2"/>
        <v>18</v>
      </c>
      <c r="X5" s="87">
        <f t="shared" si="2"/>
        <v>19</v>
      </c>
      <c r="Y5" s="87">
        <f t="shared" si="2"/>
        <v>20</v>
      </c>
      <c r="Z5" s="87">
        <f t="shared" si="2"/>
        <v>21</v>
      </c>
      <c r="AA5" s="87">
        <f t="shared" si="2"/>
        <v>22</v>
      </c>
      <c r="AB5" s="87">
        <f t="shared" si="2"/>
        <v>23</v>
      </c>
      <c r="AC5" s="87">
        <f t="shared" si="2"/>
        <v>24</v>
      </c>
      <c r="AD5" s="87">
        <f t="shared" si="2"/>
        <v>25</v>
      </c>
      <c r="AE5" s="87">
        <f t="shared" si="2"/>
        <v>26</v>
      </c>
      <c r="AF5" s="87">
        <f t="shared" si="2"/>
        <v>27</v>
      </c>
      <c r="AG5" s="87">
        <f t="shared" si="2"/>
        <v>28</v>
      </c>
      <c r="AH5" s="87">
        <f t="shared" si="2"/>
        <v>29</v>
      </c>
      <c r="AI5" s="87">
        <f t="shared" si="2"/>
        <v>30</v>
      </c>
      <c r="AJ5" s="87">
        <f t="shared" si="2"/>
        <v>31</v>
      </c>
      <c r="AK5" s="87">
        <f t="shared" si="2"/>
        <v>32</v>
      </c>
      <c r="AL5" s="87">
        <f t="shared" si="2"/>
        <v>33</v>
      </c>
      <c r="AM5" s="87">
        <f t="shared" si="2"/>
        <v>34</v>
      </c>
      <c r="AN5" s="87">
        <f t="shared" si="2"/>
        <v>35</v>
      </c>
      <c r="AO5" s="87">
        <f t="shared" si="2"/>
        <v>36</v>
      </c>
      <c r="AP5" s="87">
        <f t="shared" si="2"/>
        <v>37</v>
      </c>
      <c r="AQ5" s="87">
        <f t="shared" si="2"/>
        <v>38</v>
      </c>
      <c r="AR5" s="87">
        <f t="shared" si="2"/>
        <v>39</v>
      </c>
      <c r="AS5" s="87">
        <f t="shared" si="2"/>
        <v>40</v>
      </c>
      <c r="AT5" s="87">
        <f t="shared" si="2"/>
        <v>41</v>
      </c>
      <c r="AU5" s="87">
        <f t="shared" si="2"/>
        <v>42</v>
      </c>
      <c r="AV5" s="87">
        <f t="shared" si="2"/>
        <v>43</v>
      </c>
      <c r="AW5" s="87">
        <f t="shared" si="2"/>
        <v>44</v>
      </c>
      <c r="AX5" s="87">
        <f t="shared" si="2"/>
        <v>45</v>
      </c>
      <c r="AY5" s="87">
        <f t="shared" si="2"/>
        <v>46</v>
      </c>
      <c r="AZ5" s="87">
        <f t="shared" si="2"/>
        <v>47</v>
      </c>
      <c r="BA5" s="87">
        <f t="shared" si="2"/>
        <v>48</v>
      </c>
      <c r="BB5" s="87">
        <f t="shared" si="2"/>
        <v>49</v>
      </c>
      <c r="BC5" s="87">
        <f t="shared" si="2"/>
        <v>50</v>
      </c>
      <c r="BD5" s="87">
        <f t="shared" si="2"/>
        <v>51</v>
      </c>
      <c r="BE5" s="87">
        <f t="shared" si="2"/>
        <v>52</v>
      </c>
      <c r="BF5" s="87">
        <f t="shared" si="2"/>
        <v>53</v>
      </c>
      <c r="BG5" s="87">
        <f t="shared" si="2"/>
        <v>54</v>
      </c>
      <c r="BH5" s="87">
        <f t="shared" si="2"/>
        <v>55</v>
      </c>
      <c r="BI5" s="87">
        <f t="shared" si="2"/>
        <v>56</v>
      </c>
      <c r="BJ5" s="87">
        <f t="shared" si="2"/>
        <v>57</v>
      </c>
      <c r="BK5" s="90">
        <f t="shared" si="2"/>
        <v>58</v>
      </c>
    </row>
    <row r="6">
      <c r="A6" s="78"/>
      <c r="B6" s="86"/>
      <c r="C6" s="91" t="s">
        <v>30</v>
      </c>
      <c r="D6" s="92" t="s">
        <v>89</v>
      </c>
      <c r="E6" s="93"/>
      <c r="F6" s="94">
        <v>40.0</v>
      </c>
      <c r="G6" s="91">
        <f t="shared" ref="G6:BK6" si="3">F6+1</f>
        <v>41</v>
      </c>
      <c r="H6" s="91">
        <f t="shared" si="3"/>
        <v>42</v>
      </c>
      <c r="I6" s="91">
        <f t="shared" si="3"/>
        <v>43</v>
      </c>
      <c r="J6" s="91">
        <f t="shared" si="3"/>
        <v>44</v>
      </c>
      <c r="K6" s="91">
        <f t="shared" si="3"/>
        <v>45</v>
      </c>
      <c r="L6" s="91">
        <f t="shared" si="3"/>
        <v>46</v>
      </c>
      <c r="M6" s="91">
        <f t="shared" si="3"/>
        <v>47</v>
      </c>
      <c r="N6" s="91">
        <f t="shared" si="3"/>
        <v>48</v>
      </c>
      <c r="O6" s="91">
        <f t="shared" si="3"/>
        <v>49</v>
      </c>
      <c r="P6" s="91">
        <f t="shared" si="3"/>
        <v>50</v>
      </c>
      <c r="Q6" s="91">
        <f t="shared" si="3"/>
        <v>51</v>
      </c>
      <c r="R6" s="91">
        <f t="shared" si="3"/>
        <v>52</v>
      </c>
      <c r="S6" s="91">
        <f t="shared" si="3"/>
        <v>53</v>
      </c>
      <c r="T6" s="91">
        <f t="shared" si="3"/>
        <v>54</v>
      </c>
      <c r="U6" s="91">
        <f t="shared" si="3"/>
        <v>55</v>
      </c>
      <c r="V6" s="91">
        <f t="shared" si="3"/>
        <v>56</v>
      </c>
      <c r="W6" s="91">
        <f t="shared" si="3"/>
        <v>57</v>
      </c>
      <c r="X6" s="91">
        <f t="shared" si="3"/>
        <v>58</v>
      </c>
      <c r="Y6" s="91">
        <f t="shared" si="3"/>
        <v>59</v>
      </c>
      <c r="Z6" s="91">
        <f t="shared" si="3"/>
        <v>60</v>
      </c>
      <c r="AA6" s="91">
        <f t="shared" si="3"/>
        <v>61</v>
      </c>
      <c r="AB6" s="91">
        <f t="shared" si="3"/>
        <v>62</v>
      </c>
      <c r="AC6" s="91">
        <f t="shared" si="3"/>
        <v>63</v>
      </c>
      <c r="AD6" s="91">
        <f t="shared" si="3"/>
        <v>64</v>
      </c>
      <c r="AE6" s="91">
        <f t="shared" si="3"/>
        <v>65</v>
      </c>
      <c r="AF6" s="91">
        <f t="shared" si="3"/>
        <v>66</v>
      </c>
      <c r="AG6" s="91">
        <f t="shared" si="3"/>
        <v>67</v>
      </c>
      <c r="AH6" s="91">
        <f t="shared" si="3"/>
        <v>68</v>
      </c>
      <c r="AI6" s="91">
        <f t="shared" si="3"/>
        <v>69</v>
      </c>
      <c r="AJ6" s="91">
        <f t="shared" si="3"/>
        <v>70</v>
      </c>
      <c r="AK6" s="91">
        <f t="shared" si="3"/>
        <v>71</v>
      </c>
      <c r="AL6" s="91">
        <f t="shared" si="3"/>
        <v>72</v>
      </c>
      <c r="AM6" s="91">
        <f t="shared" si="3"/>
        <v>73</v>
      </c>
      <c r="AN6" s="91">
        <f t="shared" si="3"/>
        <v>74</v>
      </c>
      <c r="AO6" s="91">
        <f t="shared" si="3"/>
        <v>75</v>
      </c>
      <c r="AP6" s="91">
        <f t="shared" si="3"/>
        <v>76</v>
      </c>
      <c r="AQ6" s="91">
        <f t="shared" si="3"/>
        <v>77</v>
      </c>
      <c r="AR6" s="91">
        <f t="shared" si="3"/>
        <v>78</v>
      </c>
      <c r="AS6" s="91">
        <f t="shared" si="3"/>
        <v>79</v>
      </c>
      <c r="AT6" s="91">
        <f t="shared" si="3"/>
        <v>80</v>
      </c>
      <c r="AU6" s="91">
        <f t="shared" si="3"/>
        <v>81</v>
      </c>
      <c r="AV6" s="91">
        <f t="shared" si="3"/>
        <v>82</v>
      </c>
      <c r="AW6" s="91">
        <f t="shared" si="3"/>
        <v>83</v>
      </c>
      <c r="AX6" s="91">
        <f t="shared" si="3"/>
        <v>84</v>
      </c>
      <c r="AY6" s="91">
        <f t="shared" si="3"/>
        <v>85</v>
      </c>
      <c r="AZ6" s="91">
        <f t="shared" si="3"/>
        <v>86</v>
      </c>
      <c r="BA6" s="91">
        <f t="shared" si="3"/>
        <v>87</v>
      </c>
      <c r="BB6" s="91">
        <f t="shared" si="3"/>
        <v>88</v>
      </c>
      <c r="BC6" s="91">
        <f t="shared" si="3"/>
        <v>89</v>
      </c>
      <c r="BD6" s="91">
        <f t="shared" si="3"/>
        <v>90</v>
      </c>
      <c r="BE6" s="91">
        <f t="shared" si="3"/>
        <v>91</v>
      </c>
      <c r="BF6" s="91">
        <f t="shared" si="3"/>
        <v>92</v>
      </c>
      <c r="BG6" s="91">
        <f t="shared" si="3"/>
        <v>93</v>
      </c>
      <c r="BH6" s="91">
        <f t="shared" si="3"/>
        <v>94</v>
      </c>
      <c r="BI6" s="91">
        <f t="shared" si="3"/>
        <v>95</v>
      </c>
      <c r="BJ6" s="91">
        <f t="shared" si="3"/>
        <v>96</v>
      </c>
      <c r="BK6" s="95">
        <f t="shared" si="3"/>
        <v>97</v>
      </c>
    </row>
    <row r="7">
      <c r="A7" s="96"/>
      <c r="B7" s="86"/>
      <c r="C7" s="97" t="s">
        <v>90</v>
      </c>
      <c r="D7" s="98"/>
      <c r="E7" s="99"/>
      <c r="F7" s="99"/>
      <c r="G7" s="100"/>
      <c r="H7" s="100"/>
      <c r="I7" s="101"/>
      <c r="J7" s="102"/>
      <c r="K7" s="101"/>
      <c r="L7" s="103"/>
      <c r="M7" s="104"/>
      <c r="N7" s="104"/>
      <c r="O7" s="99"/>
      <c r="P7" s="100"/>
      <c r="Q7" s="101"/>
      <c r="R7" s="103"/>
      <c r="S7" s="104"/>
      <c r="T7" s="102"/>
      <c r="U7" s="100"/>
      <c r="V7" s="101"/>
      <c r="W7" s="104"/>
      <c r="X7" s="104"/>
      <c r="Y7" s="104"/>
      <c r="Z7" s="99"/>
      <c r="AA7" s="100"/>
      <c r="AB7" s="100"/>
      <c r="AC7" s="101"/>
      <c r="AD7" s="102"/>
      <c r="AE7" s="105" t="s">
        <v>91</v>
      </c>
      <c r="AF7" s="103"/>
      <c r="AG7" s="104"/>
      <c r="AH7" s="104"/>
      <c r="AI7" s="99"/>
      <c r="AJ7" s="100"/>
      <c r="AK7" s="101"/>
      <c r="AL7" s="103"/>
      <c r="AM7" s="104"/>
      <c r="AN7" s="102"/>
      <c r="AO7" s="100"/>
      <c r="AP7" s="101"/>
      <c r="AQ7" s="104"/>
      <c r="AR7" s="104"/>
      <c r="AS7" s="99"/>
      <c r="AT7" s="100"/>
      <c r="AU7" s="100"/>
      <c r="AV7" s="101"/>
      <c r="AW7" s="102"/>
      <c r="AX7" s="101"/>
      <c r="AY7" s="103"/>
      <c r="AZ7" s="104"/>
      <c r="BA7" s="104"/>
      <c r="BB7" s="99"/>
      <c r="BC7" s="100"/>
      <c r="BD7" s="101"/>
      <c r="BE7" s="103"/>
      <c r="BF7" s="104"/>
      <c r="BG7" s="102"/>
      <c r="BH7" s="100"/>
      <c r="BI7" s="101"/>
      <c r="BJ7" s="104"/>
      <c r="BK7" s="106"/>
    </row>
    <row r="8">
      <c r="A8" s="78"/>
      <c r="B8" s="86"/>
      <c r="C8" s="91" t="s">
        <v>31</v>
      </c>
      <c r="D8" s="92" t="s">
        <v>89</v>
      </c>
      <c r="E8" s="93"/>
      <c r="F8" s="94">
        <v>33.0</v>
      </c>
      <c r="G8" s="91">
        <f t="shared" ref="G8:BK8" si="4">F8+1</f>
        <v>34</v>
      </c>
      <c r="H8" s="91">
        <f t="shared" si="4"/>
        <v>35</v>
      </c>
      <c r="I8" s="91">
        <f t="shared" si="4"/>
        <v>36</v>
      </c>
      <c r="J8" s="91">
        <f t="shared" si="4"/>
        <v>37</v>
      </c>
      <c r="K8" s="91">
        <f t="shared" si="4"/>
        <v>38</v>
      </c>
      <c r="L8" s="91">
        <f t="shared" si="4"/>
        <v>39</v>
      </c>
      <c r="M8" s="91">
        <f t="shared" si="4"/>
        <v>40</v>
      </c>
      <c r="N8" s="91">
        <f t="shared" si="4"/>
        <v>41</v>
      </c>
      <c r="O8" s="91">
        <f t="shared" si="4"/>
        <v>42</v>
      </c>
      <c r="P8" s="91">
        <f t="shared" si="4"/>
        <v>43</v>
      </c>
      <c r="Q8" s="91">
        <f t="shared" si="4"/>
        <v>44</v>
      </c>
      <c r="R8" s="91">
        <f t="shared" si="4"/>
        <v>45</v>
      </c>
      <c r="S8" s="91">
        <f t="shared" si="4"/>
        <v>46</v>
      </c>
      <c r="T8" s="91">
        <f t="shared" si="4"/>
        <v>47</v>
      </c>
      <c r="U8" s="91">
        <f t="shared" si="4"/>
        <v>48</v>
      </c>
      <c r="V8" s="91">
        <f t="shared" si="4"/>
        <v>49</v>
      </c>
      <c r="W8" s="91">
        <f t="shared" si="4"/>
        <v>50</v>
      </c>
      <c r="X8" s="91">
        <f t="shared" si="4"/>
        <v>51</v>
      </c>
      <c r="Y8" s="91">
        <f t="shared" si="4"/>
        <v>52</v>
      </c>
      <c r="Z8" s="91">
        <f t="shared" si="4"/>
        <v>53</v>
      </c>
      <c r="AA8" s="91">
        <f t="shared" si="4"/>
        <v>54</v>
      </c>
      <c r="AB8" s="91">
        <f t="shared" si="4"/>
        <v>55</v>
      </c>
      <c r="AC8" s="91">
        <f t="shared" si="4"/>
        <v>56</v>
      </c>
      <c r="AD8" s="91">
        <f t="shared" si="4"/>
        <v>57</v>
      </c>
      <c r="AE8" s="91">
        <f t="shared" si="4"/>
        <v>58</v>
      </c>
      <c r="AF8" s="91">
        <f t="shared" si="4"/>
        <v>59</v>
      </c>
      <c r="AG8" s="91">
        <f t="shared" si="4"/>
        <v>60</v>
      </c>
      <c r="AH8" s="91">
        <f t="shared" si="4"/>
        <v>61</v>
      </c>
      <c r="AI8" s="91">
        <f t="shared" si="4"/>
        <v>62</v>
      </c>
      <c r="AJ8" s="91">
        <f t="shared" si="4"/>
        <v>63</v>
      </c>
      <c r="AK8" s="91">
        <f t="shared" si="4"/>
        <v>64</v>
      </c>
      <c r="AL8" s="91">
        <f t="shared" si="4"/>
        <v>65</v>
      </c>
      <c r="AM8" s="91">
        <f t="shared" si="4"/>
        <v>66</v>
      </c>
      <c r="AN8" s="91">
        <f t="shared" si="4"/>
        <v>67</v>
      </c>
      <c r="AO8" s="91">
        <f t="shared" si="4"/>
        <v>68</v>
      </c>
      <c r="AP8" s="91">
        <f t="shared" si="4"/>
        <v>69</v>
      </c>
      <c r="AQ8" s="91">
        <f t="shared" si="4"/>
        <v>70</v>
      </c>
      <c r="AR8" s="91">
        <f t="shared" si="4"/>
        <v>71</v>
      </c>
      <c r="AS8" s="91">
        <f t="shared" si="4"/>
        <v>72</v>
      </c>
      <c r="AT8" s="91">
        <f t="shared" si="4"/>
        <v>73</v>
      </c>
      <c r="AU8" s="91">
        <f t="shared" si="4"/>
        <v>74</v>
      </c>
      <c r="AV8" s="91">
        <f t="shared" si="4"/>
        <v>75</v>
      </c>
      <c r="AW8" s="91">
        <f t="shared" si="4"/>
        <v>76</v>
      </c>
      <c r="AX8" s="91">
        <f t="shared" si="4"/>
        <v>77</v>
      </c>
      <c r="AY8" s="91">
        <f t="shared" si="4"/>
        <v>78</v>
      </c>
      <c r="AZ8" s="91">
        <f t="shared" si="4"/>
        <v>79</v>
      </c>
      <c r="BA8" s="91">
        <f t="shared" si="4"/>
        <v>80</v>
      </c>
      <c r="BB8" s="91">
        <f t="shared" si="4"/>
        <v>81</v>
      </c>
      <c r="BC8" s="91">
        <f t="shared" si="4"/>
        <v>82</v>
      </c>
      <c r="BD8" s="91">
        <f t="shared" si="4"/>
        <v>83</v>
      </c>
      <c r="BE8" s="91">
        <f t="shared" si="4"/>
        <v>84</v>
      </c>
      <c r="BF8" s="91">
        <f t="shared" si="4"/>
        <v>85</v>
      </c>
      <c r="BG8" s="91">
        <f t="shared" si="4"/>
        <v>86</v>
      </c>
      <c r="BH8" s="91">
        <f t="shared" si="4"/>
        <v>87</v>
      </c>
      <c r="BI8" s="91">
        <f t="shared" si="4"/>
        <v>88</v>
      </c>
      <c r="BJ8" s="91">
        <f t="shared" si="4"/>
        <v>89</v>
      </c>
      <c r="BK8" s="95">
        <f t="shared" si="4"/>
        <v>90</v>
      </c>
    </row>
    <row r="9">
      <c r="A9" s="78"/>
      <c r="B9" s="86"/>
      <c r="C9" s="97" t="s">
        <v>90</v>
      </c>
      <c r="D9" s="98"/>
      <c r="E9" s="107"/>
      <c r="F9" s="107"/>
      <c r="G9" s="108"/>
      <c r="H9" s="108"/>
      <c r="I9" s="109"/>
      <c r="J9" s="110"/>
      <c r="K9" s="109"/>
      <c r="L9" s="111"/>
      <c r="M9" s="112"/>
      <c r="N9" s="112"/>
      <c r="O9" s="107"/>
      <c r="P9" s="108"/>
      <c r="Q9" s="109"/>
      <c r="R9" s="111"/>
      <c r="S9" s="112"/>
      <c r="T9" s="110"/>
      <c r="U9" s="108"/>
      <c r="V9" s="109"/>
      <c r="W9" s="112"/>
      <c r="X9" s="112"/>
      <c r="Y9" s="112"/>
      <c r="Z9" s="107"/>
      <c r="AA9" s="108"/>
      <c r="AB9" s="108"/>
      <c r="AC9" s="109"/>
      <c r="AD9" s="110"/>
      <c r="AE9" s="109"/>
      <c r="AF9" s="111"/>
      <c r="AG9" s="112"/>
      <c r="AH9" s="112"/>
      <c r="AI9" s="107"/>
      <c r="AJ9" s="108"/>
      <c r="AK9" s="109"/>
      <c r="AL9" s="111"/>
      <c r="AM9" s="112"/>
      <c r="AN9" s="110"/>
      <c r="AO9" s="108"/>
      <c r="AP9" s="109"/>
      <c r="AQ9" s="112"/>
      <c r="AR9" s="112"/>
      <c r="AS9" s="107"/>
      <c r="AT9" s="108"/>
      <c r="AU9" s="108"/>
      <c r="AV9" s="109"/>
      <c r="AW9" s="110"/>
      <c r="AX9" s="109"/>
      <c r="AY9" s="111"/>
      <c r="AZ9" s="112"/>
      <c r="BA9" s="112"/>
      <c r="BB9" s="107"/>
      <c r="BC9" s="108"/>
      <c r="BD9" s="109"/>
      <c r="BE9" s="111"/>
      <c r="BF9" s="112"/>
      <c r="BG9" s="110"/>
      <c r="BH9" s="108"/>
      <c r="BI9" s="109"/>
      <c r="BJ9" s="112"/>
      <c r="BK9" s="113"/>
    </row>
    <row r="10">
      <c r="A10" s="78"/>
      <c r="B10" s="86"/>
      <c r="C10" s="91" t="s">
        <v>92</v>
      </c>
      <c r="D10" s="92" t="s">
        <v>89</v>
      </c>
      <c r="E10" s="93"/>
      <c r="F10" s="94">
        <v>6.0</v>
      </c>
      <c r="G10" s="91">
        <f t="shared" ref="G10:BK10" si="5">F10+1</f>
        <v>7</v>
      </c>
      <c r="H10" s="91">
        <f t="shared" si="5"/>
        <v>8</v>
      </c>
      <c r="I10" s="91">
        <f t="shared" si="5"/>
        <v>9</v>
      </c>
      <c r="J10" s="91">
        <f t="shared" si="5"/>
        <v>10</v>
      </c>
      <c r="K10" s="91">
        <f t="shared" si="5"/>
        <v>11</v>
      </c>
      <c r="L10" s="91">
        <f t="shared" si="5"/>
        <v>12</v>
      </c>
      <c r="M10" s="91">
        <f t="shared" si="5"/>
        <v>13</v>
      </c>
      <c r="N10" s="91">
        <f t="shared" si="5"/>
        <v>14</v>
      </c>
      <c r="O10" s="91">
        <f t="shared" si="5"/>
        <v>15</v>
      </c>
      <c r="P10" s="91">
        <f t="shared" si="5"/>
        <v>16</v>
      </c>
      <c r="Q10" s="91">
        <f t="shared" si="5"/>
        <v>17</v>
      </c>
      <c r="R10" s="91">
        <f t="shared" si="5"/>
        <v>18</v>
      </c>
      <c r="S10" s="91">
        <f t="shared" si="5"/>
        <v>19</v>
      </c>
      <c r="T10" s="91">
        <f t="shared" si="5"/>
        <v>20</v>
      </c>
      <c r="U10" s="91">
        <f t="shared" si="5"/>
        <v>21</v>
      </c>
      <c r="V10" s="91">
        <f t="shared" si="5"/>
        <v>22</v>
      </c>
      <c r="W10" s="91">
        <f t="shared" si="5"/>
        <v>23</v>
      </c>
      <c r="X10" s="91">
        <f t="shared" si="5"/>
        <v>24</v>
      </c>
      <c r="Y10" s="91">
        <f t="shared" si="5"/>
        <v>25</v>
      </c>
      <c r="Z10" s="91">
        <f t="shared" si="5"/>
        <v>26</v>
      </c>
      <c r="AA10" s="91">
        <f t="shared" si="5"/>
        <v>27</v>
      </c>
      <c r="AB10" s="91">
        <f t="shared" si="5"/>
        <v>28</v>
      </c>
      <c r="AC10" s="91">
        <f t="shared" si="5"/>
        <v>29</v>
      </c>
      <c r="AD10" s="91">
        <f t="shared" si="5"/>
        <v>30</v>
      </c>
      <c r="AE10" s="91">
        <f t="shared" si="5"/>
        <v>31</v>
      </c>
      <c r="AF10" s="91">
        <f t="shared" si="5"/>
        <v>32</v>
      </c>
      <c r="AG10" s="91">
        <f t="shared" si="5"/>
        <v>33</v>
      </c>
      <c r="AH10" s="91">
        <f t="shared" si="5"/>
        <v>34</v>
      </c>
      <c r="AI10" s="91">
        <f t="shared" si="5"/>
        <v>35</v>
      </c>
      <c r="AJ10" s="91">
        <f t="shared" si="5"/>
        <v>36</v>
      </c>
      <c r="AK10" s="91">
        <f t="shared" si="5"/>
        <v>37</v>
      </c>
      <c r="AL10" s="91">
        <f t="shared" si="5"/>
        <v>38</v>
      </c>
      <c r="AM10" s="91">
        <f t="shared" si="5"/>
        <v>39</v>
      </c>
      <c r="AN10" s="91">
        <f t="shared" si="5"/>
        <v>40</v>
      </c>
      <c r="AO10" s="91">
        <f t="shared" si="5"/>
        <v>41</v>
      </c>
      <c r="AP10" s="91">
        <f t="shared" si="5"/>
        <v>42</v>
      </c>
      <c r="AQ10" s="91">
        <f t="shared" si="5"/>
        <v>43</v>
      </c>
      <c r="AR10" s="91">
        <f t="shared" si="5"/>
        <v>44</v>
      </c>
      <c r="AS10" s="91">
        <f t="shared" si="5"/>
        <v>45</v>
      </c>
      <c r="AT10" s="91">
        <f t="shared" si="5"/>
        <v>46</v>
      </c>
      <c r="AU10" s="91">
        <f t="shared" si="5"/>
        <v>47</v>
      </c>
      <c r="AV10" s="91">
        <f t="shared" si="5"/>
        <v>48</v>
      </c>
      <c r="AW10" s="91">
        <f t="shared" si="5"/>
        <v>49</v>
      </c>
      <c r="AX10" s="91">
        <f t="shared" si="5"/>
        <v>50</v>
      </c>
      <c r="AY10" s="91">
        <f t="shared" si="5"/>
        <v>51</v>
      </c>
      <c r="AZ10" s="91">
        <f t="shared" si="5"/>
        <v>52</v>
      </c>
      <c r="BA10" s="91">
        <f t="shared" si="5"/>
        <v>53</v>
      </c>
      <c r="BB10" s="91">
        <f t="shared" si="5"/>
        <v>54</v>
      </c>
      <c r="BC10" s="91">
        <f t="shared" si="5"/>
        <v>55</v>
      </c>
      <c r="BD10" s="91">
        <f t="shared" si="5"/>
        <v>56</v>
      </c>
      <c r="BE10" s="91">
        <f t="shared" si="5"/>
        <v>57</v>
      </c>
      <c r="BF10" s="91">
        <f t="shared" si="5"/>
        <v>58</v>
      </c>
      <c r="BG10" s="91">
        <f t="shared" si="5"/>
        <v>59</v>
      </c>
      <c r="BH10" s="91">
        <f t="shared" si="5"/>
        <v>60</v>
      </c>
      <c r="BI10" s="91">
        <f t="shared" si="5"/>
        <v>61</v>
      </c>
      <c r="BJ10" s="91">
        <f t="shared" si="5"/>
        <v>62</v>
      </c>
      <c r="BK10" s="95">
        <f t="shared" si="5"/>
        <v>63</v>
      </c>
    </row>
    <row r="11">
      <c r="A11" s="78"/>
      <c r="B11" s="86"/>
      <c r="C11" s="97" t="s">
        <v>90</v>
      </c>
      <c r="D11" s="98"/>
      <c r="E11" s="107"/>
      <c r="F11" s="107"/>
      <c r="G11" s="108"/>
      <c r="H11" s="108"/>
      <c r="I11" s="109"/>
      <c r="J11" s="110"/>
      <c r="K11" s="109"/>
      <c r="L11" s="111"/>
      <c r="M11" s="112"/>
      <c r="N11" s="112"/>
      <c r="O11" s="107"/>
      <c r="P11" s="108"/>
      <c r="Q11" s="109"/>
      <c r="R11" s="111"/>
      <c r="S11" s="114"/>
      <c r="T11" s="115"/>
      <c r="U11" s="108"/>
      <c r="V11" s="109"/>
      <c r="W11" s="112"/>
      <c r="X11" s="112"/>
      <c r="Y11" s="112"/>
      <c r="Z11" s="107"/>
      <c r="AA11" s="108"/>
      <c r="AB11" s="108"/>
      <c r="AC11" s="109"/>
      <c r="AD11" s="110"/>
      <c r="AE11" s="109"/>
      <c r="AF11" s="111"/>
      <c r="AG11" s="112"/>
      <c r="AH11" s="112"/>
      <c r="AI11" s="107"/>
      <c r="AJ11" s="108"/>
      <c r="AK11" s="109"/>
      <c r="AL11" s="111"/>
      <c r="AM11" s="112"/>
      <c r="AN11" s="110"/>
      <c r="AO11" s="108"/>
      <c r="AP11" s="109"/>
      <c r="AQ11" s="112"/>
      <c r="AR11" s="112"/>
      <c r="AS11" s="107"/>
      <c r="AT11" s="108"/>
      <c r="AU11" s="108"/>
      <c r="AV11" s="109"/>
      <c r="AW11" s="110"/>
      <c r="AX11" s="109"/>
      <c r="AY11" s="111"/>
      <c r="AZ11" s="112"/>
      <c r="BA11" s="112"/>
      <c r="BB11" s="107"/>
      <c r="BC11" s="108"/>
      <c r="BD11" s="109"/>
      <c r="BE11" s="111"/>
      <c r="BF11" s="112"/>
      <c r="BG11" s="110"/>
      <c r="BH11" s="108"/>
      <c r="BI11" s="109"/>
      <c r="BJ11" s="112"/>
      <c r="BK11" s="113"/>
    </row>
    <row r="12">
      <c r="A12" s="78"/>
      <c r="B12" s="86"/>
      <c r="C12" s="91" t="s">
        <v>92</v>
      </c>
      <c r="D12" s="92" t="s">
        <v>89</v>
      </c>
      <c r="E12" s="93"/>
      <c r="F12" s="94">
        <v>4.0</v>
      </c>
      <c r="G12" s="91">
        <f t="shared" ref="G12:BK12" si="6">F12+1</f>
        <v>5</v>
      </c>
      <c r="H12" s="91">
        <f t="shared" si="6"/>
        <v>6</v>
      </c>
      <c r="I12" s="91">
        <f t="shared" si="6"/>
        <v>7</v>
      </c>
      <c r="J12" s="91">
        <f t="shared" si="6"/>
        <v>8</v>
      </c>
      <c r="K12" s="91">
        <f t="shared" si="6"/>
        <v>9</v>
      </c>
      <c r="L12" s="91">
        <f t="shared" si="6"/>
        <v>10</v>
      </c>
      <c r="M12" s="91">
        <f t="shared" si="6"/>
        <v>11</v>
      </c>
      <c r="N12" s="91">
        <f t="shared" si="6"/>
        <v>12</v>
      </c>
      <c r="O12" s="91">
        <f t="shared" si="6"/>
        <v>13</v>
      </c>
      <c r="P12" s="91">
        <f t="shared" si="6"/>
        <v>14</v>
      </c>
      <c r="Q12" s="91">
        <f t="shared" si="6"/>
        <v>15</v>
      </c>
      <c r="R12" s="91">
        <f t="shared" si="6"/>
        <v>16</v>
      </c>
      <c r="S12" s="91">
        <f t="shared" si="6"/>
        <v>17</v>
      </c>
      <c r="T12" s="91">
        <f t="shared" si="6"/>
        <v>18</v>
      </c>
      <c r="U12" s="91">
        <f t="shared" si="6"/>
        <v>19</v>
      </c>
      <c r="V12" s="91">
        <f t="shared" si="6"/>
        <v>20</v>
      </c>
      <c r="W12" s="91">
        <f t="shared" si="6"/>
        <v>21</v>
      </c>
      <c r="X12" s="91">
        <f t="shared" si="6"/>
        <v>22</v>
      </c>
      <c r="Y12" s="91">
        <f t="shared" si="6"/>
        <v>23</v>
      </c>
      <c r="Z12" s="91">
        <f t="shared" si="6"/>
        <v>24</v>
      </c>
      <c r="AA12" s="91">
        <f t="shared" si="6"/>
        <v>25</v>
      </c>
      <c r="AB12" s="91">
        <f t="shared" si="6"/>
        <v>26</v>
      </c>
      <c r="AC12" s="91">
        <f t="shared" si="6"/>
        <v>27</v>
      </c>
      <c r="AD12" s="91">
        <f t="shared" si="6"/>
        <v>28</v>
      </c>
      <c r="AE12" s="91">
        <f t="shared" si="6"/>
        <v>29</v>
      </c>
      <c r="AF12" s="91">
        <f t="shared" si="6"/>
        <v>30</v>
      </c>
      <c r="AG12" s="91">
        <f t="shared" si="6"/>
        <v>31</v>
      </c>
      <c r="AH12" s="91">
        <f t="shared" si="6"/>
        <v>32</v>
      </c>
      <c r="AI12" s="91">
        <f t="shared" si="6"/>
        <v>33</v>
      </c>
      <c r="AJ12" s="91">
        <f t="shared" si="6"/>
        <v>34</v>
      </c>
      <c r="AK12" s="91">
        <f t="shared" si="6"/>
        <v>35</v>
      </c>
      <c r="AL12" s="91">
        <f t="shared" si="6"/>
        <v>36</v>
      </c>
      <c r="AM12" s="91">
        <f t="shared" si="6"/>
        <v>37</v>
      </c>
      <c r="AN12" s="91">
        <f t="shared" si="6"/>
        <v>38</v>
      </c>
      <c r="AO12" s="91">
        <f t="shared" si="6"/>
        <v>39</v>
      </c>
      <c r="AP12" s="91">
        <f t="shared" si="6"/>
        <v>40</v>
      </c>
      <c r="AQ12" s="91">
        <f t="shared" si="6"/>
        <v>41</v>
      </c>
      <c r="AR12" s="91">
        <f t="shared" si="6"/>
        <v>42</v>
      </c>
      <c r="AS12" s="91">
        <f t="shared" si="6"/>
        <v>43</v>
      </c>
      <c r="AT12" s="91">
        <f t="shared" si="6"/>
        <v>44</v>
      </c>
      <c r="AU12" s="91">
        <f t="shared" si="6"/>
        <v>45</v>
      </c>
      <c r="AV12" s="91">
        <f t="shared" si="6"/>
        <v>46</v>
      </c>
      <c r="AW12" s="91">
        <f t="shared" si="6"/>
        <v>47</v>
      </c>
      <c r="AX12" s="91">
        <f t="shared" si="6"/>
        <v>48</v>
      </c>
      <c r="AY12" s="91">
        <f t="shared" si="6"/>
        <v>49</v>
      </c>
      <c r="AZ12" s="91">
        <f t="shared" si="6"/>
        <v>50</v>
      </c>
      <c r="BA12" s="91">
        <f t="shared" si="6"/>
        <v>51</v>
      </c>
      <c r="BB12" s="91">
        <f t="shared" si="6"/>
        <v>52</v>
      </c>
      <c r="BC12" s="91">
        <f t="shared" si="6"/>
        <v>53</v>
      </c>
      <c r="BD12" s="91">
        <f t="shared" si="6"/>
        <v>54</v>
      </c>
      <c r="BE12" s="91">
        <f t="shared" si="6"/>
        <v>55</v>
      </c>
      <c r="BF12" s="91">
        <f t="shared" si="6"/>
        <v>56</v>
      </c>
      <c r="BG12" s="91">
        <f t="shared" si="6"/>
        <v>57</v>
      </c>
      <c r="BH12" s="91">
        <f t="shared" si="6"/>
        <v>58</v>
      </c>
      <c r="BI12" s="91">
        <f t="shared" si="6"/>
        <v>59</v>
      </c>
      <c r="BJ12" s="91">
        <f t="shared" si="6"/>
        <v>60</v>
      </c>
      <c r="BK12" s="95">
        <f t="shared" si="6"/>
        <v>61</v>
      </c>
    </row>
    <row r="13">
      <c r="A13" s="78"/>
      <c r="B13" s="86"/>
      <c r="C13" s="97" t="s">
        <v>90</v>
      </c>
      <c r="D13" s="98"/>
      <c r="E13" s="107"/>
      <c r="F13" s="107"/>
      <c r="G13" s="108"/>
      <c r="H13" s="108"/>
      <c r="I13" s="109"/>
      <c r="J13" s="110"/>
      <c r="K13" s="109"/>
      <c r="L13" s="111"/>
      <c r="M13" s="112"/>
      <c r="N13" s="112"/>
      <c r="O13" s="107"/>
      <c r="P13" s="108"/>
      <c r="Q13" s="109"/>
      <c r="R13" s="111"/>
      <c r="S13" s="112"/>
      <c r="T13" s="110"/>
      <c r="U13" s="108"/>
      <c r="V13" s="109"/>
      <c r="W13" s="112"/>
      <c r="X13" s="112"/>
      <c r="Y13" s="112"/>
      <c r="Z13" s="107"/>
      <c r="AA13" s="108"/>
      <c r="AB13" s="108"/>
      <c r="AC13" s="109"/>
      <c r="AD13" s="110"/>
      <c r="AE13" s="109"/>
      <c r="AF13" s="111"/>
      <c r="AG13" s="112"/>
      <c r="AH13" s="112"/>
      <c r="AI13" s="107"/>
      <c r="AJ13" s="108"/>
      <c r="AK13" s="109"/>
      <c r="AL13" s="111"/>
      <c r="AM13" s="112"/>
      <c r="AN13" s="110"/>
      <c r="AO13" s="108"/>
      <c r="AP13" s="109"/>
      <c r="AQ13" s="112"/>
      <c r="AR13" s="112"/>
      <c r="AS13" s="107"/>
      <c r="AT13" s="108"/>
      <c r="AU13" s="108"/>
      <c r="AV13" s="109"/>
      <c r="AW13" s="110"/>
      <c r="AX13" s="109"/>
      <c r="AY13" s="111"/>
      <c r="AZ13" s="112"/>
      <c r="BA13" s="112"/>
      <c r="BB13" s="107"/>
      <c r="BC13" s="108"/>
      <c r="BD13" s="109"/>
      <c r="BE13" s="111"/>
      <c r="BF13" s="112"/>
      <c r="BG13" s="110"/>
      <c r="BH13" s="108"/>
      <c r="BI13" s="109"/>
      <c r="BJ13" s="112"/>
      <c r="BK13" s="113"/>
    </row>
    <row r="14">
      <c r="A14" s="78"/>
      <c r="B14" s="86"/>
      <c r="C14" s="91" t="s">
        <v>92</v>
      </c>
      <c r="D14" s="92" t="s">
        <v>89</v>
      </c>
      <c r="E14" s="93"/>
      <c r="F14" s="94">
        <v>1.0</v>
      </c>
      <c r="G14" s="91">
        <f t="shared" ref="G14:BK14" si="7">F14+1</f>
        <v>2</v>
      </c>
      <c r="H14" s="91">
        <f t="shared" si="7"/>
        <v>3</v>
      </c>
      <c r="I14" s="91">
        <f t="shared" si="7"/>
        <v>4</v>
      </c>
      <c r="J14" s="91">
        <f t="shared" si="7"/>
        <v>5</v>
      </c>
      <c r="K14" s="91">
        <f t="shared" si="7"/>
        <v>6</v>
      </c>
      <c r="L14" s="91">
        <f t="shared" si="7"/>
        <v>7</v>
      </c>
      <c r="M14" s="91">
        <f t="shared" si="7"/>
        <v>8</v>
      </c>
      <c r="N14" s="91">
        <f t="shared" si="7"/>
        <v>9</v>
      </c>
      <c r="O14" s="91">
        <f t="shared" si="7"/>
        <v>10</v>
      </c>
      <c r="P14" s="91">
        <f t="shared" si="7"/>
        <v>11</v>
      </c>
      <c r="Q14" s="91">
        <f t="shared" si="7"/>
        <v>12</v>
      </c>
      <c r="R14" s="91">
        <f t="shared" si="7"/>
        <v>13</v>
      </c>
      <c r="S14" s="91">
        <f t="shared" si="7"/>
        <v>14</v>
      </c>
      <c r="T14" s="91">
        <f t="shared" si="7"/>
        <v>15</v>
      </c>
      <c r="U14" s="91">
        <f t="shared" si="7"/>
        <v>16</v>
      </c>
      <c r="V14" s="91">
        <f t="shared" si="7"/>
        <v>17</v>
      </c>
      <c r="W14" s="91">
        <f t="shared" si="7"/>
        <v>18</v>
      </c>
      <c r="X14" s="91">
        <f t="shared" si="7"/>
        <v>19</v>
      </c>
      <c r="Y14" s="91">
        <f t="shared" si="7"/>
        <v>20</v>
      </c>
      <c r="Z14" s="91">
        <f t="shared" si="7"/>
        <v>21</v>
      </c>
      <c r="AA14" s="91">
        <f t="shared" si="7"/>
        <v>22</v>
      </c>
      <c r="AB14" s="91">
        <f t="shared" si="7"/>
        <v>23</v>
      </c>
      <c r="AC14" s="91">
        <f t="shared" si="7"/>
        <v>24</v>
      </c>
      <c r="AD14" s="91">
        <f t="shared" si="7"/>
        <v>25</v>
      </c>
      <c r="AE14" s="91">
        <f t="shared" si="7"/>
        <v>26</v>
      </c>
      <c r="AF14" s="91">
        <f t="shared" si="7"/>
        <v>27</v>
      </c>
      <c r="AG14" s="91">
        <f t="shared" si="7"/>
        <v>28</v>
      </c>
      <c r="AH14" s="91">
        <f t="shared" si="7"/>
        <v>29</v>
      </c>
      <c r="AI14" s="91">
        <f t="shared" si="7"/>
        <v>30</v>
      </c>
      <c r="AJ14" s="91">
        <f t="shared" si="7"/>
        <v>31</v>
      </c>
      <c r="AK14" s="91">
        <f t="shared" si="7"/>
        <v>32</v>
      </c>
      <c r="AL14" s="91">
        <f t="shared" si="7"/>
        <v>33</v>
      </c>
      <c r="AM14" s="91">
        <f t="shared" si="7"/>
        <v>34</v>
      </c>
      <c r="AN14" s="91">
        <f t="shared" si="7"/>
        <v>35</v>
      </c>
      <c r="AO14" s="91">
        <f t="shared" si="7"/>
        <v>36</v>
      </c>
      <c r="AP14" s="91">
        <f t="shared" si="7"/>
        <v>37</v>
      </c>
      <c r="AQ14" s="91">
        <f t="shared" si="7"/>
        <v>38</v>
      </c>
      <c r="AR14" s="91">
        <f t="shared" si="7"/>
        <v>39</v>
      </c>
      <c r="AS14" s="91">
        <f t="shared" si="7"/>
        <v>40</v>
      </c>
      <c r="AT14" s="91">
        <f t="shared" si="7"/>
        <v>41</v>
      </c>
      <c r="AU14" s="91">
        <f t="shared" si="7"/>
        <v>42</v>
      </c>
      <c r="AV14" s="91">
        <f t="shared" si="7"/>
        <v>43</v>
      </c>
      <c r="AW14" s="91">
        <f t="shared" si="7"/>
        <v>44</v>
      </c>
      <c r="AX14" s="91">
        <f t="shared" si="7"/>
        <v>45</v>
      </c>
      <c r="AY14" s="91">
        <f t="shared" si="7"/>
        <v>46</v>
      </c>
      <c r="AZ14" s="91">
        <f t="shared" si="7"/>
        <v>47</v>
      </c>
      <c r="BA14" s="91">
        <f t="shared" si="7"/>
        <v>48</v>
      </c>
      <c r="BB14" s="91">
        <f t="shared" si="7"/>
        <v>49</v>
      </c>
      <c r="BC14" s="91">
        <f t="shared" si="7"/>
        <v>50</v>
      </c>
      <c r="BD14" s="91">
        <f t="shared" si="7"/>
        <v>51</v>
      </c>
      <c r="BE14" s="91">
        <f t="shared" si="7"/>
        <v>52</v>
      </c>
      <c r="BF14" s="91">
        <f t="shared" si="7"/>
        <v>53</v>
      </c>
      <c r="BG14" s="91">
        <f t="shared" si="7"/>
        <v>54</v>
      </c>
      <c r="BH14" s="91">
        <f t="shared" si="7"/>
        <v>55</v>
      </c>
      <c r="BI14" s="91">
        <f t="shared" si="7"/>
        <v>56</v>
      </c>
      <c r="BJ14" s="91">
        <f t="shared" si="7"/>
        <v>57</v>
      </c>
      <c r="BK14" s="95">
        <f t="shared" si="7"/>
        <v>58</v>
      </c>
    </row>
    <row r="15">
      <c r="A15" s="78"/>
      <c r="B15" s="116"/>
      <c r="C15" s="117" t="s">
        <v>90</v>
      </c>
      <c r="D15" s="118"/>
      <c r="E15" s="119"/>
      <c r="F15" s="119"/>
      <c r="G15" s="120"/>
      <c r="H15" s="120"/>
      <c r="I15" s="121"/>
      <c r="J15" s="122"/>
      <c r="K15" s="121"/>
      <c r="L15" s="123"/>
      <c r="M15" s="124"/>
      <c r="N15" s="124"/>
      <c r="O15" s="119"/>
      <c r="P15" s="120"/>
      <c r="Q15" s="121"/>
      <c r="R15" s="123"/>
      <c r="S15" s="124"/>
      <c r="T15" s="122"/>
      <c r="U15" s="120"/>
      <c r="V15" s="121"/>
      <c r="W15" s="124"/>
      <c r="X15" s="124"/>
      <c r="Y15" s="124"/>
      <c r="Z15" s="119"/>
      <c r="AA15" s="120"/>
      <c r="AB15" s="120"/>
      <c r="AC15" s="121"/>
      <c r="AD15" s="122"/>
      <c r="AE15" s="121"/>
      <c r="AF15" s="123"/>
      <c r="AG15" s="124"/>
      <c r="AH15" s="124"/>
      <c r="AI15" s="119"/>
      <c r="AJ15" s="120"/>
      <c r="AK15" s="121"/>
      <c r="AL15" s="123"/>
      <c r="AM15" s="124"/>
      <c r="AN15" s="122"/>
      <c r="AO15" s="120"/>
      <c r="AP15" s="121"/>
      <c r="AQ15" s="124"/>
      <c r="AR15" s="124"/>
      <c r="AS15" s="119"/>
      <c r="AT15" s="120"/>
      <c r="AU15" s="120"/>
      <c r="AV15" s="121"/>
      <c r="AW15" s="122"/>
      <c r="AX15" s="121"/>
      <c r="AY15" s="123"/>
      <c r="AZ15" s="124"/>
      <c r="BA15" s="124"/>
      <c r="BB15" s="119"/>
      <c r="BC15" s="120"/>
      <c r="BD15" s="121"/>
      <c r="BE15" s="123"/>
      <c r="BF15" s="124"/>
      <c r="BG15" s="122"/>
      <c r="BH15" s="120"/>
      <c r="BI15" s="121"/>
      <c r="BJ15" s="124"/>
      <c r="BK15" s="125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</row>
    <row r="17">
      <c r="A17" s="79"/>
      <c r="B17" s="79"/>
      <c r="C17" s="79"/>
      <c r="D17" s="79"/>
      <c r="E17" s="126" t="s">
        <v>93</v>
      </c>
      <c r="F17" s="127" t="s">
        <v>94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</row>
    <row r="18">
      <c r="A18" s="78"/>
      <c r="B18" s="128" t="s">
        <v>95</v>
      </c>
      <c r="C18" s="129" t="s">
        <v>96</v>
      </c>
      <c r="D18" s="130"/>
      <c r="E18" s="131">
        <v>0.015</v>
      </c>
      <c r="F18" s="132">
        <v>500.0</v>
      </c>
      <c r="G18" s="133">
        <f t="shared" ref="G18:U18" si="8">F18+F18*$E18</f>
        <v>507.5</v>
      </c>
      <c r="H18" s="133">
        <f t="shared" si="8"/>
        <v>515.1125</v>
      </c>
      <c r="I18" s="133">
        <f t="shared" si="8"/>
        <v>522.8391875</v>
      </c>
      <c r="J18" s="133">
        <f t="shared" si="8"/>
        <v>530.6817753</v>
      </c>
      <c r="K18" s="133">
        <f t="shared" si="8"/>
        <v>538.6420019</v>
      </c>
      <c r="L18" s="133">
        <f t="shared" si="8"/>
        <v>546.721632</v>
      </c>
      <c r="M18" s="133">
        <f t="shared" si="8"/>
        <v>554.9224565</v>
      </c>
      <c r="N18" s="133">
        <f t="shared" si="8"/>
        <v>563.2462933</v>
      </c>
      <c r="O18" s="133">
        <f t="shared" si="8"/>
        <v>571.6949877</v>
      </c>
      <c r="P18" s="133">
        <f t="shared" si="8"/>
        <v>580.2704125</v>
      </c>
      <c r="Q18" s="133">
        <f t="shared" si="8"/>
        <v>588.9744687</v>
      </c>
      <c r="R18" s="133">
        <f t="shared" si="8"/>
        <v>597.8090857</v>
      </c>
      <c r="S18" s="133">
        <f t="shared" si="8"/>
        <v>606.776222</v>
      </c>
      <c r="T18" s="133">
        <f t="shared" si="8"/>
        <v>615.8778653</v>
      </c>
      <c r="U18" s="133">
        <f t="shared" si="8"/>
        <v>625.1160333</v>
      </c>
      <c r="V18" s="133">
        <v>600.0</v>
      </c>
      <c r="W18" s="133">
        <v>600.0</v>
      </c>
      <c r="X18" s="133">
        <v>600.0</v>
      </c>
      <c r="Y18" s="134">
        <v>600.0</v>
      </c>
      <c r="Z18" s="133">
        <v>600.0</v>
      </c>
      <c r="AA18" s="135">
        <v>360.0</v>
      </c>
      <c r="AB18" s="135">
        <v>360.0</v>
      </c>
      <c r="AC18" s="135">
        <v>360.0</v>
      </c>
      <c r="AD18" s="135">
        <v>360.0</v>
      </c>
      <c r="AE18" s="135">
        <v>360.0</v>
      </c>
      <c r="AF18" s="135">
        <v>0.0</v>
      </c>
      <c r="AG18" s="135">
        <v>0.0</v>
      </c>
      <c r="AH18" s="135">
        <v>0.0</v>
      </c>
      <c r="AI18" s="135">
        <v>0.0</v>
      </c>
      <c r="AJ18" s="135">
        <v>0.0</v>
      </c>
      <c r="AK18" s="135">
        <v>0.0</v>
      </c>
      <c r="AL18" s="135">
        <v>0.0</v>
      </c>
      <c r="AM18" s="135">
        <v>0.0</v>
      </c>
      <c r="AN18" s="135">
        <v>0.0</v>
      </c>
      <c r="AO18" s="135">
        <v>0.0</v>
      </c>
      <c r="AP18" s="135">
        <v>0.0</v>
      </c>
      <c r="AQ18" s="135">
        <v>0.0</v>
      </c>
      <c r="AR18" s="135">
        <v>0.0</v>
      </c>
      <c r="AS18" s="135">
        <v>0.0</v>
      </c>
      <c r="AT18" s="135">
        <v>0.0</v>
      </c>
      <c r="AU18" s="135">
        <v>0.0</v>
      </c>
      <c r="AV18" s="135">
        <v>0.0</v>
      </c>
      <c r="AW18" s="135">
        <v>0.0</v>
      </c>
      <c r="AX18" s="135">
        <v>0.0</v>
      </c>
      <c r="AY18" s="135">
        <v>0.0</v>
      </c>
      <c r="AZ18" s="135">
        <v>0.0</v>
      </c>
      <c r="BA18" s="135">
        <v>0.0</v>
      </c>
      <c r="BB18" s="135">
        <v>0.0</v>
      </c>
      <c r="BC18" s="135">
        <v>0.0</v>
      </c>
      <c r="BD18" s="135">
        <v>0.0</v>
      </c>
      <c r="BE18" s="135">
        <v>0.0</v>
      </c>
      <c r="BF18" s="135">
        <v>0.0</v>
      </c>
      <c r="BG18" s="135">
        <v>0.0</v>
      </c>
      <c r="BH18" s="135">
        <v>0.0</v>
      </c>
      <c r="BI18" s="135">
        <v>0.0</v>
      </c>
      <c r="BJ18" s="135">
        <v>0.0</v>
      </c>
      <c r="BK18" s="135">
        <v>0.0</v>
      </c>
    </row>
    <row r="19">
      <c r="A19" s="78"/>
      <c r="B19" s="86"/>
      <c r="C19" s="136" t="s">
        <v>97</v>
      </c>
      <c r="D19" s="137"/>
      <c r="E19" s="138"/>
      <c r="F19" s="139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1"/>
      <c r="Y19" s="142"/>
      <c r="Z19" s="143"/>
      <c r="AA19" s="140"/>
      <c r="AB19" s="140"/>
      <c r="AC19" s="140"/>
      <c r="AD19" s="140"/>
      <c r="AE19" s="144">
        <v>275.0</v>
      </c>
      <c r="AF19" s="144">
        <v>275.0</v>
      </c>
      <c r="AG19" s="144">
        <v>275.0</v>
      </c>
      <c r="AH19" s="144">
        <v>275.0</v>
      </c>
      <c r="AI19" s="144">
        <v>275.0</v>
      </c>
      <c r="AJ19" s="144">
        <v>275.0</v>
      </c>
      <c r="AK19" s="144">
        <v>275.0</v>
      </c>
      <c r="AL19" s="144">
        <v>275.0</v>
      </c>
      <c r="AM19" s="144">
        <v>275.0</v>
      </c>
      <c r="AN19" s="144">
        <v>275.0</v>
      </c>
      <c r="AO19" s="144">
        <v>275.0</v>
      </c>
      <c r="AP19" s="144">
        <v>275.0</v>
      </c>
      <c r="AQ19" s="144">
        <v>275.0</v>
      </c>
      <c r="AR19" s="144">
        <v>275.0</v>
      </c>
      <c r="AS19" s="144">
        <v>275.0</v>
      </c>
      <c r="AT19" s="144">
        <v>275.0</v>
      </c>
      <c r="AU19" s="144">
        <v>275.0</v>
      </c>
      <c r="AV19" s="144">
        <v>275.0</v>
      </c>
      <c r="AW19" s="144">
        <v>275.0</v>
      </c>
      <c r="AX19" s="144">
        <v>275.0</v>
      </c>
      <c r="AY19" s="144">
        <v>275.0</v>
      </c>
      <c r="AZ19" s="144">
        <v>275.0</v>
      </c>
      <c r="BA19" s="144">
        <v>275.0</v>
      </c>
      <c r="BB19" s="144">
        <v>275.0</v>
      </c>
      <c r="BC19" s="144">
        <v>275.0</v>
      </c>
      <c r="BD19" s="144">
        <v>275.0</v>
      </c>
      <c r="BE19" s="144">
        <v>275.0</v>
      </c>
      <c r="BF19" s="144">
        <v>275.0</v>
      </c>
      <c r="BG19" s="144">
        <v>275.0</v>
      </c>
      <c r="BH19" s="144">
        <v>275.0</v>
      </c>
      <c r="BI19" s="144">
        <v>275.0</v>
      </c>
      <c r="BJ19" s="144">
        <v>275.0</v>
      </c>
      <c r="BK19" s="144">
        <v>275.0</v>
      </c>
    </row>
    <row r="20">
      <c r="A20" s="78"/>
      <c r="B20" s="86"/>
      <c r="C20" s="145" t="s">
        <v>98</v>
      </c>
      <c r="D20" s="137"/>
      <c r="E20" s="138"/>
      <c r="F20" s="139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6"/>
      <c r="Z20" s="140"/>
      <c r="AA20" s="140"/>
      <c r="AB20" s="140"/>
      <c r="AC20" s="140"/>
      <c r="AD20" s="140"/>
      <c r="AE20" s="144">
        <v>90.0</v>
      </c>
      <c r="AF20" s="144">
        <v>90.0</v>
      </c>
      <c r="AG20" s="144">
        <v>90.0</v>
      </c>
      <c r="AH20" s="144">
        <v>90.0</v>
      </c>
      <c r="AI20" s="144">
        <v>90.0</v>
      </c>
      <c r="AJ20" s="144">
        <v>90.0</v>
      </c>
      <c r="AK20" s="144">
        <v>90.0</v>
      </c>
      <c r="AL20" s="144">
        <v>90.0</v>
      </c>
      <c r="AM20" s="144">
        <v>90.0</v>
      </c>
      <c r="AN20" s="144">
        <v>90.0</v>
      </c>
      <c r="AO20" s="144">
        <v>90.0</v>
      </c>
      <c r="AP20" s="144">
        <v>90.0</v>
      </c>
      <c r="AQ20" s="144">
        <v>90.0</v>
      </c>
      <c r="AR20" s="144">
        <v>90.0</v>
      </c>
      <c r="AS20" s="144">
        <v>90.0</v>
      </c>
      <c r="AT20" s="144">
        <v>90.0</v>
      </c>
      <c r="AU20" s="144">
        <v>90.0</v>
      </c>
      <c r="AV20" s="144">
        <v>90.0</v>
      </c>
      <c r="AW20" s="144">
        <v>90.0</v>
      </c>
      <c r="AX20" s="144">
        <v>90.0</v>
      </c>
      <c r="AY20" s="144">
        <v>90.0</v>
      </c>
      <c r="AZ20" s="144">
        <v>90.0</v>
      </c>
      <c r="BA20" s="144">
        <v>90.0</v>
      </c>
      <c r="BB20" s="144">
        <v>90.0</v>
      </c>
      <c r="BC20" s="144">
        <v>90.0</v>
      </c>
      <c r="BD20" s="144">
        <v>90.0</v>
      </c>
      <c r="BE20" s="144">
        <v>90.0</v>
      </c>
      <c r="BF20" s="144">
        <v>90.0</v>
      </c>
      <c r="BG20" s="144">
        <v>90.0</v>
      </c>
      <c r="BH20" s="144">
        <v>90.0</v>
      </c>
      <c r="BI20" s="144">
        <v>90.0</v>
      </c>
      <c r="BJ20" s="144">
        <v>90.0</v>
      </c>
      <c r="BK20" s="144">
        <v>90.0</v>
      </c>
    </row>
    <row r="21">
      <c r="A21" s="78"/>
      <c r="B21" s="86"/>
      <c r="C21" s="136" t="s">
        <v>99</v>
      </c>
      <c r="D21" s="137"/>
      <c r="E21" s="147"/>
      <c r="F21" s="148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50"/>
    </row>
    <row r="22">
      <c r="A22" s="78"/>
      <c r="B22" s="86"/>
      <c r="C22" s="151" t="s">
        <v>100</v>
      </c>
      <c r="D22" s="137"/>
      <c r="E22" s="152">
        <v>0.015</v>
      </c>
      <c r="F22" s="148">
        <v>200.0</v>
      </c>
      <c r="G22" s="142">
        <f t="shared" ref="G22:AG22" si="9">F22+F22*$E22</f>
        <v>203</v>
      </c>
      <c r="H22" s="142">
        <f t="shared" si="9"/>
        <v>206.045</v>
      </c>
      <c r="I22" s="142">
        <f t="shared" si="9"/>
        <v>209.135675</v>
      </c>
      <c r="J22" s="142">
        <f t="shared" si="9"/>
        <v>212.2727101</v>
      </c>
      <c r="K22" s="142">
        <f t="shared" si="9"/>
        <v>215.4568008</v>
      </c>
      <c r="L22" s="142">
        <f t="shared" si="9"/>
        <v>218.6886528</v>
      </c>
      <c r="M22" s="142">
        <f t="shared" si="9"/>
        <v>221.9689826</v>
      </c>
      <c r="N22" s="142">
        <f t="shared" si="9"/>
        <v>225.2985173</v>
      </c>
      <c r="O22" s="142">
        <f t="shared" si="9"/>
        <v>228.6779951</v>
      </c>
      <c r="P22" s="142">
        <f t="shared" si="9"/>
        <v>232.108165</v>
      </c>
      <c r="Q22" s="142">
        <f t="shared" si="9"/>
        <v>235.5897875</v>
      </c>
      <c r="R22" s="142">
        <f t="shared" si="9"/>
        <v>239.1236343</v>
      </c>
      <c r="S22" s="142">
        <f t="shared" si="9"/>
        <v>242.7104888</v>
      </c>
      <c r="T22" s="142">
        <f t="shared" si="9"/>
        <v>246.3511461</v>
      </c>
      <c r="U22" s="142">
        <f t="shared" si="9"/>
        <v>250.0464133</v>
      </c>
      <c r="V22" s="142">
        <f t="shared" si="9"/>
        <v>253.7971095</v>
      </c>
      <c r="W22" s="142">
        <f t="shared" si="9"/>
        <v>257.6040662</v>
      </c>
      <c r="X22" s="142">
        <f t="shared" si="9"/>
        <v>261.4681272</v>
      </c>
      <c r="Y22" s="142">
        <f t="shared" si="9"/>
        <v>265.3901491</v>
      </c>
      <c r="Z22" s="142">
        <f t="shared" si="9"/>
        <v>269.3710013</v>
      </c>
      <c r="AA22" s="142">
        <f t="shared" si="9"/>
        <v>273.4115663</v>
      </c>
      <c r="AB22" s="142">
        <f t="shared" si="9"/>
        <v>277.5127398</v>
      </c>
      <c r="AC22" s="142">
        <f t="shared" si="9"/>
        <v>281.6754309</v>
      </c>
      <c r="AD22" s="142">
        <f t="shared" si="9"/>
        <v>285.9005624</v>
      </c>
      <c r="AE22" s="142">
        <f t="shared" si="9"/>
        <v>290.1890708</v>
      </c>
      <c r="AF22" s="142">
        <f t="shared" si="9"/>
        <v>294.5419069</v>
      </c>
      <c r="AG22" s="142">
        <f t="shared" si="9"/>
        <v>298.9600355</v>
      </c>
      <c r="AH22" s="149">
        <v>0.0</v>
      </c>
      <c r="AI22" s="149">
        <v>0.0</v>
      </c>
      <c r="AJ22" s="149">
        <v>0.0</v>
      </c>
      <c r="AK22" s="149">
        <v>0.0</v>
      </c>
      <c r="AL22" s="149">
        <v>0.0</v>
      </c>
      <c r="AM22" s="149">
        <v>0.0</v>
      </c>
      <c r="AN22" s="149">
        <v>0.0</v>
      </c>
      <c r="AO22" s="149">
        <v>0.0</v>
      </c>
      <c r="AP22" s="149">
        <v>0.0</v>
      </c>
      <c r="AQ22" s="149">
        <v>0.0</v>
      </c>
      <c r="AR22" s="149">
        <v>0.0</v>
      </c>
      <c r="AS22" s="149">
        <v>0.0</v>
      </c>
      <c r="AT22" s="149">
        <v>0.0</v>
      </c>
      <c r="AU22" s="149">
        <v>0.0</v>
      </c>
      <c r="AV22" s="149">
        <v>0.0</v>
      </c>
      <c r="AW22" s="149">
        <v>0.0</v>
      </c>
      <c r="AX22" s="149">
        <v>0.0</v>
      </c>
      <c r="AY22" s="149">
        <v>0.0</v>
      </c>
      <c r="AZ22" s="149">
        <v>0.0</v>
      </c>
      <c r="BA22" s="149">
        <v>0.0</v>
      </c>
      <c r="BB22" s="149">
        <v>0.0</v>
      </c>
      <c r="BC22" s="149">
        <v>0.0</v>
      </c>
      <c r="BD22" s="149">
        <v>0.0</v>
      </c>
      <c r="BE22" s="149">
        <v>0.0</v>
      </c>
      <c r="BF22" s="149">
        <v>0.0</v>
      </c>
      <c r="BG22" s="149">
        <v>0.0</v>
      </c>
      <c r="BH22" s="149">
        <v>0.0</v>
      </c>
      <c r="BI22" s="149">
        <v>0.0</v>
      </c>
      <c r="BJ22" s="149">
        <v>0.0</v>
      </c>
      <c r="BK22" s="149">
        <v>0.0</v>
      </c>
    </row>
    <row r="23">
      <c r="A23" s="78"/>
      <c r="B23" s="86"/>
      <c r="C23" s="136" t="s">
        <v>97</v>
      </c>
      <c r="D23" s="137"/>
      <c r="E23" s="138"/>
      <c r="F23" s="139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4"/>
      <c r="AF23" s="140"/>
      <c r="AG23" s="140"/>
      <c r="AH23" s="140"/>
      <c r="AI23" s="140"/>
      <c r="AJ23" s="140"/>
      <c r="AK23" s="140"/>
      <c r="AL23" s="144">
        <v>180.0</v>
      </c>
      <c r="AM23" s="144">
        <v>180.0</v>
      </c>
      <c r="AN23" s="144">
        <v>180.0</v>
      </c>
      <c r="AO23" s="144">
        <v>180.0</v>
      </c>
      <c r="AP23" s="144">
        <v>180.0</v>
      </c>
      <c r="AQ23" s="144">
        <v>180.0</v>
      </c>
      <c r="AR23" s="144">
        <v>180.0</v>
      </c>
      <c r="AS23" s="144">
        <v>180.0</v>
      </c>
      <c r="AT23" s="144">
        <v>180.0</v>
      </c>
      <c r="AU23" s="144">
        <v>180.0</v>
      </c>
      <c r="AV23" s="144">
        <v>180.0</v>
      </c>
      <c r="AW23" s="144">
        <v>180.0</v>
      </c>
      <c r="AX23" s="144">
        <v>180.0</v>
      </c>
      <c r="AY23" s="144">
        <v>180.0</v>
      </c>
      <c r="AZ23" s="144">
        <v>180.0</v>
      </c>
      <c r="BA23" s="144">
        <v>180.0</v>
      </c>
      <c r="BB23" s="144">
        <v>180.0</v>
      </c>
      <c r="BC23" s="144">
        <v>180.0</v>
      </c>
      <c r="BD23" s="144">
        <v>180.0</v>
      </c>
      <c r="BE23" s="144">
        <v>180.0</v>
      </c>
      <c r="BF23" s="144">
        <v>180.0</v>
      </c>
      <c r="BG23" s="144">
        <v>180.0</v>
      </c>
      <c r="BH23" s="144">
        <v>180.0</v>
      </c>
      <c r="BI23" s="144">
        <v>180.0</v>
      </c>
      <c r="BJ23" s="144">
        <v>180.0</v>
      </c>
      <c r="BK23" s="144">
        <v>180.0</v>
      </c>
    </row>
    <row r="24">
      <c r="A24" s="78"/>
      <c r="B24" s="86"/>
      <c r="C24" s="145" t="s">
        <v>98</v>
      </c>
      <c r="D24" s="137"/>
      <c r="E24" s="138"/>
      <c r="F24" s="139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4">
        <v>60.0</v>
      </c>
      <c r="AM24" s="144">
        <v>60.0</v>
      </c>
      <c r="AN24" s="144">
        <v>60.0</v>
      </c>
      <c r="AO24" s="144">
        <v>60.0</v>
      </c>
      <c r="AP24" s="144">
        <v>60.0</v>
      </c>
      <c r="AQ24" s="144">
        <v>60.0</v>
      </c>
      <c r="AR24" s="144">
        <v>60.0</v>
      </c>
      <c r="AS24" s="144">
        <v>60.0</v>
      </c>
      <c r="AT24" s="144">
        <v>60.0</v>
      </c>
      <c r="AU24" s="144">
        <v>60.0</v>
      </c>
      <c r="AV24" s="144">
        <v>60.0</v>
      </c>
      <c r="AW24" s="144">
        <v>60.0</v>
      </c>
      <c r="AX24" s="144">
        <v>60.0</v>
      </c>
      <c r="AY24" s="144">
        <v>60.0</v>
      </c>
      <c r="AZ24" s="144">
        <v>60.0</v>
      </c>
      <c r="BA24" s="144">
        <v>60.0</v>
      </c>
      <c r="BB24" s="144">
        <v>60.0</v>
      </c>
      <c r="BC24" s="144">
        <v>60.0</v>
      </c>
      <c r="BD24" s="144">
        <v>60.0</v>
      </c>
      <c r="BE24" s="144">
        <v>60.0</v>
      </c>
      <c r="BF24" s="144">
        <v>60.0</v>
      </c>
      <c r="BG24" s="144">
        <v>60.0</v>
      </c>
      <c r="BH24" s="144">
        <v>60.0</v>
      </c>
      <c r="BI24" s="144">
        <v>60.0</v>
      </c>
      <c r="BJ24" s="144">
        <v>60.0</v>
      </c>
      <c r="BK24" s="144">
        <v>60.0</v>
      </c>
    </row>
    <row r="25">
      <c r="A25" s="78"/>
      <c r="B25" s="86"/>
      <c r="C25" s="136" t="s">
        <v>99</v>
      </c>
      <c r="D25" s="137"/>
      <c r="E25" s="147"/>
      <c r="F25" s="148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50"/>
    </row>
    <row r="26">
      <c r="A26" s="78"/>
      <c r="B26" s="86"/>
      <c r="C26" s="153" t="s">
        <v>101</v>
      </c>
      <c r="D26" s="137"/>
      <c r="E26" s="147"/>
      <c r="F26" s="154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6"/>
    </row>
    <row r="27">
      <c r="A27" s="78"/>
      <c r="B27" s="157"/>
      <c r="C27" s="158" t="s">
        <v>102</v>
      </c>
      <c r="D27" s="159"/>
      <c r="E27" s="160"/>
      <c r="F27" s="161">
        <f t="shared" ref="F27:BK27" si="10">SUM(F18:F26)</f>
        <v>700</v>
      </c>
      <c r="G27" s="162">
        <f t="shared" si="10"/>
        <v>710.5</v>
      </c>
      <c r="H27" s="162">
        <f t="shared" si="10"/>
        <v>721.1575</v>
      </c>
      <c r="I27" s="162">
        <f t="shared" si="10"/>
        <v>731.9748625</v>
      </c>
      <c r="J27" s="162">
        <f t="shared" si="10"/>
        <v>742.9544854</v>
      </c>
      <c r="K27" s="162">
        <f t="shared" si="10"/>
        <v>754.0988027</v>
      </c>
      <c r="L27" s="162">
        <f t="shared" si="10"/>
        <v>765.4102848</v>
      </c>
      <c r="M27" s="162">
        <f t="shared" si="10"/>
        <v>776.891439</v>
      </c>
      <c r="N27" s="162">
        <f t="shared" si="10"/>
        <v>788.5448106</v>
      </c>
      <c r="O27" s="162">
        <f t="shared" si="10"/>
        <v>800.3729828</v>
      </c>
      <c r="P27" s="162">
        <f t="shared" si="10"/>
        <v>812.3785775</v>
      </c>
      <c r="Q27" s="162">
        <f t="shared" si="10"/>
        <v>824.5642562</v>
      </c>
      <c r="R27" s="162">
        <f t="shared" si="10"/>
        <v>836.93272</v>
      </c>
      <c r="S27" s="162">
        <f t="shared" si="10"/>
        <v>849.4867108</v>
      </c>
      <c r="T27" s="162">
        <f t="shared" si="10"/>
        <v>862.2290115</v>
      </c>
      <c r="U27" s="162">
        <f t="shared" si="10"/>
        <v>875.1624467</v>
      </c>
      <c r="V27" s="162">
        <f t="shared" si="10"/>
        <v>853.7971095</v>
      </c>
      <c r="W27" s="162">
        <f t="shared" si="10"/>
        <v>857.6040662</v>
      </c>
      <c r="X27" s="162">
        <f t="shared" si="10"/>
        <v>861.4681272</v>
      </c>
      <c r="Y27" s="162">
        <f t="shared" si="10"/>
        <v>865.3901491</v>
      </c>
      <c r="Z27" s="162">
        <f t="shared" si="10"/>
        <v>869.3710013</v>
      </c>
      <c r="AA27" s="162">
        <f t="shared" si="10"/>
        <v>633.4115663</v>
      </c>
      <c r="AB27" s="162">
        <f t="shared" si="10"/>
        <v>637.5127398</v>
      </c>
      <c r="AC27" s="162">
        <f t="shared" si="10"/>
        <v>641.6754309</v>
      </c>
      <c r="AD27" s="162">
        <f t="shared" si="10"/>
        <v>645.9005624</v>
      </c>
      <c r="AE27" s="162">
        <f t="shared" si="10"/>
        <v>1015.189071</v>
      </c>
      <c r="AF27" s="162">
        <f t="shared" si="10"/>
        <v>659.5419069</v>
      </c>
      <c r="AG27" s="162">
        <f t="shared" si="10"/>
        <v>663.9600355</v>
      </c>
      <c r="AH27" s="163">
        <f t="shared" si="10"/>
        <v>365</v>
      </c>
      <c r="AI27" s="163">
        <f t="shared" si="10"/>
        <v>365</v>
      </c>
      <c r="AJ27" s="163">
        <f t="shared" si="10"/>
        <v>365</v>
      </c>
      <c r="AK27" s="163">
        <f t="shared" si="10"/>
        <v>365</v>
      </c>
      <c r="AL27" s="163">
        <f t="shared" si="10"/>
        <v>605</v>
      </c>
      <c r="AM27" s="163">
        <f t="shared" si="10"/>
        <v>605</v>
      </c>
      <c r="AN27" s="163">
        <f t="shared" si="10"/>
        <v>605</v>
      </c>
      <c r="AO27" s="163">
        <f t="shared" si="10"/>
        <v>605</v>
      </c>
      <c r="AP27" s="163">
        <f t="shared" si="10"/>
        <v>605</v>
      </c>
      <c r="AQ27" s="163">
        <f t="shared" si="10"/>
        <v>605</v>
      </c>
      <c r="AR27" s="163">
        <f t="shared" si="10"/>
        <v>605</v>
      </c>
      <c r="AS27" s="163">
        <f t="shared" si="10"/>
        <v>605</v>
      </c>
      <c r="AT27" s="163">
        <f t="shared" si="10"/>
        <v>605</v>
      </c>
      <c r="AU27" s="163">
        <f t="shared" si="10"/>
        <v>605</v>
      </c>
      <c r="AV27" s="163">
        <f t="shared" si="10"/>
        <v>605</v>
      </c>
      <c r="AW27" s="163">
        <f t="shared" si="10"/>
        <v>605</v>
      </c>
      <c r="AX27" s="163">
        <f t="shared" si="10"/>
        <v>605</v>
      </c>
      <c r="AY27" s="163">
        <f t="shared" si="10"/>
        <v>605</v>
      </c>
      <c r="AZ27" s="163">
        <f t="shared" si="10"/>
        <v>605</v>
      </c>
      <c r="BA27" s="163">
        <f t="shared" si="10"/>
        <v>605</v>
      </c>
      <c r="BB27" s="163">
        <f t="shared" si="10"/>
        <v>605</v>
      </c>
      <c r="BC27" s="163">
        <f t="shared" si="10"/>
        <v>605</v>
      </c>
      <c r="BD27" s="163">
        <f t="shared" si="10"/>
        <v>605</v>
      </c>
      <c r="BE27" s="163">
        <f t="shared" si="10"/>
        <v>605</v>
      </c>
      <c r="BF27" s="163">
        <f t="shared" si="10"/>
        <v>605</v>
      </c>
      <c r="BG27" s="163">
        <f t="shared" si="10"/>
        <v>605</v>
      </c>
      <c r="BH27" s="163">
        <f t="shared" si="10"/>
        <v>605</v>
      </c>
      <c r="BI27" s="163">
        <f t="shared" si="10"/>
        <v>605</v>
      </c>
      <c r="BJ27" s="163">
        <f t="shared" si="10"/>
        <v>605</v>
      </c>
      <c r="BK27" s="164">
        <f t="shared" si="10"/>
        <v>605</v>
      </c>
    </row>
    <row r="28">
      <c r="A28" s="78"/>
      <c r="B28" s="165" t="s">
        <v>103</v>
      </c>
      <c r="C28" s="166" t="s">
        <v>27</v>
      </c>
      <c r="D28" s="98"/>
      <c r="E28" s="152"/>
      <c r="F28" s="167">
        <v>180.0</v>
      </c>
      <c r="G28" s="142">
        <f t="shared" ref="G28:BK28" si="11">F28</f>
        <v>180</v>
      </c>
      <c r="H28" s="142">
        <f t="shared" si="11"/>
        <v>180</v>
      </c>
      <c r="I28" s="142">
        <f t="shared" si="11"/>
        <v>180</v>
      </c>
      <c r="J28" s="142">
        <f t="shared" si="11"/>
        <v>180</v>
      </c>
      <c r="K28" s="142">
        <f t="shared" si="11"/>
        <v>180</v>
      </c>
      <c r="L28" s="142">
        <f t="shared" si="11"/>
        <v>180</v>
      </c>
      <c r="M28" s="142">
        <f t="shared" si="11"/>
        <v>180</v>
      </c>
      <c r="N28" s="142">
        <f t="shared" si="11"/>
        <v>180</v>
      </c>
      <c r="O28" s="142">
        <f t="shared" si="11"/>
        <v>180</v>
      </c>
      <c r="P28" s="142">
        <f t="shared" si="11"/>
        <v>180</v>
      </c>
      <c r="Q28" s="142">
        <f t="shared" si="11"/>
        <v>180</v>
      </c>
      <c r="R28" s="142">
        <f t="shared" si="11"/>
        <v>180</v>
      </c>
      <c r="S28" s="142">
        <f t="shared" si="11"/>
        <v>180</v>
      </c>
      <c r="T28" s="142">
        <f t="shared" si="11"/>
        <v>180</v>
      </c>
      <c r="U28" s="142">
        <f t="shared" si="11"/>
        <v>180</v>
      </c>
      <c r="V28" s="142">
        <f t="shared" si="11"/>
        <v>180</v>
      </c>
      <c r="W28" s="142">
        <f t="shared" si="11"/>
        <v>180</v>
      </c>
      <c r="X28" s="142">
        <f t="shared" si="11"/>
        <v>180</v>
      </c>
      <c r="Y28" s="142">
        <f t="shared" si="11"/>
        <v>180</v>
      </c>
      <c r="Z28" s="142">
        <f t="shared" si="11"/>
        <v>180</v>
      </c>
      <c r="AA28" s="142">
        <f t="shared" si="11"/>
        <v>180</v>
      </c>
      <c r="AB28" s="142">
        <f t="shared" si="11"/>
        <v>180</v>
      </c>
      <c r="AC28" s="142">
        <f t="shared" si="11"/>
        <v>180</v>
      </c>
      <c r="AD28" s="142">
        <f t="shared" si="11"/>
        <v>180</v>
      </c>
      <c r="AE28" s="142">
        <f t="shared" si="11"/>
        <v>180</v>
      </c>
      <c r="AF28" s="142">
        <f t="shared" si="11"/>
        <v>180</v>
      </c>
      <c r="AG28" s="142">
        <f t="shared" si="11"/>
        <v>180</v>
      </c>
      <c r="AH28" s="142">
        <f t="shared" si="11"/>
        <v>180</v>
      </c>
      <c r="AI28" s="142">
        <f t="shared" si="11"/>
        <v>180</v>
      </c>
      <c r="AJ28" s="142">
        <f t="shared" si="11"/>
        <v>180</v>
      </c>
      <c r="AK28" s="142">
        <f t="shared" si="11"/>
        <v>180</v>
      </c>
      <c r="AL28" s="142">
        <f t="shared" si="11"/>
        <v>180</v>
      </c>
      <c r="AM28" s="142">
        <f t="shared" si="11"/>
        <v>180</v>
      </c>
      <c r="AN28" s="142">
        <f t="shared" si="11"/>
        <v>180</v>
      </c>
      <c r="AO28" s="142">
        <f t="shared" si="11"/>
        <v>180</v>
      </c>
      <c r="AP28" s="142">
        <f t="shared" si="11"/>
        <v>180</v>
      </c>
      <c r="AQ28" s="142">
        <f t="shared" si="11"/>
        <v>180</v>
      </c>
      <c r="AR28" s="142">
        <f t="shared" si="11"/>
        <v>180</v>
      </c>
      <c r="AS28" s="142">
        <f t="shared" si="11"/>
        <v>180</v>
      </c>
      <c r="AT28" s="142">
        <f t="shared" si="11"/>
        <v>180</v>
      </c>
      <c r="AU28" s="142">
        <f t="shared" si="11"/>
        <v>180</v>
      </c>
      <c r="AV28" s="142">
        <f t="shared" si="11"/>
        <v>180</v>
      </c>
      <c r="AW28" s="142">
        <f t="shared" si="11"/>
        <v>180</v>
      </c>
      <c r="AX28" s="142">
        <f t="shared" si="11"/>
        <v>180</v>
      </c>
      <c r="AY28" s="142">
        <f t="shared" si="11"/>
        <v>180</v>
      </c>
      <c r="AZ28" s="142">
        <f t="shared" si="11"/>
        <v>180</v>
      </c>
      <c r="BA28" s="142">
        <f t="shared" si="11"/>
        <v>180</v>
      </c>
      <c r="BB28" s="142">
        <f t="shared" si="11"/>
        <v>180</v>
      </c>
      <c r="BC28" s="142">
        <f t="shared" si="11"/>
        <v>180</v>
      </c>
      <c r="BD28" s="142">
        <f t="shared" si="11"/>
        <v>180</v>
      </c>
      <c r="BE28" s="142">
        <f t="shared" si="11"/>
        <v>180</v>
      </c>
      <c r="BF28" s="142">
        <f t="shared" si="11"/>
        <v>180</v>
      </c>
      <c r="BG28" s="142">
        <f t="shared" si="11"/>
        <v>180</v>
      </c>
      <c r="BH28" s="142">
        <f t="shared" si="11"/>
        <v>180</v>
      </c>
      <c r="BI28" s="142">
        <f t="shared" si="11"/>
        <v>180</v>
      </c>
      <c r="BJ28" s="142">
        <f t="shared" si="11"/>
        <v>180</v>
      </c>
      <c r="BK28" s="142">
        <f t="shared" si="11"/>
        <v>180</v>
      </c>
    </row>
    <row r="29">
      <c r="A29" s="78"/>
      <c r="B29" s="86"/>
      <c r="C29" s="168" t="s">
        <v>55</v>
      </c>
      <c r="D29" s="98"/>
      <c r="E29" s="147"/>
      <c r="F29" s="169">
        <v>0.0</v>
      </c>
      <c r="G29" s="142">
        <f t="shared" ref="G29:BK29" si="12">F29</f>
        <v>0</v>
      </c>
      <c r="H29" s="142">
        <f t="shared" si="12"/>
        <v>0</v>
      </c>
      <c r="I29" s="142">
        <f t="shared" si="12"/>
        <v>0</v>
      </c>
      <c r="J29" s="142">
        <f t="shared" si="12"/>
        <v>0</v>
      </c>
      <c r="K29" s="142">
        <f t="shared" si="12"/>
        <v>0</v>
      </c>
      <c r="L29" s="142">
        <f t="shared" si="12"/>
        <v>0</v>
      </c>
      <c r="M29" s="142">
        <f t="shared" si="12"/>
        <v>0</v>
      </c>
      <c r="N29" s="142">
        <f t="shared" si="12"/>
        <v>0</v>
      </c>
      <c r="O29" s="142">
        <f t="shared" si="12"/>
        <v>0</v>
      </c>
      <c r="P29" s="142">
        <f t="shared" si="12"/>
        <v>0</v>
      </c>
      <c r="Q29" s="142">
        <f t="shared" si="12"/>
        <v>0</v>
      </c>
      <c r="R29" s="142">
        <f t="shared" si="12"/>
        <v>0</v>
      </c>
      <c r="S29" s="142">
        <f t="shared" si="12"/>
        <v>0</v>
      </c>
      <c r="T29" s="142">
        <f t="shared" si="12"/>
        <v>0</v>
      </c>
      <c r="U29" s="142">
        <f t="shared" si="12"/>
        <v>0</v>
      </c>
      <c r="V29" s="142">
        <f t="shared" si="12"/>
        <v>0</v>
      </c>
      <c r="W29" s="142">
        <f t="shared" si="12"/>
        <v>0</v>
      </c>
      <c r="X29" s="142">
        <f t="shared" si="12"/>
        <v>0</v>
      </c>
      <c r="Y29" s="142">
        <f t="shared" si="12"/>
        <v>0</v>
      </c>
      <c r="Z29" s="142">
        <f t="shared" si="12"/>
        <v>0</v>
      </c>
      <c r="AA29" s="142">
        <f t="shared" si="12"/>
        <v>0</v>
      </c>
      <c r="AB29" s="142">
        <f t="shared" si="12"/>
        <v>0</v>
      </c>
      <c r="AC29" s="142">
        <f t="shared" si="12"/>
        <v>0</v>
      </c>
      <c r="AD29" s="142">
        <f t="shared" si="12"/>
        <v>0</v>
      </c>
      <c r="AE29" s="142">
        <f t="shared" si="12"/>
        <v>0</v>
      </c>
      <c r="AF29" s="142">
        <f t="shared" si="12"/>
        <v>0</v>
      </c>
      <c r="AG29" s="142">
        <f t="shared" si="12"/>
        <v>0</v>
      </c>
      <c r="AH29" s="142">
        <f t="shared" si="12"/>
        <v>0</v>
      </c>
      <c r="AI29" s="142">
        <f t="shared" si="12"/>
        <v>0</v>
      </c>
      <c r="AJ29" s="142">
        <f t="shared" si="12"/>
        <v>0</v>
      </c>
      <c r="AK29" s="142">
        <f t="shared" si="12"/>
        <v>0</v>
      </c>
      <c r="AL29" s="142">
        <f t="shared" si="12"/>
        <v>0</v>
      </c>
      <c r="AM29" s="142">
        <f t="shared" si="12"/>
        <v>0</v>
      </c>
      <c r="AN29" s="142">
        <f t="shared" si="12"/>
        <v>0</v>
      </c>
      <c r="AO29" s="142">
        <f t="shared" si="12"/>
        <v>0</v>
      </c>
      <c r="AP29" s="142">
        <f t="shared" si="12"/>
        <v>0</v>
      </c>
      <c r="AQ29" s="142">
        <f t="shared" si="12"/>
        <v>0</v>
      </c>
      <c r="AR29" s="142">
        <f t="shared" si="12"/>
        <v>0</v>
      </c>
      <c r="AS29" s="142">
        <f t="shared" si="12"/>
        <v>0</v>
      </c>
      <c r="AT29" s="142">
        <f t="shared" si="12"/>
        <v>0</v>
      </c>
      <c r="AU29" s="142">
        <f t="shared" si="12"/>
        <v>0</v>
      </c>
      <c r="AV29" s="142">
        <f t="shared" si="12"/>
        <v>0</v>
      </c>
      <c r="AW29" s="142">
        <f t="shared" si="12"/>
        <v>0</v>
      </c>
      <c r="AX29" s="142">
        <f t="shared" si="12"/>
        <v>0</v>
      </c>
      <c r="AY29" s="142">
        <f t="shared" si="12"/>
        <v>0</v>
      </c>
      <c r="AZ29" s="142">
        <f t="shared" si="12"/>
        <v>0</v>
      </c>
      <c r="BA29" s="142">
        <f t="shared" si="12"/>
        <v>0</v>
      </c>
      <c r="BB29" s="142">
        <f t="shared" si="12"/>
        <v>0</v>
      </c>
      <c r="BC29" s="142">
        <f t="shared" si="12"/>
        <v>0</v>
      </c>
      <c r="BD29" s="142">
        <f t="shared" si="12"/>
        <v>0</v>
      </c>
      <c r="BE29" s="142">
        <f t="shared" si="12"/>
        <v>0</v>
      </c>
      <c r="BF29" s="142">
        <f t="shared" si="12"/>
        <v>0</v>
      </c>
      <c r="BG29" s="142">
        <f t="shared" si="12"/>
        <v>0</v>
      </c>
      <c r="BH29" s="142">
        <f t="shared" si="12"/>
        <v>0</v>
      </c>
      <c r="BI29" s="142">
        <f t="shared" si="12"/>
        <v>0</v>
      </c>
      <c r="BJ29" s="142">
        <f t="shared" si="12"/>
        <v>0</v>
      </c>
      <c r="BK29" s="142">
        <f t="shared" si="12"/>
        <v>0</v>
      </c>
    </row>
    <row r="30">
      <c r="A30" s="78"/>
      <c r="B30" s="86"/>
      <c r="C30" s="166" t="s">
        <v>57</v>
      </c>
      <c r="D30" s="98"/>
      <c r="E30" s="147"/>
      <c r="F30" s="169">
        <v>12.0</v>
      </c>
      <c r="G30" s="142">
        <f t="shared" ref="G30:BK30" si="13">F30</f>
        <v>12</v>
      </c>
      <c r="H30" s="142">
        <f t="shared" si="13"/>
        <v>12</v>
      </c>
      <c r="I30" s="142">
        <f t="shared" si="13"/>
        <v>12</v>
      </c>
      <c r="J30" s="142">
        <f t="shared" si="13"/>
        <v>12</v>
      </c>
      <c r="K30" s="142">
        <f t="shared" si="13"/>
        <v>12</v>
      </c>
      <c r="L30" s="142">
        <f t="shared" si="13"/>
        <v>12</v>
      </c>
      <c r="M30" s="142">
        <f t="shared" si="13"/>
        <v>12</v>
      </c>
      <c r="N30" s="142">
        <f t="shared" si="13"/>
        <v>12</v>
      </c>
      <c r="O30" s="142">
        <f t="shared" si="13"/>
        <v>12</v>
      </c>
      <c r="P30" s="142">
        <f t="shared" si="13"/>
        <v>12</v>
      </c>
      <c r="Q30" s="142">
        <f t="shared" si="13"/>
        <v>12</v>
      </c>
      <c r="R30" s="142">
        <f t="shared" si="13"/>
        <v>12</v>
      </c>
      <c r="S30" s="142">
        <f t="shared" si="13"/>
        <v>12</v>
      </c>
      <c r="T30" s="142">
        <f t="shared" si="13"/>
        <v>12</v>
      </c>
      <c r="U30" s="142">
        <f t="shared" si="13"/>
        <v>12</v>
      </c>
      <c r="V30" s="142">
        <f t="shared" si="13"/>
        <v>12</v>
      </c>
      <c r="W30" s="142">
        <f t="shared" si="13"/>
        <v>12</v>
      </c>
      <c r="X30" s="142">
        <f t="shared" si="13"/>
        <v>12</v>
      </c>
      <c r="Y30" s="142">
        <f t="shared" si="13"/>
        <v>12</v>
      </c>
      <c r="Z30" s="142">
        <f t="shared" si="13"/>
        <v>12</v>
      </c>
      <c r="AA30" s="142">
        <f t="shared" si="13"/>
        <v>12</v>
      </c>
      <c r="AB30" s="142">
        <f t="shared" si="13"/>
        <v>12</v>
      </c>
      <c r="AC30" s="142">
        <f t="shared" si="13"/>
        <v>12</v>
      </c>
      <c r="AD30" s="142">
        <f t="shared" si="13"/>
        <v>12</v>
      </c>
      <c r="AE30" s="142">
        <f t="shared" si="13"/>
        <v>12</v>
      </c>
      <c r="AF30" s="142">
        <f t="shared" si="13"/>
        <v>12</v>
      </c>
      <c r="AG30" s="142">
        <f t="shared" si="13"/>
        <v>12</v>
      </c>
      <c r="AH30" s="142">
        <f t="shared" si="13"/>
        <v>12</v>
      </c>
      <c r="AI30" s="142">
        <f t="shared" si="13"/>
        <v>12</v>
      </c>
      <c r="AJ30" s="142">
        <f t="shared" si="13"/>
        <v>12</v>
      </c>
      <c r="AK30" s="142">
        <f t="shared" si="13"/>
        <v>12</v>
      </c>
      <c r="AL30" s="142">
        <f t="shared" si="13"/>
        <v>12</v>
      </c>
      <c r="AM30" s="142">
        <f t="shared" si="13"/>
        <v>12</v>
      </c>
      <c r="AN30" s="142">
        <f t="shared" si="13"/>
        <v>12</v>
      </c>
      <c r="AO30" s="142">
        <f t="shared" si="13"/>
        <v>12</v>
      </c>
      <c r="AP30" s="142">
        <f t="shared" si="13"/>
        <v>12</v>
      </c>
      <c r="AQ30" s="142">
        <f t="shared" si="13"/>
        <v>12</v>
      </c>
      <c r="AR30" s="142">
        <f t="shared" si="13"/>
        <v>12</v>
      </c>
      <c r="AS30" s="142">
        <f t="shared" si="13"/>
        <v>12</v>
      </c>
      <c r="AT30" s="142">
        <f t="shared" si="13"/>
        <v>12</v>
      </c>
      <c r="AU30" s="142">
        <f t="shared" si="13"/>
        <v>12</v>
      </c>
      <c r="AV30" s="142">
        <f t="shared" si="13"/>
        <v>12</v>
      </c>
      <c r="AW30" s="142">
        <f t="shared" si="13"/>
        <v>12</v>
      </c>
      <c r="AX30" s="142">
        <f t="shared" si="13"/>
        <v>12</v>
      </c>
      <c r="AY30" s="142">
        <f t="shared" si="13"/>
        <v>12</v>
      </c>
      <c r="AZ30" s="142">
        <f t="shared" si="13"/>
        <v>12</v>
      </c>
      <c r="BA30" s="142">
        <f t="shared" si="13"/>
        <v>12</v>
      </c>
      <c r="BB30" s="142">
        <f t="shared" si="13"/>
        <v>12</v>
      </c>
      <c r="BC30" s="142">
        <f t="shared" si="13"/>
        <v>12</v>
      </c>
      <c r="BD30" s="142">
        <f t="shared" si="13"/>
        <v>12</v>
      </c>
      <c r="BE30" s="142">
        <f t="shared" si="13"/>
        <v>12</v>
      </c>
      <c r="BF30" s="142">
        <f t="shared" si="13"/>
        <v>12</v>
      </c>
      <c r="BG30" s="142">
        <f t="shared" si="13"/>
        <v>12</v>
      </c>
      <c r="BH30" s="142">
        <f t="shared" si="13"/>
        <v>12</v>
      </c>
      <c r="BI30" s="142">
        <f t="shared" si="13"/>
        <v>12</v>
      </c>
      <c r="BJ30" s="142">
        <f t="shared" si="13"/>
        <v>12</v>
      </c>
      <c r="BK30" s="142">
        <f t="shared" si="13"/>
        <v>12</v>
      </c>
    </row>
    <row r="31">
      <c r="A31" s="78"/>
      <c r="B31" s="86"/>
      <c r="C31" s="168" t="s">
        <v>58</v>
      </c>
      <c r="D31" s="98"/>
      <c r="E31" s="147"/>
      <c r="F31" s="169">
        <v>12.0</v>
      </c>
      <c r="G31" s="142">
        <f t="shared" ref="G31:BK31" si="14">F31</f>
        <v>12</v>
      </c>
      <c r="H31" s="142">
        <f t="shared" si="14"/>
        <v>12</v>
      </c>
      <c r="I31" s="142">
        <f t="shared" si="14"/>
        <v>12</v>
      </c>
      <c r="J31" s="142">
        <f t="shared" si="14"/>
        <v>12</v>
      </c>
      <c r="K31" s="142">
        <f t="shared" si="14"/>
        <v>12</v>
      </c>
      <c r="L31" s="142">
        <f t="shared" si="14"/>
        <v>12</v>
      </c>
      <c r="M31" s="142">
        <f t="shared" si="14"/>
        <v>12</v>
      </c>
      <c r="N31" s="142">
        <f t="shared" si="14"/>
        <v>12</v>
      </c>
      <c r="O31" s="142">
        <f t="shared" si="14"/>
        <v>12</v>
      </c>
      <c r="P31" s="142">
        <f t="shared" si="14"/>
        <v>12</v>
      </c>
      <c r="Q31" s="142">
        <f t="shared" si="14"/>
        <v>12</v>
      </c>
      <c r="R31" s="142">
        <f t="shared" si="14"/>
        <v>12</v>
      </c>
      <c r="S31" s="142">
        <f t="shared" si="14"/>
        <v>12</v>
      </c>
      <c r="T31" s="142">
        <f t="shared" si="14"/>
        <v>12</v>
      </c>
      <c r="U31" s="142">
        <f t="shared" si="14"/>
        <v>12</v>
      </c>
      <c r="V31" s="142">
        <f t="shared" si="14"/>
        <v>12</v>
      </c>
      <c r="W31" s="142">
        <f t="shared" si="14"/>
        <v>12</v>
      </c>
      <c r="X31" s="142">
        <f t="shared" si="14"/>
        <v>12</v>
      </c>
      <c r="Y31" s="142">
        <f t="shared" si="14"/>
        <v>12</v>
      </c>
      <c r="Z31" s="142">
        <f t="shared" si="14"/>
        <v>12</v>
      </c>
      <c r="AA31" s="142">
        <f t="shared" si="14"/>
        <v>12</v>
      </c>
      <c r="AB31" s="142">
        <f t="shared" si="14"/>
        <v>12</v>
      </c>
      <c r="AC31" s="142">
        <f t="shared" si="14"/>
        <v>12</v>
      </c>
      <c r="AD31" s="142">
        <f t="shared" si="14"/>
        <v>12</v>
      </c>
      <c r="AE31" s="142">
        <f t="shared" si="14"/>
        <v>12</v>
      </c>
      <c r="AF31" s="142">
        <f t="shared" si="14"/>
        <v>12</v>
      </c>
      <c r="AG31" s="142">
        <f t="shared" si="14"/>
        <v>12</v>
      </c>
      <c r="AH31" s="142">
        <f t="shared" si="14"/>
        <v>12</v>
      </c>
      <c r="AI31" s="142">
        <f t="shared" si="14"/>
        <v>12</v>
      </c>
      <c r="AJ31" s="142">
        <f t="shared" si="14"/>
        <v>12</v>
      </c>
      <c r="AK31" s="142">
        <f t="shared" si="14"/>
        <v>12</v>
      </c>
      <c r="AL31" s="142">
        <f t="shared" si="14"/>
        <v>12</v>
      </c>
      <c r="AM31" s="142">
        <f t="shared" si="14"/>
        <v>12</v>
      </c>
      <c r="AN31" s="142">
        <f t="shared" si="14"/>
        <v>12</v>
      </c>
      <c r="AO31" s="142">
        <f t="shared" si="14"/>
        <v>12</v>
      </c>
      <c r="AP31" s="142">
        <f t="shared" si="14"/>
        <v>12</v>
      </c>
      <c r="AQ31" s="142">
        <f t="shared" si="14"/>
        <v>12</v>
      </c>
      <c r="AR31" s="142">
        <f t="shared" si="14"/>
        <v>12</v>
      </c>
      <c r="AS31" s="142">
        <f t="shared" si="14"/>
        <v>12</v>
      </c>
      <c r="AT31" s="142">
        <f t="shared" si="14"/>
        <v>12</v>
      </c>
      <c r="AU31" s="142">
        <f t="shared" si="14"/>
        <v>12</v>
      </c>
      <c r="AV31" s="142">
        <f t="shared" si="14"/>
        <v>12</v>
      </c>
      <c r="AW31" s="142">
        <f t="shared" si="14"/>
        <v>12</v>
      </c>
      <c r="AX31" s="142">
        <f t="shared" si="14"/>
        <v>12</v>
      </c>
      <c r="AY31" s="142">
        <f t="shared" si="14"/>
        <v>12</v>
      </c>
      <c r="AZ31" s="142">
        <f t="shared" si="14"/>
        <v>12</v>
      </c>
      <c r="BA31" s="142">
        <f t="shared" si="14"/>
        <v>12</v>
      </c>
      <c r="BB31" s="142">
        <f t="shared" si="14"/>
        <v>12</v>
      </c>
      <c r="BC31" s="142">
        <f t="shared" si="14"/>
        <v>12</v>
      </c>
      <c r="BD31" s="142">
        <f t="shared" si="14"/>
        <v>12</v>
      </c>
      <c r="BE31" s="142">
        <f t="shared" si="14"/>
        <v>12</v>
      </c>
      <c r="BF31" s="142">
        <f t="shared" si="14"/>
        <v>12</v>
      </c>
      <c r="BG31" s="142">
        <f t="shared" si="14"/>
        <v>12</v>
      </c>
      <c r="BH31" s="142">
        <f t="shared" si="14"/>
        <v>12</v>
      </c>
      <c r="BI31" s="142">
        <f t="shared" si="14"/>
        <v>12</v>
      </c>
      <c r="BJ31" s="142">
        <f t="shared" si="14"/>
        <v>12</v>
      </c>
      <c r="BK31" s="142">
        <f t="shared" si="14"/>
        <v>12</v>
      </c>
    </row>
    <row r="32">
      <c r="A32" s="78"/>
      <c r="B32" s="86"/>
      <c r="C32" s="166" t="s">
        <v>59</v>
      </c>
      <c r="D32" s="98"/>
      <c r="E32" s="147"/>
      <c r="F32" s="169">
        <v>12.0</v>
      </c>
      <c r="G32" s="142">
        <f t="shared" ref="G32:BK32" si="15">F32</f>
        <v>12</v>
      </c>
      <c r="H32" s="142">
        <f t="shared" si="15"/>
        <v>12</v>
      </c>
      <c r="I32" s="142">
        <f t="shared" si="15"/>
        <v>12</v>
      </c>
      <c r="J32" s="142">
        <f t="shared" si="15"/>
        <v>12</v>
      </c>
      <c r="K32" s="142">
        <f t="shared" si="15"/>
        <v>12</v>
      </c>
      <c r="L32" s="142">
        <f t="shared" si="15"/>
        <v>12</v>
      </c>
      <c r="M32" s="142">
        <f t="shared" si="15"/>
        <v>12</v>
      </c>
      <c r="N32" s="142">
        <f t="shared" si="15"/>
        <v>12</v>
      </c>
      <c r="O32" s="142">
        <f t="shared" si="15"/>
        <v>12</v>
      </c>
      <c r="P32" s="142">
        <f t="shared" si="15"/>
        <v>12</v>
      </c>
      <c r="Q32" s="142">
        <f t="shared" si="15"/>
        <v>12</v>
      </c>
      <c r="R32" s="142">
        <f t="shared" si="15"/>
        <v>12</v>
      </c>
      <c r="S32" s="142">
        <f t="shared" si="15"/>
        <v>12</v>
      </c>
      <c r="T32" s="142">
        <f t="shared" si="15"/>
        <v>12</v>
      </c>
      <c r="U32" s="142">
        <f t="shared" si="15"/>
        <v>12</v>
      </c>
      <c r="V32" s="142">
        <f t="shared" si="15"/>
        <v>12</v>
      </c>
      <c r="W32" s="142">
        <f t="shared" si="15"/>
        <v>12</v>
      </c>
      <c r="X32" s="142">
        <f t="shared" si="15"/>
        <v>12</v>
      </c>
      <c r="Y32" s="142">
        <f t="shared" si="15"/>
        <v>12</v>
      </c>
      <c r="Z32" s="142">
        <f t="shared" si="15"/>
        <v>12</v>
      </c>
      <c r="AA32" s="142">
        <f t="shared" si="15"/>
        <v>12</v>
      </c>
      <c r="AB32" s="142">
        <f t="shared" si="15"/>
        <v>12</v>
      </c>
      <c r="AC32" s="142">
        <f t="shared" si="15"/>
        <v>12</v>
      </c>
      <c r="AD32" s="142">
        <f t="shared" si="15"/>
        <v>12</v>
      </c>
      <c r="AE32" s="142">
        <f t="shared" si="15"/>
        <v>12</v>
      </c>
      <c r="AF32" s="142">
        <f t="shared" si="15"/>
        <v>12</v>
      </c>
      <c r="AG32" s="142">
        <f t="shared" si="15"/>
        <v>12</v>
      </c>
      <c r="AH32" s="142">
        <f t="shared" si="15"/>
        <v>12</v>
      </c>
      <c r="AI32" s="142">
        <f t="shared" si="15"/>
        <v>12</v>
      </c>
      <c r="AJ32" s="142">
        <f t="shared" si="15"/>
        <v>12</v>
      </c>
      <c r="AK32" s="142">
        <f t="shared" si="15"/>
        <v>12</v>
      </c>
      <c r="AL32" s="142">
        <f t="shared" si="15"/>
        <v>12</v>
      </c>
      <c r="AM32" s="142">
        <f t="shared" si="15"/>
        <v>12</v>
      </c>
      <c r="AN32" s="142">
        <f t="shared" si="15"/>
        <v>12</v>
      </c>
      <c r="AO32" s="142">
        <f t="shared" si="15"/>
        <v>12</v>
      </c>
      <c r="AP32" s="142">
        <f t="shared" si="15"/>
        <v>12</v>
      </c>
      <c r="AQ32" s="142">
        <f t="shared" si="15"/>
        <v>12</v>
      </c>
      <c r="AR32" s="142">
        <f t="shared" si="15"/>
        <v>12</v>
      </c>
      <c r="AS32" s="142">
        <f t="shared" si="15"/>
        <v>12</v>
      </c>
      <c r="AT32" s="142">
        <f t="shared" si="15"/>
        <v>12</v>
      </c>
      <c r="AU32" s="142">
        <f t="shared" si="15"/>
        <v>12</v>
      </c>
      <c r="AV32" s="142">
        <f t="shared" si="15"/>
        <v>12</v>
      </c>
      <c r="AW32" s="142">
        <f t="shared" si="15"/>
        <v>12</v>
      </c>
      <c r="AX32" s="142">
        <f t="shared" si="15"/>
        <v>12</v>
      </c>
      <c r="AY32" s="142">
        <f t="shared" si="15"/>
        <v>12</v>
      </c>
      <c r="AZ32" s="142">
        <f t="shared" si="15"/>
        <v>12</v>
      </c>
      <c r="BA32" s="142">
        <f t="shared" si="15"/>
        <v>12</v>
      </c>
      <c r="BB32" s="142">
        <f t="shared" si="15"/>
        <v>12</v>
      </c>
      <c r="BC32" s="142">
        <f t="shared" si="15"/>
        <v>12</v>
      </c>
      <c r="BD32" s="142">
        <f t="shared" si="15"/>
        <v>12</v>
      </c>
      <c r="BE32" s="142">
        <f t="shared" si="15"/>
        <v>12</v>
      </c>
      <c r="BF32" s="142">
        <f t="shared" si="15"/>
        <v>12</v>
      </c>
      <c r="BG32" s="142">
        <f t="shared" si="15"/>
        <v>12</v>
      </c>
      <c r="BH32" s="142">
        <f t="shared" si="15"/>
        <v>12</v>
      </c>
      <c r="BI32" s="142">
        <f t="shared" si="15"/>
        <v>12</v>
      </c>
      <c r="BJ32" s="142">
        <f t="shared" si="15"/>
        <v>12</v>
      </c>
      <c r="BK32" s="142">
        <f t="shared" si="15"/>
        <v>12</v>
      </c>
    </row>
    <row r="33">
      <c r="A33" s="78"/>
      <c r="B33" s="86"/>
      <c r="C33" s="168" t="s">
        <v>22</v>
      </c>
      <c r="D33" s="98"/>
      <c r="E33" s="147"/>
      <c r="F33" s="169">
        <v>40.0</v>
      </c>
      <c r="G33" s="142">
        <f t="shared" ref="G33:K33" si="16">F33</f>
        <v>40</v>
      </c>
      <c r="H33" s="142">
        <f t="shared" si="16"/>
        <v>40</v>
      </c>
      <c r="I33" s="142">
        <f t="shared" si="16"/>
        <v>40</v>
      </c>
      <c r="J33" s="142">
        <f t="shared" si="16"/>
        <v>40</v>
      </c>
      <c r="K33" s="142">
        <f t="shared" si="16"/>
        <v>40</v>
      </c>
      <c r="L33" s="142">
        <v>40.0</v>
      </c>
      <c r="M33" s="142">
        <f t="shared" ref="M33:BK33" si="17">L33</f>
        <v>40</v>
      </c>
      <c r="N33" s="142">
        <f t="shared" si="17"/>
        <v>40</v>
      </c>
      <c r="O33" s="142">
        <f t="shared" si="17"/>
        <v>40</v>
      </c>
      <c r="P33" s="142">
        <f t="shared" si="17"/>
        <v>40</v>
      </c>
      <c r="Q33" s="142">
        <f t="shared" si="17"/>
        <v>40</v>
      </c>
      <c r="R33" s="142">
        <f t="shared" si="17"/>
        <v>40</v>
      </c>
      <c r="S33" s="142">
        <f t="shared" si="17"/>
        <v>40</v>
      </c>
      <c r="T33" s="142">
        <f t="shared" si="17"/>
        <v>40</v>
      </c>
      <c r="U33" s="142">
        <f t="shared" si="17"/>
        <v>40</v>
      </c>
      <c r="V33" s="142">
        <f t="shared" si="17"/>
        <v>40</v>
      </c>
      <c r="W33" s="142">
        <f t="shared" si="17"/>
        <v>40</v>
      </c>
      <c r="X33" s="142">
        <f t="shared" si="17"/>
        <v>40</v>
      </c>
      <c r="Y33" s="142">
        <f t="shared" si="17"/>
        <v>40</v>
      </c>
      <c r="Z33" s="142">
        <f t="shared" si="17"/>
        <v>40</v>
      </c>
      <c r="AA33" s="142">
        <f t="shared" si="17"/>
        <v>40</v>
      </c>
      <c r="AB33" s="142">
        <f t="shared" si="17"/>
        <v>40</v>
      </c>
      <c r="AC33" s="142">
        <f t="shared" si="17"/>
        <v>40</v>
      </c>
      <c r="AD33" s="142">
        <f t="shared" si="17"/>
        <v>40</v>
      </c>
      <c r="AE33" s="142">
        <f t="shared" si="17"/>
        <v>40</v>
      </c>
      <c r="AF33" s="142">
        <f t="shared" si="17"/>
        <v>40</v>
      </c>
      <c r="AG33" s="142">
        <f t="shared" si="17"/>
        <v>40</v>
      </c>
      <c r="AH33" s="142">
        <f t="shared" si="17"/>
        <v>40</v>
      </c>
      <c r="AI33" s="142">
        <f t="shared" si="17"/>
        <v>40</v>
      </c>
      <c r="AJ33" s="142">
        <f t="shared" si="17"/>
        <v>40</v>
      </c>
      <c r="AK33" s="142">
        <f t="shared" si="17"/>
        <v>40</v>
      </c>
      <c r="AL33" s="142">
        <f t="shared" si="17"/>
        <v>40</v>
      </c>
      <c r="AM33" s="142">
        <f t="shared" si="17"/>
        <v>40</v>
      </c>
      <c r="AN33" s="142">
        <f t="shared" si="17"/>
        <v>40</v>
      </c>
      <c r="AO33" s="142">
        <f t="shared" si="17"/>
        <v>40</v>
      </c>
      <c r="AP33" s="142">
        <f t="shared" si="17"/>
        <v>40</v>
      </c>
      <c r="AQ33" s="142">
        <f t="shared" si="17"/>
        <v>40</v>
      </c>
      <c r="AR33" s="142">
        <f t="shared" si="17"/>
        <v>40</v>
      </c>
      <c r="AS33" s="142">
        <f t="shared" si="17"/>
        <v>40</v>
      </c>
      <c r="AT33" s="142">
        <f t="shared" si="17"/>
        <v>40</v>
      </c>
      <c r="AU33" s="142">
        <f t="shared" si="17"/>
        <v>40</v>
      </c>
      <c r="AV33" s="142">
        <f t="shared" si="17"/>
        <v>40</v>
      </c>
      <c r="AW33" s="142">
        <f t="shared" si="17"/>
        <v>40</v>
      </c>
      <c r="AX33" s="142">
        <f t="shared" si="17"/>
        <v>40</v>
      </c>
      <c r="AY33" s="142">
        <f t="shared" si="17"/>
        <v>40</v>
      </c>
      <c r="AZ33" s="142">
        <f t="shared" si="17"/>
        <v>40</v>
      </c>
      <c r="BA33" s="142">
        <f t="shared" si="17"/>
        <v>40</v>
      </c>
      <c r="BB33" s="142">
        <f t="shared" si="17"/>
        <v>40</v>
      </c>
      <c r="BC33" s="142">
        <f t="shared" si="17"/>
        <v>40</v>
      </c>
      <c r="BD33" s="142">
        <f t="shared" si="17"/>
        <v>40</v>
      </c>
      <c r="BE33" s="142">
        <f t="shared" si="17"/>
        <v>40</v>
      </c>
      <c r="BF33" s="142">
        <f t="shared" si="17"/>
        <v>40</v>
      </c>
      <c r="BG33" s="142">
        <f t="shared" si="17"/>
        <v>40</v>
      </c>
      <c r="BH33" s="142">
        <f t="shared" si="17"/>
        <v>40</v>
      </c>
      <c r="BI33" s="142">
        <f t="shared" si="17"/>
        <v>40</v>
      </c>
      <c r="BJ33" s="142">
        <f t="shared" si="17"/>
        <v>40</v>
      </c>
      <c r="BK33" s="142">
        <f t="shared" si="17"/>
        <v>40</v>
      </c>
    </row>
    <row r="34">
      <c r="A34" s="78"/>
      <c r="B34" s="86"/>
      <c r="C34" s="97" t="s">
        <v>60</v>
      </c>
      <c r="D34" s="98"/>
      <c r="E34" s="170"/>
      <c r="F34" s="169">
        <v>40.0</v>
      </c>
      <c r="G34" s="142">
        <f t="shared" ref="G34:BK34" si="18">F34</f>
        <v>40</v>
      </c>
      <c r="H34" s="142">
        <f t="shared" si="18"/>
        <v>40</v>
      </c>
      <c r="I34" s="142">
        <f t="shared" si="18"/>
        <v>40</v>
      </c>
      <c r="J34" s="142">
        <f t="shared" si="18"/>
        <v>40</v>
      </c>
      <c r="K34" s="142">
        <f t="shared" si="18"/>
        <v>40</v>
      </c>
      <c r="L34" s="142">
        <f t="shared" si="18"/>
        <v>40</v>
      </c>
      <c r="M34" s="142">
        <f t="shared" si="18"/>
        <v>40</v>
      </c>
      <c r="N34" s="142">
        <f t="shared" si="18"/>
        <v>40</v>
      </c>
      <c r="O34" s="142">
        <f t="shared" si="18"/>
        <v>40</v>
      </c>
      <c r="P34" s="142">
        <f t="shared" si="18"/>
        <v>40</v>
      </c>
      <c r="Q34" s="142">
        <f t="shared" si="18"/>
        <v>40</v>
      </c>
      <c r="R34" s="142">
        <f t="shared" si="18"/>
        <v>40</v>
      </c>
      <c r="S34" s="142">
        <f t="shared" si="18"/>
        <v>40</v>
      </c>
      <c r="T34" s="142">
        <f t="shared" si="18"/>
        <v>40</v>
      </c>
      <c r="U34" s="142">
        <f t="shared" si="18"/>
        <v>40</v>
      </c>
      <c r="V34" s="142">
        <f t="shared" si="18"/>
        <v>40</v>
      </c>
      <c r="W34" s="142">
        <f t="shared" si="18"/>
        <v>40</v>
      </c>
      <c r="X34" s="142">
        <f t="shared" si="18"/>
        <v>40</v>
      </c>
      <c r="Y34" s="142">
        <f t="shared" si="18"/>
        <v>40</v>
      </c>
      <c r="Z34" s="142">
        <f t="shared" si="18"/>
        <v>40</v>
      </c>
      <c r="AA34" s="142">
        <f t="shared" si="18"/>
        <v>40</v>
      </c>
      <c r="AB34" s="142">
        <f t="shared" si="18"/>
        <v>40</v>
      </c>
      <c r="AC34" s="142">
        <f t="shared" si="18"/>
        <v>40</v>
      </c>
      <c r="AD34" s="142">
        <f t="shared" si="18"/>
        <v>40</v>
      </c>
      <c r="AE34" s="142">
        <f t="shared" si="18"/>
        <v>40</v>
      </c>
      <c r="AF34" s="142">
        <f t="shared" si="18"/>
        <v>40</v>
      </c>
      <c r="AG34" s="142">
        <f t="shared" si="18"/>
        <v>40</v>
      </c>
      <c r="AH34" s="142">
        <f t="shared" si="18"/>
        <v>40</v>
      </c>
      <c r="AI34" s="142">
        <f t="shared" si="18"/>
        <v>40</v>
      </c>
      <c r="AJ34" s="142">
        <f t="shared" si="18"/>
        <v>40</v>
      </c>
      <c r="AK34" s="142">
        <f t="shared" si="18"/>
        <v>40</v>
      </c>
      <c r="AL34" s="142">
        <f t="shared" si="18"/>
        <v>40</v>
      </c>
      <c r="AM34" s="142">
        <f t="shared" si="18"/>
        <v>40</v>
      </c>
      <c r="AN34" s="142">
        <f t="shared" si="18"/>
        <v>40</v>
      </c>
      <c r="AO34" s="142">
        <f t="shared" si="18"/>
        <v>40</v>
      </c>
      <c r="AP34" s="142">
        <f t="shared" si="18"/>
        <v>40</v>
      </c>
      <c r="AQ34" s="142">
        <f t="shared" si="18"/>
        <v>40</v>
      </c>
      <c r="AR34" s="142">
        <f t="shared" si="18"/>
        <v>40</v>
      </c>
      <c r="AS34" s="142">
        <f t="shared" si="18"/>
        <v>40</v>
      </c>
      <c r="AT34" s="142">
        <f t="shared" si="18"/>
        <v>40</v>
      </c>
      <c r="AU34" s="142">
        <f t="shared" si="18"/>
        <v>40</v>
      </c>
      <c r="AV34" s="142">
        <f t="shared" si="18"/>
        <v>40</v>
      </c>
      <c r="AW34" s="142">
        <f t="shared" si="18"/>
        <v>40</v>
      </c>
      <c r="AX34" s="142">
        <f t="shared" si="18"/>
        <v>40</v>
      </c>
      <c r="AY34" s="142">
        <f t="shared" si="18"/>
        <v>40</v>
      </c>
      <c r="AZ34" s="142">
        <f t="shared" si="18"/>
        <v>40</v>
      </c>
      <c r="BA34" s="142">
        <f t="shared" si="18"/>
        <v>40</v>
      </c>
      <c r="BB34" s="142">
        <f t="shared" si="18"/>
        <v>40</v>
      </c>
      <c r="BC34" s="142">
        <f t="shared" si="18"/>
        <v>40</v>
      </c>
      <c r="BD34" s="142">
        <f t="shared" si="18"/>
        <v>40</v>
      </c>
      <c r="BE34" s="142">
        <f t="shared" si="18"/>
        <v>40</v>
      </c>
      <c r="BF34" s="142">
        <f t="shared" si="18"/>
        <v>40</v>
      </c>
      <c r="BG34" s="142">
        <f t="shared" si="18"/>
        <v>40</v>
      </c>
      <c r="BH34" s="142">
        <f t="shared" si="18"/>
        <v>40</v>
      </c>
      <c r="BI34" s="142">
        <f t="shared" si="18"/>
        <v>40</v>
      </c>
      <c r="BJ34" s="142">
        <f t="shared" si="18"/>
        <v>40</v>
      </c>
      <c r="BK34" s="142">
        <f t="shared" si="18"/>
        <v>40</v>
      </c>
    </row>
    <row r="35">
      <c r="A35" s="78"/>
      <c r="B35" s="86"/>
      <c r="C35" s="171" t="s">
        <v>104</v>
      </c>
      <c r="D35" s="172"/>
      <c r="E35" s="173"/>
      <c r="F35" s="174">
        <v>1.0</v>
      </c>
      <c r="G35" s="142">
        <f t="shared" ref="G35:BK35" si="19">F35</f>
        <v>1</v>
      </c>
      <c r="H35" s="142">
        <f t="shared" si="19"/>
        <v>1</v>
      </c>
      <c r="I35" s="142">
        <f t="shared" si="19"/>
        <v>1</v>
      </c>
      <c r="J35" s="142">
        <f t="shared" si="19"/>
        <v>1</v>
      </c>
      <c r="K35" s="142">
        <f t="shared" si="19"/>
        <v>1</v>
      </c>
      <c r="L35" s="142">
        <f t="shared" si="19"/>
        <v>1</v>
      </c>
      <c r="M35" s="142">
        <f t="shared" si="19"/>
        <v>1</v>
      </c>
      <c r="N35" s="142">
        <f t="shared" si="19"/>
        <v>1</v>
      </c>
      <c r="O35" s="142">
        <f t="shared" si="19"/>
        <v>1</v>
      </c>
      <c r="P35" s="142">
        <f t="shared" si="19"/>
        <v>1</v>
      </c>
      <c r="Q35" s="142">
        <f t="shared" si="19"/>
        <v>1</v>
      </c>
      <c r="R35" s="142">
        <f t="shared" si="19"/>
        <v>1</v>
      </c>
      <c r="S35" s="142">
        <f t="shared" si="19"/>
        <v>1</v>
      </c>
      <c r="T35" s="142">
        <f t="shared" si="19"/>
        <v>1</v>
      </c>
      <c r="U35" s="142">
        <f t="shared" si="19"/>
        <v>1</v>
      </c>
      <c r="V35" s="142">
        <f t="shared" si="19"/>
        <v>1</v>
      </c>
      <c r="W35" s="142">
        <f t="shared" si="19"/>
        <v>1</v>
      </c>
      <c r="X35" s="142">
        <f t="shared" si="19"/>
        <v>1</v>
      </c>
      <c r="Y35" s="142">
        <f t="shared" si="19"/>
        <v>1</v>
      </c>
      <c r="Z35" s="142">
        <f t="shared" si="19"/>
        <v>1</v>
      </c>
      <c r="AA35" s="142">
        <f t="shared" si="19"/>
        <v>1</v>
      </c>
      <c r="AB35" s="142">
        <f t="shared" si="19"/>
        <v>1</v>
      </c>
      <c r="AC35" s="142">
        <f t="shared" si="19"/>
        <v>1</v>
      </c>
      <c r="AD35" s="142">
        <f t="shared" si="19"/>
        <v>1</v>
      </c>
      <c r="AE35" s="142">
        <f t="shared" si="19"/>
        <v>1</v>
      </c>
      <c r="AF35" s="142">
        <f t="shared" si="19"/>
        <v>1</v>
      </c>
      <c r="AG35" s="142">
        <f t="shared" si="19"/>
        <v>1</v>
      </c>
      <c r="AH35" s="142">
        <f t="shared" si="19"/>
        <v>1</v>
      </c>
      <c r="AI35" s="142">
        <f t="shared" si="19"/>
        <v>1</v>
      </c>
      <c r="AJ35" s="142">
        <f t="shared" si="19"/>
        <v>1</v>
      </c>
      <c r="AK35" s="142">
        <f t="shared" si="19"/>
        <v>1</v>
      </c>
      <c r="AL35" s="142">
        <f t="shared" si="19"/>
        <v>1</v>
      </c>
      <c r="AM35" s="142">
        <f t="shared" si="19"/>
        <v>1</v>
      </c>
      <c r="AN35" s="142">
        <f t="shared" si="19"/>
        <v>1</v>
      </c>
      <c r="AO35" s="142">
        <f t="shared" si="19"/>
        <v>1</v>
      </c>
      <c r="AP35" s="142">
        <f t="shared" si="19"/>
        <v>1</v>
      </c>
      <c r="AQ35" s="142">
        <f t="shared" si="19"/>
        <v>1</v>
      </c>
      <c r="AR35" s="142">
        <f t="shared" si="19"/>
        <v>1</v>
      </c>
      <c r="AS35" s="142">
        <f t="shared" si="19"/>
        <v>1</v>
      </c>
      <c r="AT35" s="142">
        <f t="shared" si="19"/>
        <v>1</v>
      </c>
      <c r="AU35" s="142">
        <f t="shared" si="19"/>
        <v>1</v>
      </c>
      <c r="AV35" s="142">
        <f t="shared" si="19"/>
        <v>1</v>
      </c>
      <c r="AW35" s="142">
        <f t="shared" si="19"/>
        <v>1</v>
      </c>
      <c r="AX35" s="142">
        <f t="shared" si="19"/>
        <v>1</v>
      </c>
      <c r="AY35" s="142">
        <f t="shared" si="19"/>
        <v>1</v>
      </c>
      <c r="AZ35" s="142">
        <f t="shared" si="19"/>
        <v>1</v>
      </c>
      <c r="BA35" s="142">
        <f t="shared" si="19"/>
        <v>1</v>
      </c>
      <c r="BB35" s="142">
        <f t="shared" si="19"/>
        <v>1</v>
      </c>
      <c r="BC35" s="142">
        <f t="shared" si="19"/>
        <v>1</v>
      </c>
      <c r="BD35" s="142">
        <f t="shared" si="19"/>
        <v>1</v>
      </c>
      <c r="BE35" s="142">
        <f t="shared" si="19"/>
        <v>1</v>
      </c>
      <c r="BF35" s="142">
        <f t="shared" si="19"/>
        <v>1</v>
      </c>
      <c r="BG35" s="142">
        <f t="shared" si="19"/>
        <v>1</v>
      </c>
      <c r="BH35" s="142">
        <f t="shared" si="19"/>
        <v>1</v>
      </c>
      <c r="BI35" s="142">
        <f t="shared" si="19"/>
        <v>1</v>
      </c>
      <c r="BJ35" s="142">
        <f t="shared" si="19"/>
        <v>1</v>
      </c>
      <c r="BK35" s="142">
        <f t="shared" si="19"/>
        <v>1</v>
      </c>
    </row>
    <row r="36">
      <c r="A36" s="78"/>
      <c r="B36" s="86"/>
      <c r="C36" s="97" t="s">
        <v>105</v>
      </c>
      <c r="D36" s="98"/>
      <c r="E36" s="170"/>
      <c r="F36" s="169">
        <v>12.0</v>
      </c>
      <c r="G36" s="142">
        <f t="shared" ref="G36:BK36" si="20">F36</f>
        <v>12</v>
      </c>
      <c r="H36" s="142">
        <f t="shared" si="20"/>
        <v>12</v>
      </c>
      <c r="I36" s="142">
        <f t="shared" si="20"/>
        <v>12</v>
      </c>
      <c r="J36" s="142">
        <f t="shared" si="20"/>
        <v>12</v>
      </c>
      <c r="K36" s="142">
        <f t="shared" si="20"/>
        <v>12</v>
      </c>
      <c r="L36" s="142">
        <f t="shared" si="20"/>
        <v>12</v>
      </c>
      <c r="M36" s="142">
        <f t="shared" si="20"/>
        <v>12</v>
      </c>
      <c r="N36" s="142">
        <f t="shared" si="20"/>
        <v>12</v>
      </c>
      <c r="O36" s="142">
        <f t="shared" si="20"/>
        <v>12</v>
      </c>
      <c r="P36" s="142">
        <f t="shared" si="20"/>
        <v>12</v>
      </c>
      <c r="Q36" s="142">
        <f t="shared" si="20"/>
        <v>12</v>
      </c>
      <c r="R36" s="142">
        <f t="shared" si="20"/>
        <v>12</v>
      </c>
      <c r="S36" s="142">
        <f t="shared" si="20"/>
        <v>12</v>
      </c>
      <c r="T36" s="142">
        <f t="shared" si="20"/>
        <v>12</v>
      </c>
      <c r="U36" s="142">
        <f t="shared" si="20"/>
        <v>12</v>
      </c>
      <c r="V36" s="142">
        <f t="shared" si="20"/>
        <v>12</v>
      </c>
      <c r="W36" s="142">
        <f t="shared" si="20"/>
        <v>12</v>
      </c>
      <c r="X36" s="142">
        <f t="shared" si="20"/>
        <v>12</v>
      </c>
      <c r="Y36" s="142">
        <f t="shared" si="20"/>
        <v>12</v>
      </c>
      <c r="Z36" s="142">
        <f t="shared" si="20"/>
        <v>12</v>
      </c>
      <c r="AA36" s="142">
        <f t="shared" si="20"/>
        <v>12</v>
      </c>
      <c r="AB36" s="142">
        <f t="shared" si="20"/>
        <v>12</v>
      </c>
      <c r="AC36" s="142">
        <f t="shared" si="20"/>
        <v>12</v>
      </c>
      <c r="AD36" s="142">
        <f t="shared" si="20"/>
        <v>12</v>
      </c>
      <c r="AE36" s="142">
        <f t="shared" si="20"/>
        <v>12</v>
      </c>
      <c r="AF36" s="142">
        <f t="shared" si="20"/>
        <v>12</v>
      </c>
      <c r="AG36" s="142">
        <f t="shared" si="20"/>
        <v>12</v>
      </c>
      <c r="AH36" s="142">
        <f t="shared" si="20"/>
        <v>12</v>
      </c>
      <c r="AI36" s="142">
        <f t="shared" si="20"/>
        <v>12</v>
      </c>
      <c r="AJ36" s="142">
        <f t="shared" si="20"/>
        <v>12</v>
      </c>
      <c r="AK36" s="142">
        <f t="shared" si="20"/>
        <v>12</v>
      </c>
      <c r="AL36" s="142">
        <f t="shared" si="20"/>
        <v>12</v>
      </c>
      <c r="AM36" s="142">
        <f t="shared" si="20"/>
        <v>12</v>
      </c>
      <c r="AN36" s="142">
        <f t="shared" si="20"/>
        <v>12</v>
      </c>
      <c r="AO36" s="142">
        <f t="shared" si="20"/>
        <v>12</v>
      </c>
      <c r="AP36" s="142">
        <f t="shared" si="20"/>
        <v>12</v>
      </c>
      <c r="AQ36" s="142">
        <f t="shared" si="20"/>
        <v>12</v>
      </c>
      <c r="AR36" s="142">
        <f t="shared" si="20"/>
        <v>12</v>
      </c>
      <c r="AS36" s="142">
        <f t="shared" si="20"/>
        <v>12</v>
      </c>
      <c r="AT36" s="142">
        <f t="shared" si="20"/>
        <v>12</v>
      </c>
      <c r="AU36" s="142">
        <f t="shared" si="20"/>
        <v>12</v>
      </c>
      <c r="AV36" s="142">
        <f t="shared" si="20"/>
        <v>12</v>
      </c>
      <c r="AW36" s="142">
        <f t="shared" si="20"/>
        <v>12</v>
      </c>
      <c r="AX36" s="142">
        <f t="shared" si="20"/>
        <v>12</v>
      </c>
      <c r="AY36" s="142">
        <f t="shared" si="20"/>
        <v>12</v>
      </c>
      <c r="AZ36" s="142">
        <f t="shared" si="20"/>
        <v>12</v>
      </c>
      <c r="BA36" s="142">
        <f t="shared" si="20"/>
        <v>12</v>
      </c>
      <c r="BB36" s="142">
        <f t="shared" si="20"/>
        <v>12</v>
      </c>
      <c r="BC36" s="142">
        <f t="shared" si="20"/>
        <v>12</v>
      </c>
      <c r="BD36" s="142">
        <f t="shared" si="20"/>
        <v>12</v>
      </c>
      <c r="BE36" s="142">
        <f t="shared" si="20"/>
        <v>12</v>
      </c>
      <c r="BF36" s="142">
        <f t="shared" si="20"/>
        <v>12</v>
      </c>
      <c r="BG36" s="142">
        <f t="shared" si="20"/>
        <v>12</v>
      </c>
      <c r="BH36" s="142">
        <f t="shared" si="20"/>
        <v>12</v>
      </c>
      <c r="BI36" s="142">
        <f t="shared" si="20"/>
        <v>12</v>
      </c>
      <c r="BJ36" s="142">
        <f t="shared" si="20"/>
        <v>12</v>
      </c>
      <c r="BK36" s="142">
        <f t="shared" si="20"/>
        <v>12</v>
      </c>
    </row>
    <row r="37">
      <c r="A37" s="78"/>
      <c r="B37" s="86"/>
      <c r="C37" s="168" t="s">
        <v>106</v>
      </c>
      <c r="D37" s="98"/>
      <c r="E37" s="170"/>
      <c r="F37" s="169">
        <v>0.0</v>
      </c>
      <c r="G37" s="142">
        <f t="shared" ref="G37:BK37" si="21">F37</f>
        <v>0</v>
      </c>
      <c r="H37" s="142">
        <f t="shared" si="21"/>
        <v>0</v>
      </c>
      <c r="I37" s="142">
        <f t="shared" si="21"/>
        <v>0</v>
      </c>
      <c r="J37" s="142">
        <f t="shared" si="21"/>
        <v>0</v>
      </c>
      <c r="K37" s="142">
        <f t="shared" si="21"/>
        <v>0</v>
      </c>
      <c r="L37" s="142">
        <f t="shared" si="21"/>
        <v>0</v>
      </c>
      <c r="M37" s="142">
        <f t="shared" si="21"/>
        <v>0</v>
      </c>
      <c r="N37" s="142">
        <f t="shared" si="21"/>
        <v>0</v>
      </c>
      <c r="O37" s="142">
        <f t="shared" si="21"/>
        <v>0</v>
      </c>
      <c r="P37" s="142">
        <f t="shared" si="21"/>
        <v>0</v>
      </c>
      <c r="Q37" s="142">
        <f t="shared" si="21"/>
        <v>0</v>
      </c>
      <c r="R37" s="142">
        <f t="shared" si="21"/>
        <v>0</v>
      </c>
      <c r="S37" s="142">
        <f t="shared" si="21"/>
        <v>0</v>
      </c>
      <c r="T37" s="142">
        <f t="shared" si="21"/>
        <v>0</v>
      </c>
      <c r="U37" s="142">
        <f t="shared" si="21"/>
        <v>0</v>
      </c>
      <c r="V37" s="142">
        <f t="shared" si="21"/>
        <v>0</v>
      </c>
      <c r="W37" s="142">
        <f t="shared" si="21"/>
        <v>0</v>
      </c>
      <c r="X37" s="142">
        <f t="shared" si="21"/>
        <v>0</v>
      </c>
      <c r="Y37" s="142">
        <f t="shared" si="21"/>
        <v>0</v>
      </c>
      <c r="Z37" s="142">
        <f t="shared" si="21"/>
        <v>0</v>
      </c>
      <c r="AA37" s="142">
        <f t="shared" si="21"/>
        <v>0</v>
      </c>
      <c r="AB37" s="142">
        <f t="shared" si="21"/>
        <v>0</v>
      </c>
      <c r="AC37" s="142">
        <f t="shared" si="21"/>
        <v>0</v>
      </c>
      <c r="AD37" s="142">
        <f t="shared" si="21"/>
        <v>0</v>
      </c>
      <c r="AE37" s="142">
        <f t="shared" si="21"/>
        <v>0</v>
      </c>
      <c r="AF37" s="142">
        <f t="shared" si="21"/>
        <v>0</v>
      </c>
      <c r="AG37" s="142">
        <f t="shared" si="21"/>
        <v>0</v>
      </c>
      <c r="AH37" s="142">
        <f t="shared" si="21"/>
        <v>0</v>
      </c>
      <c r="AI37" s="142">
        <f t="shared" si="21"/>
        <v>0</v>
      </c>
      <c r="AJ37" s="142">
        <f t="shared" si="21"/>
        <v>0</v>
      </c>
      <c r="AK37" s="142">
        <f t="shared" si="21"/>
        <v>0</v>
      </c>
      <c r="AL37" s="142">
        <f t="shared" si="21"/>
        <v>0</v>
      </c>
      <c r="AM37" s="142">
        <f t="shared" si="21"/>
        <v>0</v>
      </c>
      <c r="AN37" s="142">
        <f t="shared" si="21"/>
        <v>0</v>
      </c>
      <c r="AO37" s="142">
        <f t="shared" si="21"/>
        <v>0</v>
      </c>
      <c r="AP37" s="142">
        <f t="shared" si="21"/>
        <v>0</v>
      </c>
      <c r="AQ37" s="142">
        <f t="shared" si="21"/>
        <v>0</v>
      </c>
      <c r="AR37" s="142">
        <f t="shared" si="21"/>
        <v>0</v>
      </c>
      <c r="AS37" s="142">
        <f t="shared" si="21"/>
        <v>0</v>
      </c>
      <c r="AT37" s="142">
        <f t="shared" si="21"/>
        <v>0</v>
      </c>
      <c r="AU37" s="142">
        <f t="shared" si="21"/>
        <v>0</v>
      </c>
      <c r="AV37" s="142">
        <f t="shared" si="21"/>
        <v>0</v>
      </c>
      <c r="AW37" s="142">
        <f t="shared" si="21"/>
        <v>0</v>
      </c>
      <c r="AX37" s="142">
        <f t="shared" si="21"/>
        <v>0</v>
      </c>
      <c r="AY37" s="142">
        <f t="shared" si="21"/>
        <v>0</v>
      </c>
      <c r="AZ37" s="142">
        <f t="shared" si="21"/>
        <v>0</v>
      </c>
      <c r="BA37" s="142">
        <f t="shared" si="21"/>
        <v>0</v>
      </c>
      <c r="BB37" s="142">
        <f t="shared" si="21"/>
        <v>0</v>
      </c>
      <c r="BC37" s="142">
        <f t="shared" si="21"/>
        <v>0</v>
      </c>
      <c r="BD37" s="142">
        <f t="shared" si="21"/>
        <v>0</v>
      </c>
      <c r="BE37" s="142">
        <f t="shared" si="21"/>
        <v>0</v>
      </c>
      <c r="BF37" s="142">
        <f t="shared" si="21"/>
        <v>0</v>
      </c>
      <c r="BG37" s="142">
        <f t="shared" si="21"/>
        <v>0</v>
      </c>
      <c r="BH37" s="142">
        <f t="shared" si="21"/>
        <v>0</v>
      </c>
      <c r="BI37" s="142">
        <f t="shared" si="21"/>
        <v>0</v>
      </c>
      <c r="BJ37" s="142">
        <f t="shared" si="21"/>
        <v>0</v>
      </c>
      <c r="BK37" s="142">
        <f t="shared" si="21"/>
        <v>0</v>
      </c>
    </row>
    <row r="38">
      <c r="A38" s="78"/>
      <c r="B38" s="86"/>
      <c r="C38" s="97"/>
      <c r="D38" s="98"/>
      <c r="E38" s="147"/>
      <c r="F38" s="169">
        <v>0.0</v>
      </c>
      <c r="G38" s="142">
        <f t="shared" ref="G38:BK38" si="22">F38</f>
        <v>0</v>
      </c>
      <c r="H38" s="142">
        <f t="shared" si="22"/>
        <v>0</v>
      </c>
      <c r="I38" s="142">
        <f t="shared" si="22"/>
        <v>0</v>
      </c>
      <c r="J38" s="142">
        <f t="shared" si="22"/>
        <v>0</v>
      </c>
      <c r="K38" s="142">
        <f t="shared" si="22"/>
        <v>0</v>
      </c>
      <c r="L38" s="142">
        <f t="shared" si="22"/>
        <v>0</v>
      </c>
      <c r="M38" s="142">
        <f t="shared" si="22"/>
        <v>0</v>
      </c>
      <c r="N38" s="142">
        <f t="shared" si="22"/>
        <v>0</v>
      </c>
      <c r="O38" s="142">
        <f t="shared" si="22"/>
        <v>0</v>
      </c>
      <c r="P38" s="142">
        <f t="shared" si="22"/>
        <v>0</v>
      </c>
      <c r="Q38" s="142">
        <f t="shared" si="22"/>
        <v>0</v>
      </c>
      <c r="R38" s="142">
        <f t="shared" si="22"/>
        <v>0</v>
      </c>
      <c r="S38" s="142">
        <f t="shared" si="22"/>
        <v>0</v>
      </c>
      <c r="T38" s="142">
        <f t="shared" si="22"/>
        <v>0</v>
      </c>
      <c r="U38" s="142">
        <f t="shared" si="22"/>
        <v>0</v>
      </c>
      <c r="V38" s="142">
        <f t="shared" si="22"/>
        <v>0</v>
      </c>
      <c r="W38" s="142">
        <f t="shared" si="22"/>
        <v>0</v>
      </c>
      <c r="X38" s="142">
        <f t="shared" si="22"/>
        <v>0</v>
      </c>
      <c r="Y38" s="142">
        <f t="shared" si="22"/>
        <v>0</v>
      </c>
      <c r="Z38" s="142">
        <f t="shared" si="22"/>
        <v>0</v>
      </c>
      <c r="AA38" s="142">
        <f t="shared" si="22"/>
        <v>0</v>
      </c>
      <c r="AB38" s="142">
        <f t="shared" si="22"/>
        <v>0</v>
      </c>
      <c r="AC38" s="142">
        <f t="shared" si="22"/>
        <v>0</v>
      </c>
      <c r="AD38" s="142">
        <f t="shared" si="22"/>
        <v>0</v>
      </c>
      <c r="AE38" s="142">
        <f t="shared" si="22"/>
        <v>0</v>
      </c>
      <c r="AF38" s="142">
        <f t="shared" si="22"/>
        <v>0</v>
      </c>
      <c r="AG38" s="142">
        <f t="shared" si="22"/>
        <v>0</v>
      </c>
      <c r="AH38" s="142">
        <f t="shared" si="22"/>
        <v>0</v>
      </c>
      <c r="AI38" s="142">
        <f t="shared" si="22"/>
        <v>0</v>
      </c>
      <c r="AJ38" s="142">
        <f t="shared" si="22"/>
        <v>0</v>
      </c>
      <c r="AK38" s="142">
        <f t="shared" si="22"/>
        <v>0</v>
      </c>
      <c r="AL38" s="142">
        <f t="shared" si="22"/>
        <v>0</v>
      </c>
      <c r="AM38" s="142">
        <f t="shared" si="22"/>
        <v>0</v>
      </c>
      <c r="AN38" s="142">
        <f t="shared" si="22"/>
        <v>0</v>
      </c>
      <c r="AO38" s="142">
        <f t="shared" si="22"/>
        <v>0</v>
      </c>
      <c r="AP38" s="142">
        <f t="shared" si="22"/>
        <v>0</v>
      </c>
      <c r="AQ38" s="142">
        <f t="shared" si="22"/>
        <v>0</v>
      </c>
      <c r="AR38" s="142">
        <f t="shared" si="22"/>
        <v>0</v>
      </c>
      <c r="AS38" s="142">
        <f t="shared" si="22"/>
        <v>0</v>
      </c>
      <c r="AT38" s="142">
        <f t="shared" si="22"/>
        <v>0</v>
      </c>
      <c r="AU38" s="142">
        <f t="shared" si="22"/>
        <v>0</v>
      </c>
      <c r="AV38" s="142">
        <f t="shared" si="22"/>
        <v>0</v>
      </c>
      <c r="AW38" s="142">
        <f t="shared" si="22"/>
        <v>0</v>
      </c>
      <c r="AX38" s="142">
        <f t="shared" si="22"/>
        <v>0</v>
      </c>
      <c r="AY38" s="142">
        <f t="shared" si="22"/>
        <v>0</v>
      </c>
      <c r="AZ38" s="142">
        <f t="shared" si="22"/>
        <v>0</v>
      </c>
      <c r="BA38" s="142">
        <f t="shared" si="22"/>
        <v>0</v>
      </c>
      <c r="BB38" s="142">
        <f t="shared" si="22"/>
        <v>0</v>
      </c>
      <c r="BC38" s="142">
        <f t="shared" si="22"/>
        <v>0</v>
      </c>
      <c r="BD38" s="142">
        <f t="shared" si="22"/>
        <v>0</v>
      </c>
      <c r="BE38" s="142">
        <f t="shared" si="22"/>
        <v>0</v>
      </c>
      <c r="BF38" s="142">
        <f t="shared" si="22"/>
        <v>0</v>
      </c>
      <c r="BG38" s="142">
        <f t="shared" si="22"/>
        <v>0</v>
      </c>
      <c r="BH38" s="142">
        <f t="shared" si="22"/>
        <v>0</v>
      </c>
      <c r="BI38" s="142">
        <f t="shared" si="22"/>
        <v>0</v>
      </c>
      <c r="BJ38" s="142">
        <f t="shared" si="22"/>
        <v>0</v>
      </c>
      <c r="BK38" s="142">
        <f t="shared" si="22"/>
        <v>0</v>
      </c>
    </row>
    <row r="39">
      <c r="A39" s="78"/>
      <c r="B39" s="86"/>
      <c r="C39" s="168"/>
      <c r="D39" s="98"/>
      <c r="E39" s="147"/>
      <c r="F39" s="169">
        <v>0.0</v>
      </c>
      <c r="G39" s="142">
        <f t="shared" ref="G39:BK39" si="23">F39</f>
        <v>0</v>
      </c>
      <c r="H39" s="142">
        <f t="shared" si="23"/>
        <v>0</v>
      </c>
      <c r="I39" s="142">
        <f t="shared" si="23"/>
        <v>0</v>
      </c>
      <c r="J39" s="142">
        <f t="shared" si="23"/>
        <v>0</v>
      </c>
      <c r="K39" s="142">
        <f t="shared" si="23"/>
        <v>0</v>
      </c>
      <c r="L39" s="142">
        <f t="shared" si="23"/>
        <v>0</v>
      </c>
      <c r="M39" s="142">
        <f t="shared" si="23"/>
        <v>0</v>
      </c>
      <c r="N39" s="142">
        <f t="shared" si="23"/>
        <v>0</v>
      </c>
      <c r="O39" s="142">
        <f t="shared" si="23"/>
        <v>0</v>
      </c>
      <c r="P39" s="142">
        <f t="shared" si="23"/>
        <v>0</v>
      </c>
      <c r="Q39" s="142">
        <f t="shared" si="23"/>
        <v>0</v>
      </c>
      <c r="R39" s="142">
        <f t="shared" si="23"/>
        <v>0</v>
      </c>
      <c r="S39" s="142">
        <f t="shared" si="23"/>
        <v>0</v>
      </c>
      <c r="T39" s="142">
        <f t="shared" si="23"/>
        <v>0</v>
      </c>
      <c r="U39" s="142">
        <f t="shared" si="23"/>
        <v>0</v>
      </c>
      <c r="V39" s="142">
        <f t="shared" si="23"/>
        <v>0</v>
      </c>
      <c r="W39" s="142">
        <f t="shared" si="23"/>
        <v>0</v>
      </c>
      <c r="X39" s="142">
        <f t="shared" si="23"/>
        <v>0</v>
      </c>
      <c r="Y39" s="142">
        <f t="shared" si="23"/>
        <v>0</v>
      </c>
      <c r="Z39" s="142">
        <f t="shared" si="23"/>
        <v>0</v>
      </c>
      <c r="AA39" s="142">
        <f t="shared" si="23"/>
        <v>0</v>
      </c>
      <c r="AB39" s="142">
        <f t="shared" si="23"/>
        <v>0</v>
      </c>
      <c r="AC39" s="142">
        <f t="shared" si="23"/>
        <v>0</v>
      </c>
      <c r="AD39" s="142">
        <f t="shared" si="23"/>
        <v>0</v>
      </c>
      <c r="AE39" s="142">
        <f t="shared" si="23"/>
        <v>0</v>
      </c>
      <c r="AF39" s="142">
        <f t="shared" si="23"/>
        <v>0</v>
      </c>
      <c r="AG39" s="142">
        <f t="shared" si="23"/>
        <v>0</v>
      </c>
      <c r="AH39" s="142">
        <f t="shared" si="23"/>
        <v>0</v>
      </c>
      <c r="AI39" s="142">
        <f t="shared" si="23"/>
        <v>0</v>
      </c>
      <c r="AJ39" s="142">
        <f t="shared" si="23"/>
        <v>0</v>
      </c>
      <c r="AK39" s="142">
        <f t="shared" si="23"/>
        <v>0</v>
      </c>
      <c r="AL39" s="142">
        <f t="shared" si="23"/>
        <v>0</v>
      </c>
      <c r="AM39" s="142">
        <f t="shared" si="23"/>
        <v>0</v>
      </c>
      <c r="AN39" s="142">
        <f t="shared" si="23"/>
        <v>0</v>
      </c>
      <c r="AO39" s="142">
        <f t="shared" si="23"/>
        <v>0</v>
      </c>
      <c r="AP39" s="142">
        <f t="shared" si="23"/>
        <v>0</v>
      </c>
      <c r="AQ39" s="142">
        <f t="shared" si="23"/>
        <v>0</v>
      </c>
      <c r="AR39" s="142">
        <f t="shared" si="23"/>
        <v>0</v>
      </c>
      <c r="AS39" s="142">
        <f t="shared" si="23"/>
        <v>0</v>
      </c>
      <c r="AT39" s="142">
        <f t="shared" si="23"/>
        <v>0</v>
      </c>
      <c r="AU39" s="142">
        <f t="shared" si="23"/>
        <v>0</v>
      </c>
      <c r="AV39" s="142">
        <f t="shared" si="23"/>
        <v>0</v>
      </c>
      <c r="AW39" s="142">
        <f t="shared" si="23"/>
        <v>0</v>
      </c>
      <c r="AX39" s="142">
        <f t="shared" si="23"/>
        <v>0</v>
      </c>
      <c r="AY39" s="142">
        <f t="shared" si="23"/>
        <v>0</v>
      </c>
      <c r="AZ39" s="142">
        <f t="shared" si="23"/>
        <v>0</v>
      </c>
      <c r="BA39" s="142">
        <f t="shared" si="23"/>
        <v>0</v>
      </c>
      <c r="BB39" s="142">
        <f t="shared" si="23"/>
        <v>0</v>
      </c>
      <c r="BC39" s="142">
        <f t="shared" si="23"/>
        <v>0</v>
      </c>
      <c r="BD39" s="142">
        <f t="shared" si="23"/>
        <v>0</v>
      </c>
      <c r="BE39" s="142">
        <f t="shared" si="23"/>
        <v>0</v>
      </c>
      <c r="BF39" s="142">
        <f t="shared" si="23"/>
        <v>0</v>
      </c>
      <c r="BG39" s="142">
        <f t="shared" si="23"/>
        <v>0</v>
      </c>
      <c r="BH39" s="142">
        <f t="shared" si="23"/>
        <v>0</v>
      </c>
      <c r="BI39" s="142">
        <f t="shared" si="23"/>
        <v>0</v>
      </c>
      <c r="BJ39" s="142">
        <f t="shared" si="23"/>
        <v>0</v>
      </c>
      <c r="BK39" s="142">
        <f t="shared" si="23"/>
        <v>0</v>
      </c>
    </row>
    <row r="40">
      <c r="A40" s="78"/>
      <c r="B40" s="86"/>
      <c r="C40" s="97"/>
      <c r="D40" s="98"/>
      <c r="E40" s="147"/>
      <c r="F40" s="169">
        <v>0.0</v>
      </c>
      <c r="G40" s="142">
        <f t="shared" ref="G40:BK40" si="24">F40</f>
        <v>0</v>
      </c>
      <c r="H40" s="142">
        <f t="shared" si="24"/>
        <v>0</v>
      </c>
      <c r="I40" s="142">
        <f t="shared" si="24"/>
        <v>0</v>
      </c>
      <c r="J40" s="142">
        <f t="shared" si="24"/>
        <v>0</v>
      </c>
      <c r="K40" s="142">
        <f t="shared" si="24"/>
        <v>0</v>
      </c>
      <c r="L40" s="142">
        <f t="shared" si="24"/>
        <v>0</v>
      </c>
      <c r="M40" s="142">
        <f t="shared" si="24"/>
        <v>0</v>
      </c>
      <c r="N40" s="142">
        <f t="shared" si="24"/>
        <v>0</v>
      </c>
      <c r="O40" s="142">
        <f t="shared" si="24"/>
        <v>0</v>
      </c>
      <c r="P40" s="142">
        <f t="shared" si="24"/>
        <v>0</v>
      </c>
      <c r="Q40" s="142">
        <f t="shared" si="24"/>
        <v>0</v>
      </c>
      <c r="R40" s="142">
        <f t="shared" si="24"/>
        <v>0</v>
      </c>
      <c r="S40" s="142">
        <f t="shared" si="24"/>
        <v>0</v>
      </c>
      <c r="T40" s="142">
        <f t="shared" si="24"/>
        <v>0</v>
      </c>
      <c r="U40" s="142">
        <f t="shared" si="24"/>
        <v>0</v>
      </c>
      <c r="V40" s="142">
        <f t="shared" si="24"/>
        <v>0</v>
      </c>
      <c r="W40" s="142">
        <f t="shared" si="24"/>
        <v>0</v>
      </c>
      <c r="X40" s="142">
        <f t="shared" si="24"/>
        <v>0</v>
      </c>
      <c r="Y40" s="142">
        <f t="shared" si="24"/>
        <v>0</v>
      </c>
      <c r="Z40" s="142">
        <f t="shared" si="24"/>
        <v>0</v>
      </c>
      <c r="AA40" s="142">
        <f t="shared" si="24"/>
        <v>0</v>
      </c>
      <c r="AB40" s="142">
        <f t="shared" si="24"/>
        <v>0</v>
      </c>
      <c r="AC40" s="142">
        <f t="shared" si="24"/>
        <v>0</v>
      </c>
      <c r="AD40" s="142">
        <f t="shared" si="24"/>
        <v>0</v>
      </c>
      <c r="AE40" s="142">
        <f t="shared" si="24"/>
        <v>0</v>
      </c>
      <c r="AF40" s="142">
        <f t="shared" si="24"/>
        <v>0</v>
      </c>
      <c r="AG40" s="142">
        <f t="shared" si="24"/>
        <v>0</v>
      </c>
      <c r="AH40" s="142">
        <f t="shared" si="24"/>
        <v>0</v>
      </c>
      <c r="AI40" s="142">
        <f t="shared" si="24"/>
        <v>0</v>
      </c>
      <c r="AJ40" s="142">
        <f t="shared" si="24"/>
        <v>0</v>
      </c>
      <c r="AK40" s="142">
        <f t="shared" si="24"/>
        <v>0</v>
      </c>
      <c r="AL40" s="142">
        <f t="shared" si="24"/>
        <v>0</v>
      </c>
      <c r="AM40" s="142">
        <f t="shared" si="24"/>
        <v>0</v>
      </c>
      <c r="AN40" s="142">
        <f t="shared" si="24"/>
        <v>0</v>
      </c>
      <c r="AO40" s="142">
        <f t="shared" si="24"/>
        <v>0</v>
      </c>
      <c r="AP40" s="142">
        <f t="shared" si="24"/>
        <v>0</v>
      </c>
      <c r="AQ40" s="142">
        <f t="shared" si="24"/>
        <v>0</v>
      </c>
      <c r="AR40" s="142">
        <f t="shared" si="24"/>
        <v>0</v>
      </c>
      <c r="AS40" s="142">
        <f t="shared" si="24"/>
        <v>0</v>
      </c>
      <c r="AT40" s="142">
        <f t="shared" si="24"/>
        <v>0</v>
      </c>
      <c r="AU40" s="142">
        <f t="shared" si="24"/>
        <v>0</v>
      </c>
      <c r="AV40" s="142">
        <f t="shared" si="24"/>
        <v>0</v>
      </c>
      <c r="AW40" s="142">
        <f t="shared" si="24"/>
        <v>0</v>
      </c>
      <c r="AX40" s="142">
        <f t="shared" si="24"/>
        <v>0</v>
      </c>
      <c r="AY40" s="142">
        <f t="shared" si="24"/>
        <v>0</v>
      </c>
      <c r="AZ40" s="142">
        <f t="shared" si="24"/>
        <v>0</v>
      </c>
      <c r="BA40" s="142">
        <f t="shared" si="24"/>
        <v>0</v>
      </c>
      <c r="BB40" s="142">
        <f t="shared" si="24"/>
        <v>0</v>
      </c>
      <c r="BC40" s="142">
        <f t="shared" si="24"/>
        <v>0</v>
      </c>
      <c r="BD40" s="142">
        <f t="shared" si="24"/>
        <v>0</v>
      </c>
      <c r="BE40" s="142">
        <f t="shared" si="24"/>
        <v>0</v>
      </c>
      <c r="BF40" s="142">
        <f t="shared" si="24"/>
        <v>0</v>
      </c>
      <c r="BG40" s="142">
        <f t="shared" si="24"/>
        <v>0</v>
      </c>
      <c r="BH40" s="142">
        <f t="shared" si="24"/>
        <v>0</v>
      </c>
      <c r="BI40" s="142">
        <f t="shared" si="24"/>
        <v>0</v>
      </c>
      <c r="BJ40" s="142">
        <f t="shared" si="24"/>
        <v>0</v>
      </c>
      <c r="BK40" s="142">
        <f t="shared" si="24"/>
        <v>0</v>
      </c>
    </row>
    <row r="41">
      <c r="A41" s="78"/>
      <c r="B41" s="86"/>
      <c r="C41" s="168"/>
      <c r="D41" s="98"/>
      <c r="E41" s="147"/>
      <c r="F41" s="169">
        <v>0.0</v>
      </c>
      <c r="G41" s="142">
        <f t="shared" ref="G41:BK41" si="25">F41</f>
        <v>0</v>
      </c>
      <c r="H41" s="142">
        <f t="shared" si="25"/>
        <v>0</v>
      </c>
      <c r="I41" s="142">
        <f t="shared" si="25"/>
        <v>0</v>
      </c>
      <c r="J41" s="142">
        <f t="shared" si="25"/>
        <v>0</v>
      </c>
      <c r="K41" s="142">
        <f t="shared" si="25"/>
        <v>0</v>
      </c>
      <c r="L41" s="142">
        <f t="shared" si="25"/>
        <v>0</v>
      </c>
      <c r="M41" s="142">
        <f t="shared" si="25"/>
        <v>0</v>
      </c>
      <c r="N41" s="142">
        <f t="shared" si="25"/>
        <v>0</v>
      </c>
      <c r="O41" s="142">
        <f t="shared" si="25"/>
        <v>0</v>
      </c>
      <c r="P41" s="142">
        <f t="shared" si="25"/>
        <v>0</v>
      </c>
      <c r="Q41" s="142">
        <f t="shared" si="25"/>
        <v>0</v>
      </c>
      <c r="R41" s="142">
        <f t="shared" si="25"/>
        <v>0</v>
      </c>
      <c r="S41" s="142">
        <f t="shared" si="25"/>
        <v>0</v>
      </c>
      <c r="T41" s="142">
        <f t="shared" si="25"/>
        <v>0</v>
      </c>
      <c r="U41" s="142">
        <f t="shared" si="25"/>
        <v>0</v>
      </c>
      <c r="V41" s="142">
        <f t="shared" si="25"/>
        <v>0</v>
      </c>
      <c r="W41" s="142">
        <f t="shared" si="25"/>
        <v>0</v>
      </c>
      <c r="X41" s="142">
        <f t="shared" si="25"/>
        <v>0</v>
      </c>
      <c r="Y41" s="142">
        <f t="shared" si="25"/>
        <v>0</v>
      </c>
      <c r="Z41" s="142">
        <f t="shared" si="25"/>
        <v>0</v>
      </c>
      <c r="AA41" s="142">
        <f t="shared" si="25"/>
        <v>0</v>
      </c>
      <c r="AB41" s="142">
        <f t="shared" si="25"/>
        <v>0</v>
      </c>
      <c r="AC41" s="142">
        <f t="shared" si="25"/>
        <v>0</v>
      </c>
      <c r="AD41" s="142">
        <f t="shared" si="25"/>
        <v>0</v>
      </c>
      <c r="AE41" s="142">
        <f t="shared" si="25"/>
        <v>0</v>
      </c>
      <c r="AF41" s="142">
        <f t="shared" si="25"/>
        <v>0</v>
      </c>
      <c r="AG41" s="142">
        <f t="shared" si="25"/>
        <v>0</v>
      </c>
      <c r="AH41" s="142">
        <f t="shared" si="25"/>
        <v>0</v>
      </c>
      <c r="AI41" s="142">
        <f t="shared" si="25"/>
        <v>0</v>
      </c>
      <c r="AJ41" s="142">
        <f t="shared" si="25"/>
        <v>0</v>
      </c>
      <c r="AK41" s="142">
        <f t="shared" si="25"/>
        <v>0</v>
      </c>
      <c r="AL41" s="142">
        <f t="shared" si="25"/>
        <v>0</v>
      </c>
      <c r="AM41" s="142">
        <f t="shared" si="25"/>
        <v>0</v>
      </c>
      <c r="AN41" s="142">
        <f t="shared" si="25"/>
        <v>0</v>
      </c>
      <c r="AO41" s="142">
        <f t="shared" si="25"/>
        <v>0</v>
      </c>
      <c r="AP41" s="142">
        <f t="shared" si="25"/>
        <v>0</v>
      </c>
      <c r="AQ41" s="142">
        <f t="shared" si="25"/>
        <v>0</v>
      </c>
      <c r="AR41" s="142">
        <f t="shared" si="25"/>
        <v>0</v>
      </c>
      <c r="AS41" s="142">
        <f t="shared" si="25"/>
        <v>0</v>
      </c>
      <c r="AT41" s="142">
        <f t="shared" si="25"/>
        <v>0</v>
      </c>
      <c r="AU41" s="142">
        <f t="shared" si="25"/>
        <v>0</v>
      </c>
      <c r="AV41" s="142">
        <f t="shared" si="25"/>
        <v>0</v>
      </c>
      <c r="AW41" s="142">
        <f t="shared" si="25"/>
        <v>0</v>
      </c>
      <c r="AX41" s="142">
        <f t="shared" si="25"/>
        <v>0</v>
      </c>
      <c r="AY41" s="142">
        <f t="shared" si="25"/>
        <v>0</v>
      </c>
      <c r="AZ41" s="142">
        <f t="shared" si="25"/>
        <v>0</v>
      </c>
      <c r="BA41" s="142">
        <f t="shared" si="25"/>
        <v>0</v>
      </c>
      <c r="BB41" s="142">
        <f t="shared" si="25"/>
        <v>0</v>
      </c>
      <c r="BC41" s="142">
        <f t="shared" si="25"/>
        <v>0</v>
      </c>
      <c r="BD41" s="142">
        <f t="shared" si="25"/>
        <v>0</v>
      </c>
      <c r="BE41" s="142">
        <f t="shared" si="25"/>
        <v>0</v>
      </c>
      <c r="BF41" s="142">
        <f t="shared" si="25"/>
        <v>0</v>
      </c>
      <c r="BG41" s="142">
        <f t="shared" si="25"/>
        <v>0</v>
      </c>
      <c r="BH41" s="142">
        <f t="shared" si="25"/>
        <v>0</v>
      </c>
      <c r="BI41" s="142">
        <f t="shared" si="25"/>
        <v>0</v>
      </c>
      <c r="BJ41" s="142">
        <f t="shared" si="25"/>
        <v>0</v>
      </c>
      <c r="BK41" s="142">
        <f t="shared" si="25"/>
        <v>0</v>
      </c>
    </row>
    <row r="42">
      <c r="A42" s="78"/>
      <c r="B42" s="86"/>
      <c r="C42" s="175"/>
      <c r="D42" s="176"/>
      <c r="E42" s="147"/>
      <c r="F42" s="177">
        <v>0.0</v>
      </c>
      <c r="G42" s="142">
        <f t="shared" ref="G42:BK42" si="26">F42</f>
        <v>0</v>
      </c>
      <c r="H42" s="142">
        <f t="shared" si="26"/>
        <v>0</v>
      </c>
      <c r="I42" s="142">
        <f t="shared" si="26"/>
        <v>0</v>
      </c>
      <c r="J42" s="142">
        <f t="shared" si="26"/>
        <v>0</v>
      </c>
      <c r="K42" s="142">
        <f t="shared" si="26"/>
        <v>0</v>
      </c>
      <c r="L42" s="142">
        <f t="shared" si="26"/>
        <v>0</v>
      </c>
      <c r="M42" s="142">
        <f t="shared" si="26"/>
        <v>0</v>
      </c>
      <c r="N42" s="142">
        <f t="shared" si="26"/>
        <v>0</v>
      </c>
      <c r="O42" s="142">
        <f t="shared" si="26"/>
        <v>0</v>
      </c>
      <c r="P42" s="142">
        <f t="shared" si="26"/>
        <v>0</v>
      </c>
      <c r="Q42" s="142">
        <f t="shared" si="26"/>
        <v>0</v>
      </c>
      <c r="R42" s="142">
        <f t="shared" si="26"/>
        <v>0</v>
      </c>
      <c r="S42" s="142">
        <f t="shared" si="26"/>
        <v>0</v>
      </c>
      <c r="T42" s="142">
        <f t="shared" si="26"/>
        <v>0</v>
      </c>
      <c r="U42" s="142">
        <f t="shared" si="26"/>
        <v>0</v>
      </c>
      <c r="V42" s="142">
        <f t="shared" si="26"/>
        <v>0</v>
      </c>
      <c r="W42" s="142">
        <f t="shared" si="26"/>
        <v>0</v>
      </c>
      <c r="X42" s="142">
        <f t="shared" si="26"/>
        <v>0</v>
      </c>
      <c r="Y42" s="142">
        <f t="shared" si="26"/>
        <v>0</v>
      </c>
      <c r="Z42" s="142">
        <f t="shared" si="26"/>
        <v>0</v>
      </c>
      <c r="AA42" s="142">
        <f t="shared" si="26"/>
        <v>0</v>
      </c>
      <c r="AB42" s="142">
        <f t="shared" si="26"/>
        <v>0</v>
      </c>
      <c r="AC42" s="142">
        <f t="shared" si="26"/>
        <v>0</v>
      </c>
      <c r="AD42" s="142">
        <f t="shared" si="26"/>
        <v>0</v>
      </c>
      <c r="AE42" s="142">
        <f t="shared" si="26"/>
        <v>0</v>
      </c>
      <c r="AF42" s="142">
        <f t="shared" si="26"/>
        <v>0</v>
      </c>
      <c r="AG42" s="142">
        <f t="shared" si="26"/>
        <v>0</v>
      </c>
      <c r="AH42" s="142">
        <f t="shared" si="26"/>
        <v>0</v>
      </c>
      <c r="AI42" s="142">
        <f t="shared" si="26"/>
        <v>0</v>
      </c>
      <c r="AJ42" s="142">
        <f t="shared" si="26"/>
        <v>0</v>
      </c>
      <c r="AK42" s="142">
        <f t="shared" si="26"/>
        <v>0</v>
      </c>
      <c r="AL42" s="142">
        <f t="shared" si="26"/>
        <v>0</v>
      </c>
      <c r="AM42" s="142">
        <f t="shared" si="26"/>
        <v>0</v>
      </c>
      <c r="AN42" s="142">
        <f t="shared" si="26"/>
        <v>0</v>
      </c>
      <c r="AO42" s="142">
        <f t="shared" si="26"/>
        <v>0</v>
      </c>
      <c r="AP42" s="142">
        <f t="shared" si="26"/>
        <v>0</v>
      </c>
      <c r="AQ42" s="142">
        <f t="shared" si="26"/>
        <v>0</v>
      </c>
      <c r="AR42" s="142">
        <f t="shared" si="26"/>
        <v>0</v>
      </c>
      <c r="AS42" s="142">
        <f t="shared" si="26"/>
        <v>0</v>
      </c>
      <c r="AT42" s="142">
        <f t="shared" si="26"/>
        <v>0</v>
      </c>
      <c r="AU42" s="142">
        <f t="shared" si="26"/>
        <v>0</v>
      </c>
      <c r="AV42" s="142">
        <f t="shared" si="26"/>
        <v>0</v>
      </c>
      <c r="AW42" s="142">
        <f t="shared" si="26"/>
        <v>0</v>
      </c>
      <c r="AX42" s="142">
        <f t="shared" si="26"/>
        <v>0</v>
      </c>
      <c r="AY42" s="142">
        <f t="shared" si="26"/>
        <v>0</v>
      </c>
      <c r="AZ42" s="142">
        <f t="shared" si="26"/>
        <v>0</v>
      </c>
      <c r="BA42" s="142">
        <f t="shared" si="26"/>
        <v>0</v>
      </c>
      <c r="BB42" s="142">
        <f t="shared" si="26"/>
        <v>0</v>
      </c>
      <c r="BC42" s="142">
        <f t="shared" si="26"/>
        <v>0</v>
      </c>
      <c r="BD42" s="142">
        <f t="shared" si="26"/>
        <v>0</v>
      </c>
      <c r="BE42" s="142">
        <f t="shared" si="26"/>
        <v>0</v>
      </c>
      <c r="BF42" s="142">
        <f t="shared" si="26"/>
        <v>0</v>
      </c>
      <c r="BG42" s="142">
        <f t="shared" si="26"/>
        <v>0</v>
      </c>
      <c r="BH42" s="142">
        <f t="shared" si="26"/>
        <v>0</v>
      </c>
      <c r="BI42" s="142">
        <f t="shared" si="26"/>
        <v>0</v>
      </c>
      <c r="BJ42" s="142">
        <f t="shared" si="26"/>
        <v>0</v>
      </c>
      <c r="BK42" s="142">
        <f t="shared" si="26"/>
        <v>0</v>
      </c>
    </row>
    <row r="43">
      <c r="A43" s="78"/>
      <c r="B43" s="157"/>
      <c r="C43" s="178" t="s">
        <v>107</v>
      </c>
      <c r="D43" s="179"/>
      <c r="E43" s="180"/>
      <c r="F43" s="181">
        <f t="shared" ref="F43:BK43" si="27">SUM(F28:F42)</f>
        <v>309</v>
      </c>
      <c r="G43" s="182">
        <f t="shared" si="27"/>
        <v>309</v>
      </c>
      <c r="H43" s="182">
        <f t="shared" si="27"/>
        <v>309</v>
      </c>
      <c r="I43" s="182">
        <f t="shared" si="27"/>
        <v>309</v>
      </c>
      <c r="J43" s="182">
        <f t="shared" si="27"/>
        <v>309</v>
      </c>
      <c r="K43" s="182">
        <f t="shared" si="27"/>
        <v>309</v>
      </c>
      <c r="L43" s="182">
        <f t="shared" si="27"/>
        <v>309</v>
      </c>
      <c r="M43" s="182">
        <f t="shared" si="27"/>
        <v>309</v>
      </c>
      <c r="N43" s="182">
        <f t="shared" si="27"/>
        <v>309</v>
      </c>
      <c r="O43" s="182">
        <f t="shared" si="27"/>
        <v>309</v>
      </c>
      <c r="P43" s="182">
        <f t="shared" si="27"/>
        <v>309</v>
      </c>
      <c r="Q43" s="182">
        <f t="shared" si="27"/>
        <v>309</v>
      </c>
      <c r="R43" s="182">
        <f t="shared" si="27"/>
        <v>309</v>
      </c>
      <c r="S43" s="182">
        <f t="shared" si="27"/>
        <v>309</v>
      </c>
      <c r="T43" s="182">
        <f t="shared" si="27"/>
        <v>309</v>
      </c>
      <c r="U43" s="182">
        <f t="shared" si="27"/>
        <v>309</v>
      </c>
      <c r="V43" s="182">
        <f t="shared" si="27"/>
        <v>309</v>
      </c>
      <c r="W43" s="182">
        <f t="shared" si="27"/>
        <v>309</v>
      </c>
      <c r="X43" s="182">
        <f t="shared" si="27"/>
        <v>309</v>
      </c>
      <c r="Y43" s="182">
        <f t="shared" si="27"/>
        <v>309</v>
      </c>
      <c r="Z43" s="182">
        <f t="shared" si="27"/>
        <v>309</v>
      </c>
      <c r="AA43" s="182">
        <f t="shared" si="27"/>
        <v>309</v>
      </c>
      <c r="AB43" s="182">
        <f t="shared" si="27"/>
        <v>309</v>
      </c>
      <c r="AC43" s="182">
        <f t="shared" si="27"/>
        <v>309</v>
      </c>
      <c r="AD43" s="182">
        <f t="shared" si="27"/>
        <v>309</v>
      </c>
      <c r="AE43" s="182">
        <f t="shared" si="27"/>
        <v>309</v>
      </c>
      <c r="AF43" s="182">
        <f t="shared" si="27"/>
        <v>309</v>
      </c>
      <c r="AG43" s="182">
        <f t="shared" si="27"/>
        <v>309</v>
      </c>
      <c r="AH43" s="182">
        <f t="shared" si="27"/>
        <v>309</v>
      </c>
      <c r="AI43" s="182">
        <f t="shared" si="27"/>
        <v>309</v>
      </c>
      <c r="AJ43" s="182">
        <f t="shared" si="27"/>
        <v>309</v>
      </c>
      <c r="AK43" s="182">
        <f t="shared" si="27"/>
        <v>309</v>
      </c>
      <c r="AL43" s="182">
        <f t="shared" si="27"/>
        <v>309</v>
      </c>
      <c r="AM43" s="182">
        <f t="shared" si="27"/>
        <v>309</v>
      </c>
      <c r="AN43" s="182">
        <f t="shared" si="27"/>
        <v>309</v>
      </c>
      <c r="AO43" s="182">
        <f t="shared" si="27"/>
        <v>309</v>
      </c>
      <c r="AP43" s="182">
        <f t="shared" si="27"/>
        <v>309</v>
      </c>
      <c r="AQ43" s="182">
        <f t="shared" si="27"/>
        <v>309</v>
      </c>
      <c r="AR43" s="182">
        <f t="shared" si="27"/>
        <v>309</v>
      </c>
      <c r="AS43" s="182">
        <f t="shared" si="27"/>
        <v>309</v>
      </c>
      <c r="AT43" s="182">
        <f t="shared" si="27"/>
        <v>309</v>
      </c>
      <c r="AU43" s="182">
        <f t="shared" si="27"/>
        <v>309</v>
      </c>
      <c r="AV43" s="182">
        <f t="shared" si="27"/>
        <v>309</v>
      </c>
      <c r="AW43" s="182">
        <f t="shared" si="27"/>
        <v>309</v>
      </c>
      <c r="AX43" s="182">
        <f t="shared" si="27"/>
        <v>309</v>
      </c>
      <c r="AY43" s="182">
        <f t="shared" si="27"/>
        <v>309</v>
      </c>
      <c r="AZ43" s="182">
        <f t="shared" si="27"/>
        <v>309</v>
      </c>
      <c r="BA43" s="182">
        <f t="shared" si="27"/>
        <v>309</v>
      </c>
      <c r="BB43" s="182">
        <f t="shared" si="27"/>
        <v>309</v>
      </c>
      <c r="BC43" s="182">
        <f t="shared" si="27"/>
        <v>309</v>
      </c>
      <c r="BD43" s="182">
        <f t="shared" si="27"/>
        <v>309</v>
      </c>
      <c r="BE43" s="182">
        <f t="shared" si="27"/>
        <v>309</v>
      </c>
      <c r="BF43" s="182">
        <f t="shared" si="27"/>
        <v>309</v>
      </c>
      <c r="BG43" s="182">
        <f t="shared" si="27"/>
        <v>309</v>
      </c>
      <c r="BH43" s="183">
        <f t="shared" si="27"/>
        <v>309</v>
      </c>
      <c r="BI43" s="184">
        <f t="shared" si="27"/>
        <v>309</v>
      </c>
      <c r="BJ43" s="185">
        <f t="shared" si="27"/>
        <v>309</v>
      </c>
      <c r="BK43" s="186">
        <f t="shared" si="27"/>
        <v>309</v>
      </c>
    </row>
    <row r="44">
      <c r="A44" s="79"/>
      <c r="B44" s="187" t="s">
        <v>108</v>
      </c>
      <c r="C44" s="188" t="s">
        <v>61</v>
      </c>
      <c r="D44" s="189"/>
      <c r="E44" s="190">
        <v>0.005</v>
      </c>
      <c r="F44" s="144">
        <v>72.0</v>
      </c>
      <c r="G44" s="142">
        <f t="shared" ref="G44:BK44" si="28">F44+F44*$E44</f>
        <v>72.36</v>
      </c>
      <c r="H44" s="142">
        <f t="shared" si="28"/>
        <v>72.7218</v>
      </c>
      <c r="I44" s="142">
        <f t="shared" si="28"/>
        <v>73.085409</v>
      </c>
      <c r="J44" s="142">
        <f t="shared" si="28"/>
        <v>73.45083605</v>
      </c>
      <c r="K44" s="142">
        <f t="shared" si="28"/>
        <v>73.81809023</v>
      </c>
      <c r="L44" s="142">
        <f t="shared" si="28"/>
        <v>74.18718068</v>
      </c>
      <c r="M44" s="142">
        <f t="shared" si="28"/>
        <v>74.55811658</v>
      </c>
      <c r="N44" s="142">
        <f t="shared" si="28"/>
        <v>74.93090716</v>
      </c>
      <c r="O44" s="142">
        <f t="shared" si="28"/>
        <v>75.3055617</v>
      </c>
      <c r="P44" s="142">
        <f t="shared" si="28"/>
        <v>75.68208951</v>
      </c>
      <c r="Q44" s="142">
        <f t="shared" si="28"/>
        <v>76.06049995</v>
      </c>
      <c r="R44" s="142">
        <f t="shared" si="28"/>
        <v>76.44080245</v>
      </c>
      <c r="S44" s="142">
        <f t="shared" si="28"/>
        <v>76.82300647</v>
      </c>
      <c r="T44" s="142">
        <f t="shared" si="28"/>
        <v>77.2071215</v>
      </c>
      <c r="U44" s="142">
        <f t="shared" si="28"/>
        <v>77.59315711</v>
      </c>
      <c r="V44" s="142">
        <f t="shared" si="28"/>
        <v>77.98112289</v>
      </c>
      <c r="W44" s="142">
        <f t="shared" si="28"/>
        <v>78.37102851</v>
      </c>
      <c r="X44" s="142">
        <f t="shared" si="28"/>
        <v>78.76288365</v>
      </c>
      <c r="Y44" s="142">
        <f t="shared" si="28"/>
        <v>79.15669807</v>
      </c>
      <c r="Z44" s="142">
        <f t="shared" si="28"/>
        <v>79.55248156</v>
      </c>
      <c r="AA44" s="142">
        <f t="shared" si="28"/>
        <v>79.95024397</v>
      </c>
      <c r="AB44" s="142">
        <f t="shared" si="28"/>
        <v>80.34999519</v>
      </c>
      <c r="AC44" s="142">
        <f t="shared" si="28"/>
        <v>80.75174516</v>
      </c>
      <c r="AD44" s="142">
        <f t="shared" si="28"/>
        <v>81.15550389</v>
      </c>
      <c r="AE44" s="142">
        <f t="shared" si="28"/>
        <v>81.56128141</v>
      </c>
      <c r="AF44" s="142">
        <f t="shared" si="28"/>
        <v>81.96908781</v>
      </c>
      <c r="AG44" s="142">
        <f t="shared" si="28"/>
        <v>82.37893325</v>
      </c>
      <c r="AH44" s="142">
        <f t="shared" si="28"/>
        <v>82.79082792</v>
      </c>
      <c r="AI44" s="142">
        <f t="shared" si="28"/>
        <v>83.20478206</v>
      </c>
      <c r="AJ44" s="142">
        <f t="shared" si="28"/>
        <v>83.62080597</v>
      </c>
      <c r="AK44" s="142">
        <f t="shared" si="28"/>
        <v>84.03891</v>
      </c>
      <c r="AL44" s="142">
        <f t="shared" si="28"/>
        <v>84.45910455</v>
      </c>
      <c r="AM44" s="142">
        <f t="shared" si="28"/>
        <v>84.88140007</v>
      </c>
      <c r="AN44" s="142">
        <f t="shared" si="28"/>
        <v>85.30580707</v>
      </c>
      <c r="AO44" s="142">
        <f t="shared" si="28"/>
        <v>85.73233611</v>
      </c>
      <c r="AP44" s="142">
        <f t="shared" si="28"/>
        <v>86.16099779</v>
      </c>
      <c r="AQ44" s="142">
        <f t="shared" si="28"/>
        <v>86.59180278</v>
      </c>
      <c r="AR44" s="142">
        <f t="shared" si="28"/>
        <v>87.02476179</v>
      </c>
      <c r="AS44" s="142">
        <f t="shared" si="28"/>
        <v>87.4598856</v>
      </c>
      <c r="AT44" s="142">
        <f t="shared" si="28"/>
        <v>87.89718503</v>
      </c>
      <c r="AU44" s="142">
        <f t="shared" si="28"/>
        <v>88.33667095</v>
      </c>
      <c r="AV44" s="142">
        <f t="shared" si="28"/>
        <v>88.77835431</v>
      </c>
      <c r="AW44" s="142">
        <f t="shared" si="28"/>
        <v>89.22224608</v>
      </c>
      <c r="AX44" s="142">
        <f t="shared" si="28"/>
        <v>89.66835731</v>
      </c>
      <c r="AY44" s="142">
        <f t="shared" si="28"/>
        <v>90.1166991</v>
      </c>
      <c r="AZ44" s="142">
        <f t="shared" si="28"/>
        <v>90.56728259</v>
      </c>
      <c r="BA44" s="142">
        <f t="shared" si="28"/>
        <v>91.020119</v>
      </c>
      <c r="BB44" s="142">
        <f t="shared" si="28"/>
        <v>91.4752196</v>
      </c>
      <c r="BC44" s="142">
        <f t="shared" si="28"/>
        <v>91.9325957</v>
      </c>
      <c r="BD44" s="142">
        <f t="shared" si="28"/>
        <v>92.39225868</v>
      </c>
      <c r="BE44" s="142">
        <f t="shared" si="28"/>
        <v>92.85421997</v>
      </c>
      <c r="BF44" s="142">
        <f t="shared" si="28"/>
        <v>93.31849107</v>
      </c>
      <c r="BG44" s="142">
        <f t="shared" si="28"/>
        <v>93.78508352</v>
      </c>
      <c r="BH44" s="142">
        <f t="shared" si="28"/>
        <v>94.25400894</v>
      </c>
      <c r="BI44" s="142">
        <f t="shared" si="28"/>
        <v>94.72527899</v>
      </c>
      <c r="BJ44" s="142">
        <f t="shared" si="28"/>
        <v>95.19890538</v>
      </c>
      <c r="BK44" s="142">
        <f t="shared" si="28"/>
        <v>95.67489991</v>
      </c>
    </row>
    <row r="45">
      <c r="A45" s="79"/>
      <c r="B45" s="191"/>
      <c r="C45" s="192" t="s">
        <v>62</v>
      </c>
      <c r="D45" s="189"/>
      <c r="E45" s="190">
        <v>0.005</v>
      </c>
      <c r="F45" s="144">
        <v>24.0</v>
      </c>
      <c r="G45" s="142">
        <f t="shared" ref="G45:BK45" si="29">F45+F45*$E45</f>
        <v>24.12</v>
      </c>
      <c r="H45" s="142">
        <f t="shared" si="29"/>
        <v>24.2406</v>
      </c>
      <c r="I45" s="142">
        <f t="shared" si="29"/>
        <v>24.361803</v>
      </c>
      <c r="J45" s="142">
        <f t="shared" si="29"/>
        <v>24.48361202</v>
      </c>
      <c r="K45" s="142">
        <f t="shared" si="29"/>
        <v>24.60603008</v>
      </c>
      <c r="L45" s="142">
        <f t="shared" si="29"/>
        <v>24.72906023</v>
      </c>
      <c r="M45" s="142">
        <f t="shared" si="29"/>
        <v>24.85270553</v>
      </c>
      <c r="N45" s="142">
        <f t="shared" si="29"/>
        <v>24.97696905</v>
      </c>
      <c r="O45" s="142">
        <f t="shared" si="29"/>
        <v>25.1018539</v>
      </c>
      <c r="P45" s="142">
        <f t="shared" si="29"/>
        <v>25.22736317</v>
      </c>
      <c r="Q45" s="142">
        <f t="shared" si="29"/>
        <v>25.35349998</v>
      </c>
      <c r="R45" s="142">
        <f t="shared" si="29"/>
        <v>25.48026748</v>
      </c>
      <c r="S45" s="142">
        <f t="shared" si="29"/>
        <v>25.60766882</v>
      </c>
      <c r="T45" s="142">
        <f t="shared" si="29"/>
        <v>25.73570717</v>
      </c>
      <c r="U45" s="142">
        <f t="shared" si="29"/>
        <v>25.8643857</v>
      </c>
      <c r="V45" s="142">
        <f t="shared" si="29"/>
        <v>25.99370763</v>
      </c>
      <c r="W45" s="142">
        <f t="shared" si="29"/>
        <v>26.12367617</v>
      </c>
      <c r="X45" s="142">
        <f t="shared" si="29"/>
        <v>26.25429455</v>
      </c>
      <c r="Y45" s="142">
        <f t="shared" si="29"/>
        <v>26.38556602</v>
      </c>
      <c r="Z45" s="142">
        <f t="shared" si="29"/>
        <v>26.51749385</v>
      </c>
      <c r="AA45" s="142">
        <f t="shared" si="29"/>
        <v>26.65008132</v>
      </c>
      <c r="AB45" s="142">
        <f t="shared" si="29"/>
        <v>26.78333173</v>
      </c>
      <c r="AC45" s="142">
        <f t="shared" si="29"/>
        <v>26.91724839</v>
      </c>
      <c r="AD45" s="142">
        <f t="shared" si="29"/>
        <v>27.05183463</v>
      </c>
      <c r="AE45" s="142">
        <f t="shared" si="29"/>
        <v>27.1870938</v>
      </c>
      <c r="AF45" s="142">
        <f t="shared" si="29"/>
        <v>27.32302927</v>
      </c>
      <c r="AG45" s="142">
        <f t="shared" si="29"/>
        <v>27.45964442</v>
      </c>
      <c r="AH45" s="142">
        <f t="shared" si="29"/>
        <v>27.59694264</v>
      </c>
      <c r="AI45" s="142">
        <f t="shared" si="29"/>
        <v>27.73492735</v>
      </c>
      <c r="AJ45" s="142">
        <f t="shared" si="29"/>
        <v>27.87360199</v>
      </c>
      <c r="AK45" s="142">
        <f t="shared" si="29"/>
        <v>28.01297</v>
      </c>
      <c r="AL45" s="142">
        <f t="shared" si="29"/>
        <v>28.15303485</v>
      </c>
      <c r="AM45" s="142">
        <f t="shared" si="29"/>
        <v>28.29380002</v>
      </c>
      <c r="AN45" s="142">
        <f t="shared" si="29"/>
        <v>28.43526902</v>
      </c>
      <c r="AO45" s="142">
        <f t="shared" si="29"/>
        <v>28.57744537</v>
      </c>
      <c r="AP45" s="142">
        <f t="shared" si="29"/>
        <v>28.7203326</v>
      </c>
      <c r="AQ45" s="142">
        <f t="shared" si="29"/>
        <v>28.86393426</v>
      </c>
      <c r="AR45" s="142">
        <f t="shared" si="29"/>
        <v>29.00825393</v>
      </c>
      <c r="AS45" s="142">
        <f t="shared" si="29"/>
        <v>29.1532952</v>
      </c>
      <c r="AT45" s="142">
        <f t="shared" si="29"/>
        <v>29.29906168</v>
      </c>
      <c r="AU45" s="142">
        <f t="shared" si="29"/>
        <v>29.44555698</v>
      </c>
      <c r="AV45" s="142">
        <f t="shared" si="29"/>
        <v>29.59278477</v>
      </c>
      <c r="AW45" s="142">
        <f t="shared" si="29"/>
        <v>29.74074869</v>
      </c>
      <c r="AX45" s="142">
        <f t="shared" si="29"/>
        <v>29.88945244</v>
      </c>
      <c r="AY45" s="142">
        <f t="shared" si="29"/>
        <v>30.0388997</v>
      </c>
      <c r="AZ45" s="142">
        <f t="shared" si="29"/>
        <v>30.1890942</v>
      </c>
      <c r="BA45" s="142">
        <f t="shared" si="29"/>
        <v>30.34003967</v>
      </c>
      <c r="BB45" s="142">
        <f t="shared" si="29"/>
        <v>30.49173987</v>
      </c>
      <c r="BC45" s="142">
        <f t="shared" si="29"/>
        <v>30.64419857</v>
      </c>
      <c r="BD45" s="142">
        <f t="shared" si="29"/>
        <v>30.79741956</v>
      </c>
      <c r="BE45" s="142">
        <f t="shared" si="29"/>
        <v>30.95140666</v>
      </c>
      <c r="BF45" s="142">
        <f t="shared" si="29"/>
        <v>31.10616369</v>
      </c>
      <c r="BG45" s="142">
        <f t="shared" si="29"/>
        <v>31.26169451</v>
      </c>
      <c r="BH45" s="142">
        <f t="shared" si="29"/>
        <v>31.41800298</v>
      </c>
      <c r="BI45" s="142">
        <f t="shared" si="29"/>
        <v>31.575093</v>
      </c>
      <c r="BJ45" s="142">
        <f t="shared" si="29"/>
        <v>31.73296846</v>
      </c>
      <c r="BK45" s="142">
        <f t="shared" si="29"/>
        <v>31.8916333</v>
      </c>
    </row>
    <row r="46">
      <c r="A46" s="79"/>
      <c r="B46" s="191"/>
      <c r="C46" s="188" t="s">
        <v>63</v>
      </c>
      <c r="D46" s="189"/>
      <c r="E46" s="190">
        <v>0.005</v>
      </c>
      <c r="F46" s="144">
        <v>24.0</v>
      </c>
      <c r="G46" s="142">
        <f t="shared" ref="G46:BK46" si="30">F46+F46*$E46</f>
        <v>24.12</v>
      </c>
      <c r="H46" s="142">
        <f t="shared" si="30"/>
        <v>24.2406</v>
      </c>
      <c r="I46" s="142">
        <f t="shared" si="30"/>
        <v>24.361803</v>
      </c>
      <c r="J46" s="142">
        <f t="shared" si="30"/>
        <v>24.48361202</v>
      </c>
      <c r="K46" s="142">
        <f t="shared" si="30"/>
        <v>24.60603008</v>
      </c>
      <c r="L46" s="142">
        <f t="shared" si="30"/>
        <v>24.72906023</v>
      </c>
      <c r="M46" s="142">
        <f t="shared" si="30"/>
        <v>24.85270553</v>
      </c>
      <c r="N46" s="142">
        <f t="shared" si="30"/>
        <v>24.97696905</v>
      </c>
      <c r="O46" s="142">
        <f t="shared" si="30"/>
        <v>25.1018539</v>
      </c>
      <c r="P46" s="142">
        <f t="shared" si="30"/>
        <v>25.22736317</v>
      </c>
      <c r="Q46" s="142">
        <f t="shared" si="30"/>
        <v>25.35349998</v>
      </c>
      <c r="R46" s="142">
        <f t="shared" si="30"/>
        <v>25.48026748</v>
      </c>
      <c r="S46" s="142">
        <f t="shared" si="30"/>
        <v>25.60766882</v>
      </c>
      <c r="T46" s="142">
        <f t="shared" si="30"/>
        <v>25.73570717</v>
      </c>
      <c r="U46" s="142">
        <f t="shared" si="30"/>
        <v>25.8643857</v>
      </c>
      <c r="V46" s="142">
        <f t="shared" si="30"/>
        <v>25.99370763</v>
      </c>
      <c r="W46" s="142">
        <f t="shared" si="30"/>
        <v>26.12367617</v>
      </c>
      <c r="X46" s="142">
        <f t="shared" si="30"/>
        <v>26.25429455</v>
      </c>
      <c r="Y46" s="142">
        <f t="shared" si="30"/>
        <v>26.38556602</v>
      </c>
      <c r="Z46" s="142">
        <f t="shared" si="30"/>
        <v>26.51749385</v>
      </c>
      <c r="AA46" s="142">
        <f t="shared" si="30"/>
        <v>26.65008132</v>
      </c>
      <c r="AB46" s="142">
        <f t="shared" si="30"/>
        <v>26.78333173</v>
      </c>
      <c r="AC46" s="142">
        <f t="shared" si="30"/>
        <v>26.91724839</v>
      </c>
      <c r="AD46" s="142">
        <f t="shared" si="30"/>
        <v>27.05183463</v>
      </c>
      <c r="AE46" s="142">
        <f t="shared" si="30"/>
        <v>27.1870938</v>
      </c>
      <c r="AF46" s="142">
        <f t="shared" si="30"/>
        <v>27.32302927</v>
      </c>
      <c r="AG46" s="142">
        <f t="shared" si="30"/>
        <v>27.45964442</v>
      </c>
      <c r="AH46" s="142">
        <f t="shared" si="30"/>
        <v>27.59694264</v>
      </c>
      <c r="AI46" s="142">
        <f t="shared" si="30"/>
        <v>27.73492735</v>
      </c>
      <c r="AJ46" s="142">
        <f t="shared" si="30"/>
        <v>27.87360199</v>
      </c>
      <c r="AK46" s="142">
        <f t="shared" si="30"/>
        <v>28.01297</v>
      </c>
      <c r="AL46" s="142">
        <f t="shared" si="30"/>
        <v>28.15303485</v>
      </c>
      <c r="AM46" s="142">
        <f t="shared" si="30"/>
        <v>28.29380002</v>
      </c>
      <c r="AN46" s="142">
        <f t="shared" si="30"/>
        <v>28.43526902</v>
      </c>
      <c r="AO46" s="142">
        <f t="shared" si="30"/>
        <v>28.57744537</v>
      </c>
      <c r="AP46" s="142">
        <f t="shared" si="30"/>
        <v>28.7203326</v>
      </c>
      <c r="AQ46" s="142">
        <f t="shared" si="30"/>
        <v>28.86393426</v>
      </c>
      <c r="AR46" s="142">
        <f t="shared" si="30"/>
        <v>29.00825393</v>
      </c>
      <c r="AS46" s="142">
        <f t="shared" si="30"/>
        <v>29.1532952</v>
      </c>
      <c r="AT46" s="142">
        <f t="shared" si="30"/>
        <v>29.29906168</v>
      </c>
      <c r="AU46" s="142">
        <f t="shared" si="30"/>
        <v>29.44555698</v>
      </c>
      <c r="AV46" s="142">
        <f t="shared" si="30"/>
        <v>29.59278477</v>
      </c>
      <c r="AW46" s="142">
        <f t="shared" si="30"/>
        <v>29.74074869</v>
      </c>
      <c r="AX46" s="142">
        <f t="shared" si="30"/>
        <v>29.88945244</v>
      </c>
      <c r="AY46" s="142">
        <f t="shared" si="30"/>
        <v>30.0388997</v>
      </c>
      <c r="AZ46" s="142">
        <f t="shared" si="30"/>
        <v>30.1890942</v>
      </c>
      <c r="BA46" s="142">
        <f t="shared" si="30"/>
        <v>30.34003967</v>
      </c>
      <c r="BB46" s="142">
        <f t="shared" si="30"/>
        <v>30.49173987</v>
      </c>
      <c r="BC46" s="142">
        <f t="shared" si="30"/>
        <v>30.64419857</v>
      </c>
      <c r="BD46" s="142">
        <f t="shared" si="30"/>
        <v>30.79741956</v>
      </c>
      <c r="BE46" s="142">
        <f t="shared" si="30"/>
        <v>30.95140666</v>
      </c>
      <c r="BF46" s="142">
        <f t="shared" si="30"/>
        <v>31.10616369</v>
      </c>
      <c r="BG46" s="142">
        <f t="shared" si="30"/>
        <v>31.26169451</v>
      </c>
      <c r="BH46" s="142">
        <f t="shared" si="30"/>
        <v>31.41800298</v>
      </c>
      <c r="BI46" s="142">
        <f t="shared" si="30"/>
        <v>31.575093</v>
      </c>
      <c r="BJ46" s="142">
        <f t="shared" si="30"/>
        <v>31.73296846</v>
      </c>
      <c r="BK46" s="142">
        <f t="shared" si="30"/>
        <v>31.8916333</v>
      </c>
    </row>
    <row r="47">
      <c r="A47" s="79"/>
      <c r="B47" s="191"/>
      <c r="C47" s="192" t="s">
        <v>64</v>
      </c>
      <c r="D47" s="189"/>
      <c r="E47" s="190">
        <v>0.005</v>
      </c>
      <c r="F47" s="144">
        <v>36.0</v>
      </c>
      <c r="G47" s="142">
        <f t="shared" ref="G47:BK47" si="31">F47+F47*$E47</f>
        <v>36.18</v>
      </c>
      <c r="H47" s="142">
        <f t="shared" si="31"/>
        <v>36.3609</v>
      </c>
      <c r="I47" s="142">
        <f t="shared" si="31"/>
        <v>36.5427045</v>
      </c>
      <c r="J47" s="142">
        <f t="shared" si="31"/>
        <v>36.72541802</v>
      </c>
      <c r="K47" s="142">
        <f t="shared" si="31"/>
        <v>36.90904511</v>
      </c>
      <c r="L47" s="142">
        <f t="shared" si="31"/>
        <v>37.09359034</v>
      </c>
      <c r="M47" s="142">
        <f t="shared" si="31"/>
        <v>37.27905829</v>
      </c>
      <c r="N47" s="142">
        <f t="shared" si="31"/>
        <v>37.46545358</v>
      </c>
      <c r="O47" s="142">
        <f t="shared" si="31"/>
        <v>37.65278085</v>
      </c>
      <c r="P47" s="142">
        <f t="shared" si="31"/>
        <v>37.84104475</v>
      </c>
      <c r="Q47" s="142">
        <f t="shared" si="31"/>
        <v>38.03024998</v>
      </c>
      <c r="R47" s="142">
        <f t="shared" si="31"/>
        <v>38.22040123</v>
      </c>
      <c r="S47" s="142">
        <f t="shared" si="31"/>
        <v>38.41150323</v>
      </c>
      <c r="T47" s="142">
        <f t="shared" si="31"/>
        <v>38.60356075</v>
      </c>
      <c r="U47" s="142">
        <f t="shared" si="31"/>
        <v>38.79657855</v>
      </c>
      <c r="V47" s="142">
        <f t="shared" si="31"/>
        <v>38.99056145</v>
      </c>
      <c r="W47" s="142">
        <f t="shared" si="31"/>
        <v>39.18551425</v>
      </c>
      <c r="X47" s="142">
        <f t="shared" si="31"/>
        <v>39.38144182</v>
      </c>
      <c r="Y47" s="142">
        <f t="shared" si="31"/>
        <v>39.57834903</v>
      </c>
      <c r="Z47" s="142">
        <f t="shared" si="31"/>
        <v>39.77624078</v>
      </c>
      <c r="AA47" s="142">
        <f t="shared" si="31"/>
        <v>39.97512198</v>
      </c>
      <c r="AB47" s="142">
        <f t="shared" si="31"/>
        <v>40.17499759</v>
      </c>
      <c r="AC47" s="142">
        <f t="shared" si="31"/>
        <v>40.37587258</v>
      </c>
      <c r="AD47" s="142">
        <f t="shared" si="31"/>
        <v>40.57775194</v>
      </c>
      <c r="AE47" s="142">
        <f t="shared" si="31"/>
        <v>40.7806407</v>
      </c>
      <c r="AF47" s="142">
        <f t="shared" si="31"/>
        <v>40.98454391</v>
      </c>
      <c r="AG47" s="142">
        <f t="shared" si="31"/>
        <v>41.18946663</v>
      </c>
      <c r="AH47" s="142">
        <f t="shared" si="31"/>
        <v>41.39541396</v>
      </c>
      <c r="AI47" s="142">
        <f t="shared" si="31"/>
        <v>41.60239103</v>
      </c>
      <c r="AJ47" s="142">
        <f t="shared" si="31"/>
        <v>41.81040298</v>
      </c>
      <c r="AK47" s="142">
        <f t="shared" si="31"/>
        <v>42.019455</v>
      </c>
      <c r="AL47" s="142">
        <f t="shared" si="31"/>
        <v>42.22955227</v>
      </c>
      <c r="AM47" s="142">
        <f t="shared" si="31"/>
        <v>42.44070004</v>
      </c>
      <c r="AN47" s="142">
        <f t="shared" si="31"/>
        <v>42.65290354</v>
      </c>
      <c r="AO47" s="142">
        <f t="shared" si="31"/>
        <v>42.86616805</v>
      </c>
      <c r="AP47" s="142">
        <f t="shared" si="31"/>
        <v>43.08049889</v>
      </c>
      <c r="AQ47" s="142">
        <f t="shared" si="31"/>
        <v>43.29590139</v>
      </c>
      <c r="AR47" s="142">
        <f t="shared" si="31"/>
        <v>43.5123809</v>
      </c>
      <c r="AS47" s="142">
        <f t="shared" si="31"/>
        <v>43.7299428</v>
      </c>
      <c r="AT47" s="142">
        <f t="shared" si="31"/>
        <v>43.94859251</v>
      </c>
      <c r="AU47" s="142">
        <f t="shared" si="31"/>
        <v>44.16833548</v>
      </c>
      <c r="AV47" s="142">
        <f t="shared" si="31"/>
        <v>44.38917715</v>
      </c>
      <c r="AW47" s="142">
        <f t="shared" si="31"/>
        <v>44.61112304</v>
      </c>
      <c r="AX47" s="142">
        <f t="shared" si="31"/>
        <v>44.83417865</v>
      </c>
      <c r="AY47" s="142">
        <f t="shared" si="31"/>
        <v>45.05834955</v>
      </c>
      <c r="AZ47" s="142">
        <f t="shared" si="31"/>
        <v>45.2836413</v>
      </c>
      <c r="BA47" s="142">
        <f t="shared" si="31"/>
        <v>45.5100595</v>
      </c>
      <c r="BB47" s="142">
        <f t="shared" si="31"/>
        <v>45.7376098</v>
      </c>
      <c r="BC47" s="142">
        <f t="shared" si="31"/>
        <v>45.96629785</v>
      </c>
      <c r="BD47" s="142">
        <f t="shared" si="31"/>
        <v>46.19612934</v>
      </c>
      <c r="BE47" s="142">
        <f t="shared" si="31"/>
        <v>46.42710998</v>
      </c>
      <c r="BF47" s="142">
        <f t="shared" si="31"/>
        <v>46.65924553</v>
      </c>
      <c r="BG47" s="142">
        <f t="shared" si="31"/>
        <v>46.89254176</v>
      </c>
      <c r="BH47" s="142">
        <f t="shared" si="31"/>
        <v>47.12700447</v>
      </c>
      <c r="BI47" s="142">
        <f t="shared" si="31"/>
        <v>47.36263949</v>
      </c>
      <c r="BJ47" s="142">
        <f t="shared" si="31"/>
        <v>47.59945269</v>
      </c>
      <c r="BK47" s="142">
        <f t="shared" si="31"/>
        <v>47.83744995</v>
      </c>
    </row>
    <row r="48">
      <c r="A48" s="79"/>
      <c r="B48" s="191"/>
      <c r="C48" s="188" t="s">
        <v>65</v>
      </c>
      <c r="D48" s="189"/>
      <c r="E48" s="190">
        <v>0.005</v>
      </c>
      <c r="F48" s="144">
        <v>24.0</v>
      </c>
      <c r="G48" s="142">
        <f t="shared" ref="G48:BK48" si="32">F48+F48*$E48</f>
        <v>24.12</v>
      </c>
      <c r="H48" s="142">
        <f t="shared" si="32"/>
        <v>24.2406</v>
      </c>
      <c r="I48" s="142">
        <f t="shared" si="32"/>
        <v>24.361803</v>
      </c>
      <c r="J48" s="142">
        <f t="shared" si="32"/>
        <v>24.48361202</v>
      </c>
      <c r="K48" s="142">
        <f t="shared" si="32"/>
        <v>24.60603008</v>
      </c>
      <c r="L48" s="142">
        <f t="shared" si="32"/>
        <v>24.72906023</v>
      </c>
      <c r="M48" s="142">
        <f t="shared" si="32"/>
        <v>24.85270553</v>
      </c>
      <c r="N48" s="142">
        <f t="shared" si="32"/>
        <v>24.97696905</v>
      </c>
      <c r="O48" s="142">
        <f t="shared" si="32"/>
        <v>25.1018539</v>
      </c>
      <c r="P48" s="142">
        <f t="shared" si="32"/>
        <v>25.22736317</v>
      </c>
      <c r="Q48" s="142">
        <f t="shared" si="32"/>
        <v>25.35349998</v>
      </c>
      <c r="R48" s="142">
        <f t="shared" si="32"/>
        <v>25.48026748</v>
      </c>
      <c r="S48" s="142">
        <f t="shared" si="32"/>
        <v>25.60766882</v>
      </c>
      <c r="T48" s="142">
        <f t="shared" si="32"/>
        <v>25.73570717</v>
      </c>
      <c r="U48" s="142">
        <f t="shared" si="32"/>
        <v>25.8643857</v>
      </c>
      <c r="V48" s="142">
        <f t="shared" si="32"/>
        <v>25.99370763</v>
      </c>
      <c r="W48" s="142">
        <f t="shared" si="32"/>
        <v>26.12367617</v>
      </c>
      <c r="X48" s="142">
        <f t="shared" si="32"/>
        <v>26.25429455</v>
      </c>
      <c r="Y48" s="142">
        <f t="shared" si="32"/>
        <v>26.38556602</v>
      </c>
      <c r="Z48" s="142">
        <f t="shared" si="32"/>
        <v>26.51749385</v>
      </c>
      <c r="AA48" s="142">
        <f t="shared" si="32"/>
        <v>26.65008132</v>
      </c>
      <c r="AB48" s="142">
        <f t="shared" si="32"/>
        <v>26.78333173</v>
      </c>
      <c r="AC48" s="142">
        <f t="shared" si="32"/>
        <v>26.91724839</v>
      </c>
      <c r="AD48" s="142">
        <f t="shared" si="32"/>
        <v>27.05183463</v>
      </c>
      <c r="AE48" s="142">
        <f t="shared" si="32"/>
        <v>27.1870938</v>
      </c>
      <c r="AF48" s="142">
        <f t="shared" si="32"/>
        <v>27.32302927</v>
      </c>
      <c r="AG48" s="142">
        <f t="shared" si="32"/>
        <v>27.45964442</v>
      </c>
      <c r="AH48" s="142">
        <f t="shared" si="32"/>
        <v>27.59694264</v>
      </c>
      <c r="AI48" s="142">
        <f t="shared" si="32"/>
        <v>27.73492735</v>
      </c>
      <c r="AJ48" s="142">
        <f t="shared" si="32"/>
        <v>27.87360199</v>
      </c>
      <c r="AK48" s="142">
        <f t="shared" si="32"/>
        <v>28.01297</v>
      </c>
      <c r="AL48" s="142">
        <f t="shared" si="32"/>
        <v>28.15303485</v>
      </c>
      <c r="AM48" s="142">
        <f t="shared" si="32"/>
        <v>28.29380002</v>
      </c>
      <c r="AN48" s="142">
        <f t="shared" si="32"/>
        <v>28.43526902</v>
      </c>
      <c r="AO48" s="142">
        <f t="shared" si="32"/>
        <v>28.57744537</v>
      </c>
      <c r="AP48" s="142">
        <f t="shared" si="32"/>
        <v>28.7203326</v>
      </c>
      <c r="AQ48" s="142">
        <f t="shared" si="32"/>
        <v>28.86393426</v>
      </c>
      <c r="AR48" s="142">
        <f t="shared" si="32"/>
        <v>29.00825393</v>
      </c>
      <c r="AS48" s="142">
        <f t="shared" si="32"/>
        <v>29.1532952</v>
      </c>
      <c r="AT48" s="142">
        <f t="shared" si="32"/>
        <v>29.29906168</v>
      </c>
      <c r="AU48" s="142">
        <f t="shared" si="32"/>
        <v>29.44555698</v>
      </c>
      <c r="AV48" s="142">
        <f t="shared" si="32"/>
        <v>29.59278477</v>
      </c>
      <c r="AW48" s="142">
        <f t="shared" si="32"/>
        <v>29.74074869</v>
      </c>
      <c r="AX48" s="142">
        <f t="shared" si="32"/>
        <v>29.88945244</v>
      </c>
      <c r="AY48" s="142">
        <f t="shared" si="32"/>
        <v>30.0388997</v>
      </c>
      <c r="AZ48" s="142">
        <f t="shared" si="32"/>
        <v>30.1890942</v>
      </c>
      <c r="BA48" s="142">
        <f t="shared" si="32"/>
        <v>30.34003967</v>
      </c>
      <c r="BB48" s="142">
        <f t="shared" si="32"/>
        <v>30.49173987</v>
      </c>
      <c r="BC48" s="142">
        <f t="shared" si="32"/>
        <v>30.64419857</v>
      </c>
      <c r="BD48" s="142">
        <f t="shared" si="32"/>
        <v>30.79741956</v>
      </c>
      <c r="BE48" s="142">
        <f t="shared" si="32"/>
        <v>30.95140666</v>
      </c>
      <c r="BF48" s="142">
        <f t="shared" si="32"/>
        <v>31.10616369</v>
      </c>
      <c r="BG48" s="142">
        <f t="shared" si="32"/>
        <v>31.26169451</v>
      </c>
      <c r="BH48" s="142">
        <f t="shared" si="32"/>
        <v>31.41800298</v>
      </c>
      <c r="BI48" s="142">
        <f t="shared" si="32"/>
        <v>31.575093</v>
      </c>
      <c r="BJ48" s="142">
        <f t="shared" si="32"/>
        <v>31.73296846</v>
      </c>
      <c r="BK48" s="142">
        <f t="shared" si="32"/>
        <v>31.8916333</v>
      </c>
    </row>
    <row r="49">
      <c r="A49" s="79"/>
      <c r="B49" s="191"/>
      <c r="C49" s="192" t="s">
        <v>109</v>
      </c>
      <c r="D49" s="189"/>
      <c r="E49" s="190">
        <v>0.005</v>
      </c>
      <c r="F49" s="144">
        <v>12.0</v>
      </c>
      <c r="G49" s="142">
        <f t="shared" ref="G49:BK49" si="33">F49+F49*$E49</f>
        <v>12.06</v>
      </c>
      <c r="H49" s="142">
        <f t="shared" si="33"/>
        <v>12.1203</v>
      </c>
      <c r="I49" s="142">
        <f t="shared" si="33"/>
        <v>12.1809015</v>
      </c>
      <c r="J49" s="142">
        <f t="shared" si="33"/>
        <v>12.24180601</v>
      </c>
      <c r="K49" s="142">
        <f t="shared" si="33"/>
        <v>12.30301504</v>
      </c>
      <c r="L49" s="142">
        <f t="shared" si="33"/>
        <v>12.36453011</v>
      </c>
      <c r="M49" s="142">
        <f t="shared" si="33"/>
        <v>12.42635276</v>
      </c>
      <c r="N49" s="142">
        <f t="shared" si="33"/>
        <v>12.48848453</v>
      </c>
      <c r="O49" s="142">
        <f t="shared" si="33"/>
        <v>12.55092695</v>
      </c>
      <c r="P49" s="142">
        <f t="shared" si="33"/>
        <v>12.61368158</v>
      </c>
      <c r="Q49" s="142">
        <f t="shared" si="33"/>
        <v>12.67674999</v>
      </c>
      <c r="R49" s="142">
        <f t="shared" si="33"/>
        <v>12.74013374</v>
      </c>
      <c r="S49" s="142">
        <f t="shared" si="33"/>
        <v>12.80383441</v>
      </c>
      <c r="T49" s="142">
        <f t="shared" si="33"/>
        <v>12.86785358</v>
      </c>
      <c r="U49" s="142">
        <f t="shared" si="33"/>
        <v>12.93219285</v>
      </c>
      <c r="V49" s="142">
        <f t="shared" si="33"/>
        <v>12.99685382</v>
      </c>
      <c r="W49" s="142">
        <f t="shared" si="33"/>
        <v>13.06183808</v>
      </c>
      <c r="X49" s="142">
        <f t="shared" si="33"/>
        <v>13.12714727</v>
      </c>
      <c r="Y49" s="142">
        <f t="shared" si="33"/>
        <v>13.19278301</v>
      </c>
      <c r="Z49" s="142">
        <f t="shared" si="33"/>
        <v>13.25874693</v>
      </c>
      <c r="AA49" s="142">
        <f t="shared" si="33"/>
        <v>13.32504066</v>
      </c>
      <c r="AB49" s="142">
        <f t="shared" si="33"/>
        <v>13.39166586</v>
      </c>
      <c r="AC49" s="142">
        <f t="shared" si="33"/>
        <v>13.45862419</v>
      </c>
      <c r="AD49" s="142">
        <f t="shared" si="33"/>
        <v>13.52591731</v>
      </c>
      <c r="AE49" s="142">
        <f t="shared" si="33"/>
        <v>13.5935469</v>
      </c>
      <c r="AF49" s="142">
        <f t="shared" si="33"/>
        <v>13.66151464</v>
      </c>
      <c r="AG49" s="142">
        <f t="shared" si="33"/>
        <v>13.72982221</v>
      </c>
      <c r="AH49" s="142">
        <f t="shared" si="33"/>
        <v>13.79847132</v>
      </c>
      <c r="AI49" s="142">
        <f t="shared" si="33"/>
        <v>13.86746368</v>
      </c>
      <c r="AJ49" s="142">
        <f t="shared" si="33"/>
        <v>13.93680099</v>
      </c>
      <c r="AK49" s="142">
        <f t="shared" si="33"/>
        <v>14.006485</v>
      </c>
      <c r="AL49" s="142">
        <f t="shared" si="33"/>
        <v>14.07651742</v>
      </c>
      <c r="AM49" s="142">
        <f t="shared" si="33"/>
        <v>14.14690001</v>
      </c>
      <c r="AN49" s="142">
        <f t="shared" si="33"/>
        <v>14.21763451</v>
      </c>
      <c r="AO49" s="142">
        <f t="shared" si="33"/>
        <v>14.28872268</v>
      </c>
      <c r="AP49" s="142">
        <f t="shared" si="33"/>
        <v>14.3601663</v>
      </c>
      <c r="AQ49" s="142">
        <f t="shared" si="33"/>
        <v>14.43196713</v>
      </c>
      <c r="AR49" s="142">
        <f t="shared" si="33"/>
        <v>14.50412697</v>
      </c>
      <c r="AS49" s="142">
        <f t="shared" si="33"/>
        <v>14.5766476</v>
      </c>
      <c r="AT49" s="142">
        <f t="shared" si="33"/>
        <v>14.64953084</v>
      </c>
      <c r="AU49" s="142">
        <f t="shared" si="33"/>
        <v>14.72277849</v>
      </c>
      <c r="AV49" s="142">
        <f t="shared" si="33"/>
        <v>14.79639238</v>
      </c>
      <c r="AW49" s="142">
        <f t="shared" si="33"/>
        <v>14.87037435</v>
      </c>
      <c r="AX49" s="142">
        <f t="shared" si="33"/>
        <v>14.94472622</v>
      </c>
      <c r="AY49" s="142">
        <f t="shared" si="33"/>
        <v>15.01944985</v>
      </c>
      <c r="AZ49" s="142">
        <f t="shared" si="33"/>
        <v>15.0945471</v>
      </c>
      <c r="BA49" s="142">
        <f t="shared" si="33"/>
        <v>15.17001983</v>
      </c>
      <c r="BB49" s="142">
        <f t="shared" si="33"/>
        <v>15.24586993</v>
      </c>
      <c r="BC49" s="142">
        <f t="shared" si="33"/>
        <v>15.32209928</v>
      </c>
      <c r="BD49" s="142">
        <f t="shared" si="33"/>
        <v>15.39870978</v>
      </c>
      <c r="BE49" s="142">
        <f t="shared" si="33"/>
        <v>15.47570333</v>
      </c>
      <c r="BF49" s="142">
        <f t="shared" si="33"/>
        <v>15.55308184</v>
      </c>
      <c r="BG49" s="142">
        <f t="shared" si="33"/>
        <v>15.63084725</v>
      </c>
      <c r="BH49" s="142">
        <f t="shared" si="33"/>
        <v>15.70900149</v>
      </c>
      <c r="BI49" s="142">
        <f t="shared" si="33"/>
        <v>15.7875465</v>
      </c>
      <c r="BJ49" s="142">
        <f t="shared" si="33"/>
        <v>15.86648423</v>
      </c>
      <c r="BK49" s="142">
        <f t="shared" si="33"/>
        <v>15.94581665</v>
      </c>
    </row>
    <row r="50">
      <c r="A50" s="79"/>
      <c r="B50" s="191"/>
      <c r="C50" s="188" t="s">
        <v>67</v>
      </c>
      <c r="D50" s="189"/>
      <c r="E50" s="190">
        <v>0.005</v>
      </c>
      <c r="F50" s="144">
        <v>36.0</v>
      </c>
      <c r="G50" s="142">
        <f t="shared" ref="G50:BK50" si="34">F50+F50*$E50</f>
        <v>36.18</v>
      </c>
      <c r="H50" s="142">
        <f t="shared" si="34"/>
        <v>36.3609</v>
      </c>
      <c r="I50" s="142">
        <f t="shared" si="34"/>
        <v>36.5427045</v>
      </c>
      <c r="J50" s="142">
        <f t="shared" si="34"/>
        <v>36.72541802</v>
      </c>
      <c r="K50" s="142">
        <f t="shared" si="34"/>
        <v>36.90904511</v>
      </c>
      <c r="L50" s="142">
        <f t="shared" si="34"/>
        <v>37.09359034</v>
      </c>
      <c r="M50" s="142">
        <f t="shared" si="34"/>
        <v>37.27905829</v>
      </c>
      <c r="N50" s="142">
        <f t="shared" si="34"/>
        <v>37.46545358</v>
      </c>
      <c r="O50" s="142">
        <f t="shared" si="34"/>
        <v>37.65278085</v>
      </c>
      <c r="P50" s="142">
        <f t="shared" si="34"/>
        <v>37.84104475</v>
      </c>
      <c r="Q50" s="142">
        <f t="shared" si="34"/>
        <v>38.03024998</v>
      </c>
      <c r="R50" s="142">
        <f t="shared" si="34"/>
        <v>38.22040123</v>
      </c>
      <c r="S50" s="142">
        <f t="shared" si="34"/>
        <v>38.41150323</v>
      </c>
      <c r="T50" s="142">
        <f t="shared" si="34"/>
        <v>38.60356075</v>
      </c>
      <c r="U50" s="142">
        <f t="shared" si="34"/>
        <v>38.79657855</v>
      </c>
      <c r="V50" s="142">
        <f t="shared" si="34"/>
        <v>38.99056145</v>
      </c>
      <c r="W50" s="142">
        <f t="shared" si="34"/>
        <v>39.18551425</v>
      </c>
      <c r="X50" s="142">
        <f t="shared" si="34"/>
        <v>39.38144182</v>
      </c>
      <c r="Y50" s="142">
        <f t="shared" si="34"/>
        <v>39.57834903</v>
      </c>
      <c r="Z50" s="142">
        <f t="shared" si="34"/>
        <v>39.77624078</v>
      </c>
      <c r="AA50" s="142">
        <f t="shared" si="34"/>
        <v>39.97512198</v>
      </c>
      <c r="AB50" s="142">
        <f t="shared" si="34"/>
        <v>40.17499759</v>
      </c>
      <c r="AC50" s="142">
        <f t="shared" si="34"/>
        <v>40.37587258</v>
      </c>
      <c r="AD50" s="142">
        <f t="shared" si="34"/>
        <v>40.57775194</v>
      </c>
      <c r="AE50" s="142">
        <f t="shared" si="34"/>
        <v>40.7806407</v>
      </c>
      <c r="AF50" s="142">
        <f t="shared" si="34"/>
        <v>40.98454391</v>
      </c>
      <c r="AG50" s="142">
        <f t="shared" si="34"/>
        <v>41.18946663</v>
      </c>
      <c r="AH50" s="142">
        <f t="shared" si="34"/>
        <v>41.39541396</v>
      </c>
      <c r="AI50" s="142">
        <f t="shared" si="34"/>
        <v>41.60239103</v>
      </c>
      <c r="AJ50" s="142">
        <f t="shared" si="34"/>
        <v>41.81040298</v>
      </c>
      <c r="AK50" s="142">
        <f t="shared" si="34"/>
        <v>42.019455</v>
      </c>
      <c r="AL50" s="142">
        <f t="shared" si="34"/>
        <v>42.22955227</v>
      </c>
      <c r="AM50" s="142">
        <f t="shared" si="34"/>
        <v>42.44070004</v>
      </c>
      <c r="AN50" s="142">
        <f t="shared" si="34"/>
        <v>42.65290354</v>
      </c>
      <c r="AO50" s="142">
        <f t="shared" si="34"/>
        <v>42.86616805</v>
      </c>
      <c r="AP50" s="142">
        <f t="shared" si="34"/>
        <v>43.08049889</v>
      </c>
      <c r="AQ50" s="142">
        <f t="shared" si="34"/>
        <v>43.29590139</v>
      </c>
      <c r="AR50" s="142">
        <f t="shared" si="34"/>
        <v>43.5123809</v>
      </c>
      <c r="AS50" s="142">
        <f t="shared" si="34"/>
        <v>43.7299428</v>
      </c>
      <c r="AT50" s="142">
        <f t="shared" si="34"/>
        <v>43.94859251</v>
      </c>
      <c r="AU50" s="142">
        <f t="shared" si="34"/>
        <v>44.16833548</v>
      </c>
      <c r="AV50" s="142">
        <f t="shared" si="34"/>
        <v>44.38917715</v>
      </c>
      <c r="AW50" s="142">
        <f t="shared" si="34"/>
        <v>44.61112304</v>
      </c>
      <c r="AX50" s="142">
        <f t="shared" si="34"/>
        <v>44.83417865</v>
      </c>
      <c r="AY50" s="142">
        <f t="shared" si="34"/>
        <v>45.05834955</v>
      </c>
      <c r="AZ50" s="142">
        <f t="shared" si="34"/>
        <v>45.2836413</v>
      </c>
      <c r="BA50" s="142">
        <f t="shared" si="34"/>
        <v>45.5100595</v>
      </c>
      <c r="BB50" s="142">
        <f t="shared" si="34"/>
        <v>45.7376098</v>
      </c>
      <c r="BC50" s="142">
        <f t="shared" si="34"/>
        <v>45.96629785</v>
      </c>
      <c r="BD50" s="142">
        <f t="shared" si="34"/>
        <v>46.19612934</v>
      </c>
      <c r="BE50" s="142">
        <f t="shared" si="34"/>
        <v>46.42710998</v>
      </c>
      <c r="BF50" s="142">
        <f t="shared" si="34"/>
        <v>46.65924553</v>
      </c>
      <c r="BG50" s="142">
        <f t="shared" si="34"/>
        <v>46.89254176</v>
      </c>
      <c r="BH50" s="142">
        <f t="shared" si="34"/>
        <v>47.12700447</v>
      </c>
      <c r="BI50" s="142">
        <f t="shared" si="34"/>
        <v>47.36263949</v>
      </c>
      <c r="BJ50" s="142">
        <f t="shared" si="34"/>
        <v>47.59945269</v>
      </c>
      <c r="BK50" s="142">
        <f t="shared" si="34"/>
        <v>47.83744995</v>
      </c>
    </row>
    <row r="51">
      <c r="A51" s="79"/>
      <c r="B51" s="191"/>
      <c r="C51" s="192" t="s">
        <v>68</v>
      </c>
      <c r="D51" s="189"/>
      <c r="E51" s="190">
        <v>0.005</v>
      </c>
      <c r="F51" s="144">
        <v>0.0</v>
      </c>
      <c r="G51" s="142">
        <f t="shared" ref="G51:BK51" si="35">F51+F51*$E51</f>
        <v>0</v>
      </c>
      <c r="H51" s="142">
        <f t="shared" si="35"/>
        <v>0</v>
      </c>
      <c r="I51" s="142">
        <f t="shared" si="35"/>
        <v>0</v>
      </c>
      <c r="J51" s="142">
        <f t="shared" si="35"/>
        <v>0</v>
      </c>
      <c r="K51" s="142">
        <f t="shared" si="35"/>
        <v>0</v>
      </c>
      <c r="L51" s="142">
        <f t="shared" si="35"/>
        <v>0</v>
      </c>
      <c r="M51" s="142">
        <f t="shared" si="35"/>
        <v>0</v>
      </c>
      <c r="N51" s="142">
        <f t="shared" si="35"/>
        <v>0</v>
      </c>
      <c r="O51" s="142">
        <f t="shared" si="35"/>
        <v>0</v>
      </c>
      <c r="P51" s="142">
        <f t="shared" si="35"/>
        <v>0</v>
      </c>
      <c r="Q51" s="142">
        <f t="shared" si="35"/>
        <v>0</v>
      </c>
      <c r="R51" s="142">
        <f t="shared" si="35"/>
        <v>0</v>
      </c>
      <c r="S51" s="142">
        <f t="shared" si="35"/>
        <v>0</v>
      </c>
      <c r="T51" s="142">
        <f t="shared" si="35"/>
        <v>0</v>
      </c>
      <c r="U51" s="142">
        <f t="shared" si="35"/>
        <v>0</v>
      </c>
      <c r="V51" s="142">
        <f t="shared" si="35"/>
        <v>0</v>
      </c>
      <c r="W51" s="142">
        <f t="shared" si="35"/>
        <v>0</v>
      </c>
      <c r="X51" s="142">
        <f t="shared" si="35"/>
        <v>0</v>
      </c>
      <c r="Y51" s="142">
        <f t="shared" si="35"/>
        <v>0</v>
      </c>
      <c r="Z51" s="142">
        <f t="shared" si="35"/>
        <v>0</v>
      </c>
      <c r="AA51" s="142">
        <f t="shared" si="35"/>
        <v>0</v>
      </c>
      <c r="AB51" s="142">
        <f t="shared" si="35"/>
        <v>0</v>
      </c>
      <c r="AC51" s="142">
        <f t="shared" si="35"/>
        <v>0</v>
      </c>
      <c r="AD51" s="142">
        <f t="shared" si="35"/>
        <v>0</v>
      </c>
      <c r="AE51" s="142">
        <f t="shared" si="35"/>
        <v>0</v>
      </c>
      <c r="AF51" s="142">
        <f t="shared" si="35"/>
        <v>0</v>
      </c>
      <c r="AG51" s="142">
        <f t="shared" si="35"/>
        <v>0</v>
      </c>
      <c r="AH51" s="142">
        <f t="shared" si="35"/>
        <v>0</v>
      </c>
      <c r="AI51" s="142">
        <f t="shared" si="35"/>
        <v>0</v>
      </c>
      <c r="AJ51" s="142">
        <f t="shared" si="35"/>
        <v>0</v>
      </c>
      <c r="AK51" s="142">
        <f t="shared" si="35"/>
        <v>0</v>
      </c>
      <c r="AL51" s="142">
        <f t="shared" si="35"/>
        <v>0</v>
      </c>
      <c r="AM51" s="142">
        <f t="shared" si="35"/>
        <v>0</v>
      </c>
      <c r="AN51" s="142">
        <f t="shared" si="35"/>
        <v>0</v>
      </c>
      <c r="AO51" s="142">
        <f t="shared" si="35"/>
        <v>0</v>
      </c>
      <c r="AP51" s="142">
        <f t="shared" si="35"/>
        <v>0</v>
      </c>
      <c r="AQ51" s="142">
        <f t="shared" si="35"/>
        <v>0</v>
      </c>
      <c r="AR51" s="142">
        <f t="shared" si="35"/>
        <v>0</v>
      </c>
      <c r="AS51" s="142">
        <f t="shared" si="35"/>
        <v>0</v>
      </c>
      <c r="AT51" s="142">
        <f t="shared" si="35"/>
        <v>0</v>
      </c>
      <c r="AU51" s="142">
        <f t="shared" si="35"/>
        <v>0</v>
      </c>
      <c r="AV51" s="142">
        <f t="shared" si="35"/>
        <v>0</v>
      </c>
      <c r="AW51" s="142">
        <f t="shared" si="35"/>
        <v>0</v>
      </c>
      <c r="AX51" s="142">
        <f t="shared" si="35"/>
        <v>0</v>
      </c>
      <c r="AY51" s="142">
        <f t="shared" si="35"/>
        <v>0</v>
      </c>
      <c r="AZ51" s="142">
        <f t="shared" si="35"/>
        <v>0</v>
      </c>
      <c r="BA51" s="142">
        <f t="shared" si="35"/>
        <v>0</v>
      </c>
      <c r="BB51" s="142">
        <f t="shared" si="35"/>
        <v>0</v>
      </c>
      <c r="BC51" s="142">
        <f t="shared" si="35"/>
        <v>0</v>
      </c>
      <c r="BD51" s="142">
        <f t="shared" si="35"/>
        <v>0</v>
      </c>
      <c r="BE51" s="142">
        <f t="shared" si="35"/>
        <v>0</v>
      </c>
      <c r="BF51" s="142">
        <f t="shared" si="35"/>
        <v>0</v>
      </c>
      <c r="BG51" s="142">
        <f t="shared" si="35"/>
        <v>0</v>
      </c>
      <c r="BH51" s="142">
        <f t="shared" si="35"/>
        <v>0</v>
      </c>
      <c r="BI51" s="142">
        <f t="shared" si="35"/>
        <v>0</v>
      </c>
      <c r="BJ51" s="142">
        <f t="shared" si="35"/>
        <v>0</v>
      </c>
      <c r="BK51" s="142">
        <f t="shared" si="35"/>
        <v>0</v>
      </c>
    </row>
    <row r="52">
      <c r="A52" s="79"/>
      <c r="B52" s="191"/>
      <c r="C52" s="188" t="s">
        <v>69</v>
      </c>
      <c r="D52" s="189"/>
      <c r="E52" s="190">
        <v>0.005</v>
      </c>
      <c r="F52" s="144">
        <v>20.0</v>
      </c>
      <c r="G52" s="142">
        <f t="shared" ref="G52:BK52" si="36">F52+F52*$E52</f>
        <v>20.1</v>
      </c>
      <c r="H52" s="142">
        <f t="shared" si="36"/>
        <v>20.2005</v>
      </c>
      <c r="I52" s="142">
        <f t="shared" si="36"/>
        <v>20.3015025</v>
      </c>
      <c r="J52" s="142">
        <f t="shared" si="36"/>
        <v>20.40301001</v>
      </c>
      <c r="K52" s="142">
        <f t="shared" si="36"/>
        <v>20.50502506</v>
      </c>
      <c r="L52" s="142">
        <f t="shared" si="36"/>
        <v>20.60755019</v>
      </c>
      <c r="M52" s="142">
        <f t="shared" si="36"/>
        <v>20.71058794</v>
      </c>
      <c r="N52" s="142">
        <f t="shared" si="36"/>
        <v>20.81414088</v>
      </c>
      <c r="O52" s="142">
        <f t="shared" si="36"/>
        <v>20.91821158</v>
      </c>
      <c r="P52" s="142">
        <f t="shared" si="36"/>
        <v>21.02280264</v>
      </c>
      <c r="Q52" s="142">
        <f t="shared" si="36"/>
        <v>21.12791665</v>
      </c>
      <c r="R52" s="142">
        <f t="shared" si="36"/>
        <v>21.23355624</v>
      </c>
      <c r="S52" s="142">
        <f t="shared" si="36"/>
        <v>21.33972402</v>
      </c>
      <c r="T52" s="142">
        <f t="shared" si="36"/>
        <v>21.44642264</v>
      </c>
      <c r="U52" s="142">
        <f t="shared" si="36"/>
        <v>21.55365475</v>
      </c>
      <c r="V52" s="142">
        <f t="shared" si="36"/>
        <v>21.66142303</v>
      </c>
      <c r="W52" s="142">
        <f t="shared" si="36"/>
        <v>21.76973014</v>
      </c>
      <c r="X52" s="142">
        <f t="shared" si="36"/>
        <v>21.87857879</v>
      </c>
      <c r="Y52" s="142">
        <f t="shared" si="36"/>
        <v>21.98797169</v>
      </c>
      <c r="Z52" s="142">
        <f t="shared" si="36"/>
        <v>22.09791154</v>
      </c>
      <c r="AA52" s="142">
        <f t="shared" si="36"/>
        <v>22.2084011</v>
      </c>
      <c r="AB52" s="142">
        <f t="shared" si="36"/>
        <v>22.31944311</v>
      </c>
      <c r="AC52" s="142">
        <f t="shared" si="36"/>
        <v>22.43104032</v>
      </c>
      <c r="AD52" s="142">
        <f t="shared" si="36"/>
        <v>22.54319552</v>
      </c>
      <c r="AE52" s="142">
        <f t="shared" si="36"/>
        <v>22.6559115</v>
      </c>
      <c r="AF52" s="142">
        <f t="shared" si="36"/>
        <v>22.76919106</v>
      </c>
      <c r="AG52" s="142">
        <f t="shared" si="36"/>
        <v>22.88303701</v>
      </c>
      <c r="AH52" s="142">
        <f t="shared" si="36"/>
        <v>22.9974522</v>
      </c>
      <c r="AI52" s="142">
        <f t="shared" si="36"/>
        <v>23.11243946</v>
      </c>
      <c r="AJ52" s="142">
        <f t="shared" si="36"/>
        <v>23.22800166</v>
      </c>
      <c r="AK52" s="142">
        <f t="shared" si="36"/>
        <v>23.34414167</v>
      </c>
      <c r="AL52" s="142">
        <f t="shared" si="36"/>
        <v>23.46086237</v>
      </c>
      <c r="AM52" s="142">
        <f t="shared" si="36"/>
        <v>23.57816669</v>
      </c>
      <c r="AN52" s="142">
        <f t="shared" si="36"/>
        <v>23.69605752</v>
      </c>
      <c r="AO52" s="142">
        <f t="shared" si="36"/>
        <v>23.81453781</v>
      </c>
      <c r="AP52" s="142">
        <f t="shared" si="36"/>
        <v>23.9336105</v>
      </c>
      <c r="AQ52" s="142">
        <f t="shared" si="36"/>
        <v>24.05327855</v>
      </c>
      <c r="AR52" s="142">
        <f t="shared" si="36"/>
        <v>24.17354494</v>
      </c>
      <c r="AS52" s="142">
        <f t="shared" si="36"/>
        <v>24.29441267</v>
      </c>
      <c r="AT52" s="142">
        <f t="shared" si="36"/>
        <v>24.41588473</v>
      </c>
      <c r="AU52" s="142">
        <f t="shared" si="36"/>
        <v>24.53796415</v>
      </c>
      <c r="AV52" s="142">
        <f t="shared" si="36"/>
        <v>24.66065397</v>
      </c>
      <c r="AW52" s="142">
        <f t="shared" si="36"/>
        <v>24.78395724</v>
      </c>
      <c r="AX52" s="142">
        <f t="shared" si="36"/>
        <v>24.90787703</v>
      </c>
      <c r="AY52" s="142">
        <f t="shared" si="36"/>
        <v>25.03241642</v>
      </c>
      <c r="AZ52" s="142">
        <f t="shared" si="36"/>
        <v>25.1575785</v>
      </c>
      <c r="BA52" s="142">
        <f t="shared" si="36"/>
        <v>25.28336639</v>
      </c>
      <c r="BB52" s="142">
        <f t="shared" si="36"/>
        <v>25.40978322</v>
      </c>
      <c r="BC52" s="142">
        <f t="shared" si="36"/>
        <v>25.53683214</v>
      </c>
      <c r="BD52" s="142">
        <f t="shared" si="36"/>
        <v>25.6645163</v>
      </c>
      <c r="BE52" s="142">
        <f t="shared" si="36"/>
        <v>25.79283888</v>
      </c>
      <c r="BF52" s="142">
        <f t="shared" si="36"/>
        <v>25.92180307</v>
      </c>
      <c r="BG52" s="142">
        <f t="shared" si="36"/>
        <v>26.05141209</v>
      </c>
      <c r="BH52" s="142">
        <f t="shared" si="36"/>
        <v>26.18166915</v>
      </c>
      <c r="BI52" s="142">
        <f t="shared" si="36"/>
        <v>26.3125775</v>
      </c>
      <c r="BJ52" s="142">
        <f t="shared" si="36"/>
        <v>26.44414038</v>
      </c>
      <c r="BK52" s="142">
        <f t="shared" si="36"/>
        <v>26.57636109</v>
      </c>
    </row>
    <row r="53">
      <c r="A53" s="79"/>
      <c r="B53" s="191"/>
      <c r="C53" s="192"/>
      <c r="D53" s="189"/>
      <c r="E53" s="190">
        <v>0.005</v>
      </c>
      <c r="F53" s="144">
        <v>0.0</v>
      </c>
      <c r="G53" s="142">
        <f t="shared" ref="G53:BK53" si="37">F53+F53*$E53</f>
        <v>0</v>
      </c>
      <c r="H53" s="142">
        <f t="shared" si="37"/>
        <v>0</v>
      </c>
      <c r="I53" s="142">
        <f t="shared" si="37"/>
        <v>0</v>
      </c>
      <c r="J53" s="142">
        <f t="shared" si="37"/>
        <v>0</v>
      </c>
      <c r="K53" s="142">
        <f t="shared" si="37"/>
        <v>0</v>
      </c>
      <c r="L53" s="142">
        <f t="shared" si="37"/>
        <v>0</v>
      </c>
      <c r="M53" s="142">
        <f t="shared" si="37"/>
        <v>0</v>
      </c>
      <c r="N53" s="142">
        <f t="shared" si="37"/>
        <v>0</v>
      </c>
      <c r="O53" s="142">
        <f t="shared" si="37"/>
        <v>0</v>
      </c>
      <c r="P53" s="142">
        <f t="shared" si="37"/>
        <v>0</v>
      </c>
      <c r="Q53" s="142">
        <f t="shared" si="37"/>
        <v>0</v>
      </c>
      <c r="R53" s="142">
        <f t="shared" si="37"/>
        <v>0</v>
      </c>
      <c r="S53" s="142">
        <f t="shared" si="37"/>
        <v>0</v>
      </c>
      <c r="T53" s="142">
        <f t="shared" si="37"/>
        <v>0</v>
      </c>
      <c r="U53" s="142">
        <f t="shared" si="37"/>
        <v>0</v>
      </c>
      <c r="V53" s="142">
        <f t="shared" si="37"/>
        <v>0</v>
      </c>
      <c r="W53" s="142">
        <f t="shared" si="37"/>
        <v>0</v>
      </c>
      <c r="X53" s="142">
        <f t="shared" si="37"/>
        <v>0</v>
      </c>
      <c r="Y53" s="142">
        <f t="shared" si="37"/>
        <v>0</v>
      </c>
      <c r="Z53" s="142">
        <f t="shared" si="37"/>
        <v>0</v>
      </c>
      <c r="AA53" s="142">
        <f t="shared" si="37"/>
        <v>0</v>
      </c>
      <c r="AB53" s="142">
        <f t="shared" si="37"/>
        <v>0</v>
      </c>
      <c r="AC53" s="142">
        <f t="shared" si="37"/>
        <v>0</v>
      </c>
      <c r="AD53" s="142">
        <f t="shared" si="37"/>
        <v>0</v>
      </c>
      <c r="AE53" s="142">
        <f t="shared" si="37"/>
        <v>0</v>
      </c>
      <c r="AF53" s="142">
        <f t="shared" si="37"/>
        <v>0</v>
      </c>
      <c r="AG53" s="142">
        <f t="shared" si="37"/>
        <v>0</v>
      </c>
      <c r="AH53" s="142">
        <f t="shared" si="37"/>
        <v>0</v>
      </c>
      <c r="AI53" s="142">
        <f t="shared" si="37"/>
        <v>0</v>
      </c>
      <c r="AJ53" s="142">
        <f t="shared" si="37"/>
        <v>0</v>
      </c>
      <c r="AK53" s="142">
        <f t="shared" si="37"/>
        <v>0</v>
      </c>
      <c r="AL53" s="142">
        <f t="shared" si="37"/>
        <v>0</v>
      </c>
      <c r="AM53" s="142">
        <f t="shared" si="37"/>
        <v>0</v>
      </c>
      <c r="AN53" s="142">
        <f t="shared" si="37"/>
        <v>0</v>
      </c>
      <c r="AO53" s="142">
        <f t="shared" si="37"/>
        <v>0</v>
      </c>
      <c r="AP53" s="142">
        <f t="shared" si="37"/>
        <v>0</v>
      </c>
      <c r="AQ53" s="142">
        <f t="shared" si="37"/>
        <v>0</v>
      </c>
      <c r="AR53" s="142">
        <f t="shared" si="37"/>
        <v>0</v>
      </c>
      <c r="AS53" s="142">
        <f t="shared" si="37"/>
        <v>0</v>
      </c>
      <c r="AT53" s="142">
        <f t="shared" si="37"/>
        <v>0</v>
      </c>
      <c r="AU53" s="142">
        <f t="shared" si="37"/>
        <v>0</v>
      </c>
      <c r="AV53" s="142">
        <f t="shared" si="37"/>
        <v>0</v>
      </c>
      <c r="AW53" s="142">
        <f t="shared" si="37"/>
        <v>0</v>
      </c>
      <c r="AX53" s="142">
        <f t="shared" si="37"/>
        <v>0</v>
      </c>
      <c r="AY53" s="142">
        <f t="shared" si="37"/>
        <v>0</v>
      </c>
      <c r="AZ53" s="142">
        <f t="shared" si="37"/>
        <v>0</v>
      </c>
      <c r="BA53" s="142">
        <f t="shared" si="37"/>
        <v>0</v>
      </c>
      <c r="BB53" s="142">
        <f t="shared" si="37"/>
        <v>0</v>
      </c>
      <c r="BC53" s="142">
        <f t="shared" si="37"/>
        <v>0</v>
      </c>
      <c r="BD53" s="142">
        <f t="shared" si="37"/>
        <v>0</v>
      </c>
      <c r="BE53" s="142">
        <f t="shared" si="37"/>
        <v>0</v>
      </c>
      <c r="BF53" s="142">
        <f t="shared" si="37"/>
        <v>0</v>
      </c>
      <c r="BG53" s="142">
        <f t="shared" si="37"/>
        <v>0</v>
      </c>
      <c r="BH53" s="142">
        <f t="shared" si="37"/>
        <v>0</v>
      </c>
      <c r="BI53" s="142">
        <f t="shared" si="37"/>
        <v>0</v>
      </c>
      <c r="BJ53" s="142">
        <f t="shared" si="37"/>
        <v>0</v>
      </c>
      <c r="BK53" s="142">
        <f t="shared" si="37"/>
        <v>0</v>
      </c>
    </row>
    <row r="54">
      <c r="A54" s="79"/>
      <c r="B54" s="191"/>
      <c r="C54" s="188"/>
      <c r="D54" s="189"/>
      <c r="E54" s="190">
        <v>0.005</v>
      </c>
      <c r="F54" s="144">
        <v>0.0</v>
      </c>
      <c r="G54" s="142">
        <f t="shared" ref="G54:BK54" si="38">F54+F54*$E54</f>
        <v>0</v>
      </c>
      <c r="H54" s="142">
        <f t="shared" si="38"/>
        <v>0</v>
      </c>
      <c r="I54" s="142">
        <f t="shared" si="38"/>
        <v>0</v>
      </c>
      <c r="J54" s="142">
        <f t="shared" si="38"/>
        <v>0</v>
      </c>
      <c r="K54" s="142">
        <f t="shared" si="38"/>
        <v>0</v>
      </c>
      <c r="L54" s="142">
        <f t="shared" si="38"/>
        <v>0</v>
      </c>
      <c r="M54" s="142">
        <f t="shared" si="38"/>
        <v>0</v>
      </c>
      <c r="N54" s="142">
        <f t="shared" si="38"/>
        <v>0</v>
      </c>
      <c r="O54" s="142">
        <f t="shared" si="38"/>
        <v>0</v>
      </c>
      <c r="P54" s="142">
        <f t="shared" si="38"/>
        <v>0</v>
      </c>
      <c r="Q54" s="142">
        <f t="shared" si="38"/>
        <v>0</v>
      </c>
      <c r="R54" s="142">
        <f t="shared" si="38"/>
        <v>0</v>
      </c>
      <c r="S54" s="142">
        <f t="shared" si="38"/>
        <v>0</v>
      </c>
      <c r="T54" s="142">
        <f t="shared" si="38"/>
        <v>0</v>
      </c>
      <c r="U54" s="142">
        <f t="shared" si="38"/>
        <v>0</v>
      </c>
      <c r="V54" s="142">
        <f t="shared" si="38"/>
        <v>0</v>
      </c>
      <c r="W54" s="142">
        <f t="shared" si="38"/>
        <v>0</v>
      </c>
      <c r="X54" s="142">
        <f t="shared" si="38"/>
        <v>0</v>
      </c>
      <c r="Y54" s="142">
        <f t="shared" si="38"/>
        <v>0</v>
      </c>
      <c r="Z54" s="142">
        <f t="shared" si="38"/>
        <v>0</v>
      </c>
      <c r="AA54" s="142">
        <f t="shared" si="38"/>
        <v>0</v>
      </c>
      <c r="AB54" s="142">
        <f t="shared" si="38"/>
        <v>0</v>
      </c>
      <c r="AC54" s="142">
        <f t="shared" si="38"/>
        <v>0</v>
      </c>
      <c r="AD54" s="142">
        <f t="shared" si="38"/>
        <v>0</v>
      </c>
      <c r="AE54" s="142">
        <f t="shared" si="38"/>
        <v>0</v>
      </c>
      <c r="AF54" s="142">
        <f t="shared" si="38"/>
        <v>0</v>
      </c>
      <c r="AG54" s="142">
        <f t="shared" si="38"/>
        <v>0</v>
      </c>
      <c r="AH54" s="142">
        <f t="shared" si="38"/>
        <v>0</v>
      </c>
      <c r="AI54" s="142">
        <f t="shared" si="38"/>
        <v>0</v>
      </c>
      <c r="AJ54" s="142">
        <f t="shared" si="38"/>
        <v>0</v>
      </c>
      <c r="AK54" s="142">
        <f t="shared" si="38"/>
        <v>0</v>
      </c>
      <c r="AL54" s="142">
        <f t="shared" si="38"/>
        <v>0</v>
      </c>
      <c r="AM54" s="142">
        <f t="shared" si="38"/>
        <v>0</v>
      </c>
      <c r="AN54" s="142">
        <f t="shared" si="38"/>
        <v>0</v>
      </c>
      <c r="AO54" s="142">
        <f t="shared" si="38"/>
        <v>0</v>
      </c>
      <c r="AP54" s="142">
        <f t="shared" si="38"/>
        <v>0</v>
      </c>
      <c r="AQ54" s="142">
        <f t="shared" si="38"/>
        <v>0</v>
      </c>
      <c r="AR54" s="142">
        <f t="shared" si="38"/>
        <v>0</v>
      </c>
      <c r="AS54" s="142">
        <f t="shared" si="38"/>
        <v>0</v>
      </c>
      <c r="AT54" s="142">
        <f t="shared" si="38"/>
        <v>0</v>
      </c>
      <c r="AU54" s="142">
        <f t="shared" si="38"/>
        <v>0</v>
      </c>
      <c r="AV54" s="142">
        <f t="shared" si="38"/>
        <v>0</v>
      </c>
      <c r="AW54" s="142">
        <f t="shared" si="38"/>
        <v>0</v>
      </c>
      <c r="AX54" s="142">
        <f t="shared" si="38"/>
        <v>0</v>
      </c>
      <c r="AY54" s="142">
        <f t="shared" si="38"/>
        <v>0</v>
      </c>
      <c r="AZ54" s="142">
        <f t="shared" si="38"/>
        <v>0</v>
      </c>
      <c r="BA54" s="142">
        <f t="shared" si="38"/>
        <v>0</v>
      </c>
      <c r="BB54" s="142">
        <f t="shared" si="38"/>
        <v>0</v>
      </c>
      <c r="BC54" s="142">
        <f t="shared" si="38"/>
        <v>0</v>
      </c>
      <c r="BD54" s="142">
        <f t="shared" si="38"/>
        <v>0</v>
      </c>
      <c r="BE54" s="142">
        <f t="shared" si="38"/>
        <v>0</v>
      </c>
      <c r="BF54" s="142">
        <f t="shared" si="38"/>
        <v>0</v>
      </c>
      <c r="BG54" s="142">
        <f t="shared" si="38"/>
        <v>0</v>
      </c>
      <c r="BH54" s="142">
        <f t="shared" si="38"/>
        <v>0</v>
      </c>
      <c r="BI54" s="142">
        <f t="shared" si="38"/>
        <v>0</v>
      </c>
      <c r="BJ54" s="142">
        <f t="shared" si="38"/>
        <v>0</v>
      </c>
      <c r="BK54" s="142">
        <f t="shared" si="38"/>
        <v>0</v>
      </c>
    </row>
    <row r="55">
      <c r="A55" s="79"/>
      <c r="B55" s="191"/>
      <c r="C55" s="192"/>
      <c r="D55" s="189"/>
      <c r="E55" s="190">
        <v>0.005</v>
      </c>
      <c r="F55" s="144">
        <v>0.0</v>
      </c>
      <c r="G55" s="142">
        <f t="shared" ref="G55:BK55" si="39">F55+F55*$E55</f>
        <v>0</v>
      </c>
      <c r="H55" s="142">
        <f t="shared" si="39"/>
        <v>0</v>
      </c>
      <c r="I55" s="142">
        <f t="shared" si="39"/>
        <v>0</v>
      </c>
      <c r="J55" s="142">
        <f t="shared" si="39"/>
        <v>0</v>
      </c>
      <c r="K55" s="142">
        <f t="shared" si="39"/>
        <v>0</v>
      </c>
      <c r="L55" s="142">
        <f t="shared" si="39"/>
        <v>0</v>
      </c>
      <c r="M55" s="142">
        <f t="shared" si="39"/>
        <v>0</v>
      </c>
      <c r="N55" s="142">
        <f t="shared" si="39"/>
        <v>0</v>
      </c>
      <c r="O55" s="142">
        <f t="shared" si="39"/>
        <v>0</v>
      </c>
      <c r="P55" s="142">
        <f t="shared" si="39"/>
        <v>0</v>
      </c>
      <c r="Q55" s="142">
        <f t="shared" si="39"/>
        <v>0</v>
      </c>
      <c r="R55" s="142">
        <f t="shared" si="39"/>
        <v>0</v>
      </c>
      <c r="S55" s="142">
        <f t="shared" si="39"/>
        <v>0</v>
      </c>
      <c r="T55" s="142">
        <f t="shared" si="39"/>
        <v>0</v>
      </c>
      <c r="U55" s="142">
        <f t="shared" si="39"/>
        <v>0</v>
      </c>
      <c r="V55" s="142">
        <f t="shared" si="39"/>
        <v>0</v>
      </c>
      <c r="W55" s="142">
        <f t="shared" si="39"/>
        <v>0</v>
      </c>
      <c r="X55" s="142">
        <f t="shared" si="39"/>
        <v>0</v>
      </c>
      <c r="Y55" s="142">
        <f t="shared" si="39"/>
        <v>0</v>
      </c>
      <c r="Z55" s="142">
        <f t="shared" si="39"/>
        <v>0</v>
      </c>
      <c r="AA55" s="142">
        <f t="shared" si="39"/>
        <v>0</v>
      </c>
      <c r="AB55" s="142">
        <f t="shared" si="39"/>
        <v>0</v>
      </c>
      <c r="AC55" s="142">
        <f t="shared" si="39"/>
        <v>0</v>
      </c>
      <c r="AD55" s="142">
        <f t="shared" si="39"/>
        <v>0</v>
      </c>
      <c r="AE55" s="142">
        <f t="shared" si="39"/>
        <v>0</v>
      </c>
      <c r="AF55" s="142">
        <f t="shared" si="39"/>
        <v>0</v>
      </c>
      <c r="AG55" s="142">
        <f t="shared" si="39"/>
        <v>0</v>
      </c>
      <c r="AH55" s="142">
        <f t="shared" si="39"/>
        <v>0</v>
      </c>
      <c r="AI55" s="142">
        <f t="shared" si="39"/>
        <v>0</v>
      </c>
      <c r="AJ55" s="142">
        <f t="shared" si="39"/>
        <v>0</v>
      </c>
      <c r="AK55" s="142">
        <f t="shared" si="39"/>
        <v>0</v>
      </c>
      <c r="AL55" s="142">
        <f t="shared" si="39"/>
        <v>0</v>
      </c>
      <c r="AM55" s="142">
        <f t="shared" si="39"/>
        <v>0</v>
      </c>
      <c r="AN55" s="142">
        <f t="shared" si="39"/>
        <v>0</v>
      </c>
      <c r="AO55" s="142">
        <f t="shared" si="39"/>
        <v>0</v>
      </c>
      <c r="AP55" s="142">
        <f t="shared" si="39"/>
        <v>0</v>
      </c>
      <c r="AQ55" s="142">
        <f t="shared" si="39"/>
        <v>0</v>
      </c>
      <c r="AR55" s="142">
        <f t="shared" si="39"/>
        <v>0</v>
      </c>
      <c r="AS55" s="142">
        <f t="shared" si="39"/>
        <v>0</v>
      </c>
      <c r="AT55" s="142">
        <f t="shared" si="39"/>
        <v>0</v>
      </c>
      <c r="AU55" s="142">
        <f t="shared" si="39"/>
        <v>0</v>
      </c>
      <c r="AV55" s="142">
        <f t="shared" si="39"/>
        <v>0</v>
      </c>
      <c r="AW55" s="142">
        <f t="shared" si="39"/>
        <v>0</v>
      </c>
      <c r="AX55" s="142">
        <f t="shared" si="39"/>
        <v>0</v>
      </c>
      <c r="AY55" s="142">
        <f t="shared" si="39"/>
        <v>0</v>
      </c>
      <c r="AZ55" s="142">
        <f t="shared" si="39"/>
        <v>0</v>
      </c>
      <c r="BA55" s="142">
        <f t="shared" si="39"/>
        <v>0</v>
      </c>
      <c r="BB55" s="142">
        <f t="shared" si="39"/>
        <v>0</v>
      </c>
      <c r="BC55" s="142">
        <f t="shared" si="39"/>
        <v>0</v>
      </c>
      <c r="BD55" s="142">
        <f t="shared" si="39"/>
        <v>0</v>
      </c>
      <c r="BE55" s="142">
        <f t="shared" si="39"/>
        <v>0</v>
      </c>
      <c r="BF55" s="142">
        <f t="shared" si="39"/>
        <v>0</v>
      </c>
      <c r="BG55" s="142">
        <f t="shared" si="39"/>
        <v>0</v>
      </c>
      <c r="BH55" s="142">
        <f t="shared" si="39"/>
        <v>0</v>
      </c>
      <c r="BI55" s="142">
        <f t="shared" si="39"/>
        <v>0</v>
      </c>
      <c r="BJ55" s="142">
        <f t="shared" si="39"/>
        <v>0</v>
      </c>
      <c r="BK55" s="142">
        <f t="shared" si="39"/>
        <v>0</v>
      </c>
    </row>
    <row r="56">
      <c r="A56" s="79"/>
      <c r="B56" s="191"/>
      <c r="C56" s="188"/>
      <c r="D56" s="189"/>
      <c r="E56" s="190">
        <v>0.005</v>
      </c>
      <c r="F56" s="144">
        <v>0.0</v>
      </c>
      <c r="G56" s="142">
        <f t="shared" ref="G56:BK56" si="40">F56+F56*$E56</f>
        <v>0</v>
      </c>
      <c r="H56" s="142">
        <f t="shared" si="40"/>
        <v>0</v>
      </c>
      <c r="I56" s="142">
        <f t="shared" si="40"/>
        <v>0</v>
      </c>
      <c r="J56" s="142">
        <f t="shared" si="40"/>
        <v>0</v>
      </c>
      <c r="K56" s="142">
        <f t="shared" si="40"/>
        <v>0</v>
      </c>
      <c r="L56" s="142">
        <f t="shared" si="40"/>
        <v>0</v>
      </c>
      <c r="M56" s="142">
        <f t="shared" si="40"/>
        <v>0</v>
      </c>
      <c r="N56" s="142">
        <f t="shared" si="40"/>
        <v>0</v>
      </c>
      <c r="O56" s="142">
        <f t="shared" si="40"/>
        <v>0</v>
      </c>
      <c r="P56" s="142">
        <f t="shared" si="40"/>
        <v>0</v>
      </c>
      <c r="Q56" s="142">
        <f t="shared" si="40"/>
        <v>0</v>
      </c>
      <c r="R56" s="142">
        <f t="shared" si="40"/>
        <v>0</v>
      </c>
      <c r="S56" s="142">
        <f t="shared" si="40"/>
        <v>0</v>
      </c>
      <c r="T56" s="142">
        <f t="shared" si="40"/>
        <v>0</v>
      </c>
      <c r="U56" s="142">
        <f t="shared" si="40"/>
        <v>0</v>
      </c>
      <c r="V56" s="142">
        <f t="shared" si="40"/>
        <v>0</v>
      </c>
      <c r="W56" s="142">
        <f t="shared" si="40"/>
        <v>0</v>
      </c>
      <c r="X56" s="142">
        <f t="shared" si="40"/>
        <v>0</v>
      </c>
      <c r="Y56" s="142">
        <f t="shared" si="40"/>
        <v>0</v>
      </c>
      <c r="Z56" s="142">
        <f t="shared" si="40"/>
        <v>0</v>
      </c>
      <c r="AA56" s="142">
        <f t="shared" si="40"/>
        <v>0</v>
      </c>
      <c r="AB56" s="142">
        <f t="shared" si="40"/>
        <v>0</v>
      </c>
      <c r="AC56" s="142">
        <f t="shared" si="40"/>
        <v>0</v>
      </c>
      <c r="AD56" s="142">
        <f t="shared" si="40"/>
        <v>0</v>
      </c>
      <c r="AE56" s="142">
        <f t="shared" si="40"/>
        <v>0</v>
      </c>
      <c r="AF56" s="142">
        <f t="shared" si="40"/>
        <v>0</v>
      </c>
      <c r="AG56" s="142">
        <f t="shared" si="40"/>
        <v>0</v>
      </c>
      <c r="AH56" s="142">
        <f t="shared" si="40"/>
        <v>0</v>
      </c>
      <c r="AI56" s="142">
        <f t="shared" si="40"/>
        <v>0</v>
      </c>
      <c r="AJ56" s="142">
        <f t="shared" si="40"/>
        <v>0</v>
      </c>
      <c r="AK56" s="142">
        <f t="shared" si="40"/>
        <v>0</v>
      </c>
      <c r="AL56" s="142">
        <f t="shared" si="40"/>
        <v>0</v>
      </c>
      <c r="AM56" s="142">
        <f t="shared" si="40"/>
        <v>0</v>
      </c>
      <c r="AN56" s="142">
        <f t="shared" si="40"/>
        <v>0</v>
      </c>
      <c r="AO56" s="142">
        <f t="shared" si="40"/>
        <v>0</v>
      </c>
      <c r="AP56" s="142">
        <f t="shared" si="40"/>
        <v>0</v>
      </c>
      <c r="AQ56" s="142">
        <f t="shared" si="40"/>
        <v>0</v>
      </c>
      <c r="AR56" s="142">
        <f t="shared" si="40"/>
        <v>0</v>
      </c>
      <c r="AS56" s="142">
        <f t="shared" si="40"/>
        <v>0</v>
      </c>
      <c r="AT56" s="142">
        <f t="shared" si="40"/>
        <v>0</v>
      </c>
      <c r="AU56" s="142">
        <f t="shared" si="40"/>
        <v>0</v>
      </c>
      <c r="AV56" s="142">
        <f t="shared" si="40"/>
        <v>0</v>
      </c>
      <c r="AW56" s="142">
        <f t="shared" si="40"/>
        <v>0</v>
      </c>
      <c r="AX56" s="142">
        <f t="shared" si="40"/>
        <v>0</v>
      </c>
      <c r="AY56" s="142">
        <f t="shared" si="40"/>
        <v>0</v>
      </c>
      <c r="AZ56" s="142">
        <f t="shared" si="40"/>
        <v>0</v>
      </c>
      <c r="BA56" s="142">
        <f t="shared" si="40"/>
        <v>0</v>
      </c>
      <c r="BB56" s="142">
        <f t="shared" si="40"/>
        <v>0</v>
      </c>
      <c r="BC56" s="142">
        <f t="shared" si="40"/>
        <v>0</v>
      </c>
      <c r="BD56" s="142">
        <f t="shared" si="40"/>
        <v>0</v>
      </c>
      <c r="BE56" s="142">
        <f t="shared" si="40"/>
        <v>0</v>
      </c>
      <c r="BF56" s="142">
        <f t="shared" si="40"/>
        <v>0</v>
      </c>
      <c r="BG56" s="142">
        <f t="shared" si="40"/>
        <v>0</v>
      </c>
      <c r="BH56" s="142">
        <f t="shared" si="40"/>
        <v>0</v>
      </c>
      <c r="BI56" s="142">
        <f t="shared" si="40"/>
        <v>0</v>
      </c>
      <c r="BJ56" s="142">
        <f t="shared" si="40"/>
        <v>0</v>
      </c>
      <c r="BK56" s="142">
        <f t="shared" si="40"/>
        <v>0</v>
      </c>
    </row>
    <row r="57">
      <c r="A57" s="79"/>
      <c r="B57" s="191"/>
      <c r="C57" s="193"/>
      <c r="D57" s="194"/>
      <c r="E57" s="190">
        <v>0.005</v>
      </c>
      <c r="F57" s="144">
        <v>0.0</v>
      </c>
      <c r="G57" s="142">
        <f t="shared" ref="G57:BK57" si="41">F57+F57*$E57</f>
        <v>0</v>
      </c>
      <c r="H57" s="142">
        <f t="shared" si="41"/>
        <v>0</v>
      </c>
      <c r="I57" s="142">
        <f t="shared" si="41"/>
        <v>0</v>
      </c>
      <c r="J57" s="142">
        <f t="shared" si="41"/>
        <v>0</v>
      </c>
      <c r="K57" s="142">
        <f t="shared" si="41"/>
        <v>0</v>
      </c>
      <c r="L57" s="142">
        <f t="shared" si="41"/>
        <v>0</v>
      </c>
      <c r="M57" s="142">
        <f t="shared" si="41"/>
        <v>0</v>
      </c>
      <c r="N57" s="142">
        <f t="shared" si="41"/>
        <v>0</v>
      </c>
      <c r="O57" s="142">
        <f t="shared" si="41"/>
        <v>0</v>
      </c>
      <c r="P57" s="142">
        <f t="shared" si="41"/>
        <v>0</v>
      </c>
      <c r="Q57" s="142">
        <f t="shared" si="41"/>
        <v>0</v>
      </c>
      <c r="R57" s="142">
        <f t="shared" si="41"/>
        <v>0</v>
      </c>
      <c r="S57" s="142">
        <f t="shared" si="41"/>
        <v>0</v>
      </c>
      <c r="T57" s="142">
        <f t="shared" si="41"/>
        <v>0</v>
      </c>
      <c r="U57" s="142">
        <f t="shared" si="41"/>
        <v>0</v>
      </c>
      <c r="V57" s="142">
        <f t="shared" si="41"/>
        <v>0</v>
      </c>
      <c r="W57" s="142">
        <f t="shared" si="41"/>
        <v>0</v>
      </c>
      <c r="X57" s="142">
        <f t="shared" si="41"/>
        <v>0</v>
      </c>
      <c r="Y57" s="142">
        <f t="shared" si="41"/>
        <v>0</v>
      </c>
      <c r="Z57" s="142">
        <f t="shared" si="41"/>
        <v>0</v>
      </c>
      <c r="AA57" s="142">
        <f t="shared" si="41"/>
        <v>0</v>
      </c>
      <c r="AB57" s="142">
        <f t="shared" si="41"/>
        <v>0</v>
      </c>
      <c r="AC57" s="142">
        <f t="shared" si="41"/>
        <v>0</v>
      </c>
      <c r="AD57" s="142">
        <f t="shared" si="41"/>
        <v>0</v>
      </c>
      <c r="AE57" s="142">
        <f t="shared" si="41"/>
        <v>0</v>
      </c>
      <c r="AF57" s="142">
        <f t="shared" si="41"/>
        <v>0</v>
      </c>
      <c r="AG57" s="142">
        <f t="shared" si="41"/>
        <v>0</v>
      </c>
      <c r="AH57" s="142">
        <f t="shared" si="41"/>
        <v>0</v>
      </c>
      <c r="AI57" s="142">
        <f t="shared" si="41"/>
        <v>0</v>
      </c>
      <c r="AJ57" s="142">
        <f t="shared" si="41"/>
        <v>0</v>
      </c>
      <c r="AK57" s="142">
        <f t="shared" si="41"/>
        <v>0</v>
      </c>
      <c r="AL57" s="142">
        <f t="shared" si="41"/>
        <v>0</v>
      </c>
      <c r="AM57" s="142">
        <f t="shared" si="41"/>
        <v>0</v>
      </c>
      <c r="AN57" s="142">
        <f t="shared" si="41"/>
        <v>0</v>
      </c>
      <c r="AO57" s="142">
        <f t="shared" si="41"/>
        <v>0</v>
      </c>
      <c r="AP57" s="142">
        <f t="shared" si="41"/>
        <v>0</v>
      </c>
      <c r="AQ57" s="142">
        <f t="shared" si="41"/>
        <v>0</v>
      </c>
      <c r="AR57" s="142">
        <f t="shared" si="41"/>
        <v>0</v>
      </c>
      <c r="AS57" s="142">
        <f t="shared" si="41"/>
        <v>0</v>
      </c>
      <c r="AT57" s="142">
        <f t="shared" si="41"/>
        <v>0</v>
      </c>
      <c r="AU57" s="142">
        <f t="shared" si="41"/>
        <v>0</v>
      </c>
      <c r="AV57" s="142">
        <f t="shared" si="41"/>
        <v>0</v>
      </c>
      <c r="AW57" s="142">
        <f t="shared" si="41"/>
        <v>0</v>
      </c>
      <c r="AX57" s="142">
        <f t="shared" si="41"/>
        <v>0</v>
      </c>
      <c r="AY57" s="142">
        <f t="shared" si="41"/>
        <v>0</v>
      </c>
      <c r="AZ57" s="142">
        <f t="shared" si="41"/>
        <v>0</v>
      </c>
      <c r="BA57" s="142">
        <f t="shared" si="41"/>
        <v>0</v>
      </c>
      <c r="BB57" s="142">
        <f t="shared" si="41"/>
        <v>0</v>
      </c>
      <c r="BC57" s="142">
        <f t="shared" si="41"/>
        <v>0</v>
      </c>
      <c r="BD57" s="142">
        <f t="shared" si="41"/>
        <v>0</v>
      </c>
      <c r="BE57" s="142">
        <f t="shared" si="41"/>
        <v>0</v>
      </c>
      <c r="BF57" s="142">
        <f t="shared" si="41"/>
        <v>0</v>
      </c>
      <c r="BG57" s="142">
        <f t="shared" si="41"/>
        <v>0</v>
      </c>
      <c r="BH57" s="142">
        <f t="shared" si="41"/>
        <v>0</v>
      </c>
      <c r="BI57" s="142">
        <f t="shared" si="41"/>
        <v>0</v>
      </c>
      <c r="BJ57" s="142">
        <f t="shared" si="41"/>
        <v>0</v>
      </c>
      <c r="BK57" s="142">
        <f t="shared" si="41"/>
        <v>0</v>
      </c>
    </row>
    <row r="58">
      <c r="A58" s="79"/>
      <c r="B58" s="191"/>
      <c r="C58" s="195" t="s">
        <v>110</v>
      </c>
      <c r="D58" s="159"/>
      <c r="E58" s="196"/>
      <c r="F58" s="135">
        <v>150.0</v>
      </c>
      <c r="G58" s="135">
        <f t="shared" ref="G58:BK58" si="42">F58</f>
        <v>150</v>
      </c>
      <c r="H58" s="135">
        <f t="shared" si="42"/>
        <v>150</v>
      </c>
      <c r="I58" s="135">
        <f t="shared" si="42"/>
        <v>150</v>
      </c>
      <c r="J58" s="135">
        <f t="shared" si="42"/>
        <v>150</v>
      </c>
      <c r="K58" s="135">
        <f t="shared" si="42"/>
        <v>150</v>
      </c>
      <c r="L58" s="135">
        <f t="shared" si="42"/>
        <v>150</v>
      </c>
      <c r="M58" s="135">
        <f t="shared" si="42"/>
        <v>150</v>
      </c>
      <c r="N58" s="135">
        <f t="shared" si="42"/>
        <v>150</v>
      </c>
      <c r="O58" s="135">
        <f t="shared" si="42"/>
        <v>150</v>
      </c>
      <c r="P58" s="135">
        <f t="shared" si="42"/>
        <v>150</v>
      </c>
      <c r="Q58" s="135">
        <f t="shared" si="42"/>
        <v>150</v>
      </c>
      <c r="R58" s="135">
        <f t="shared" si="42"/>
        <v>150</v>
      </c>
      <c r="S58" s="135">
        <f t="shared" si="42"/>
        <v>150</v>
      </c>
      <c r="T58" s="135">
        <f t="shared" si="42"/>
        <v>150</v>
      </c>
      <c r="U58" s="135">
        <f t="shared" si="42"/>
        <v>150</v>
      </c>
      <c r="V58" s="135">
        <f t="shared" si="42"/>
        <v>150</v>
      </c>
      <c r="W58" s="135">
        <f t="shared" si="42"/>
        <v>150</v>
      </c>
      <c r="X58" s="135">
        <f t="shared" si="42"/>
        <v>150</v>
      </c>
      <c r="Y58" s="135">
        <f t="shared" si="42"/>
        <v>150</v>
      </c>
      <c r="Z58" s="135">
        <f t="shared" si="42"/>
        <v>150</v>
      </c>
      <c r="AA58" s="135">
        <f t="shared" si="42"/>
        <v>150</v>
      </c>
      <c r="AB58" s="135">
        <f t="shared" si="42"/>
        <v>150</v>
      </c>
      <c r="AC58" s="135">
        <f t="shared" si="42"/>
        <v>150</v>
      </c>
      <c r="AD58" s="135">
        <f t="shared" si="42"/>
        <v>150</v>
      </c>
      <c r="AE58" s="135">
        <f t="shared" si="42"/>
        <v>150</v>
      </c>
      <c r="AF58" s="135">
        <f t="shared" si="42"/>
        <v>150</v>
      </c>
      <c r="AG58" s="135">
        <f t="shared" si="42"/>
        <v>150</v>
      </c>
      <c r="AH58" s="135">
        <f t="shared" si="42"/>
        <v>150</v>
      </c>
      <c r="AI58" s="135">
        <f t="shared" si="42"/>
        <v>150</v>
      </c>
      <c r="AJ58" s="135">
        <f t="shared" si="42"/>
        <v>150</v>
      </c>
      <c r="AK58" s="135">
        <f t="shared" si="42"/>
        <v>150</v>
      </c>
      <c r="AL58" s="135">
        <f t="shared" si="42"/>
        <v>150</v>
      </c>
      <c r="AM58" s="135">
        <f t="shared" si="42"/>
        <v>150</v>
      </c>
      <c r="AN58" s="135">
        <f t="shared" si="42"/>
        <v>150</v>
      </c>
      <c r="AO58" s="135">
        <f t="shared" si="42"/>
        <v>150</v>
      </c>
      <c r="AP58" s="135">
        <f t="shared" si="42"/>
        <v>150</v>
      </c>
      <c r="AQ58" s="135">
        <f t="shared" si="42"/>
        <v>150</v>
      </c>
      <c r="AR58" s="135">
        <f t="shared" si="42"/>
        <v>150</v>
      </c>
      <c r="AS58" s="135">
        <f t="shared" si="42"/>
        <v>150</v>
      </c>
      <c r="AT58" s="135">
        <f t="shared" si="42"/>
        <v>150</v>
      </c>
      <c r="AU58" s="135">
        <f t="shared" si="42"/>
        <v>150</v>
      </c>
      <c r="AV58" s="135">
        <f t="shared" si="42"/>
        <v>150</v>
      </c>
      <c r="AW58" s="135">
        <f t="shared" si="42"/>
        <v>150</v>
      </c>
      <c r="AX58" s="135">
        <f t="shared" si="42"/>
        <v>150</v>
      </c>
      <c r="AY58" s="135">
        <f t="shared" si="42"/>
        <v>150</v>
      </c>
      <c r="AZ58" s="135">
        <f t="shared" si="42"/>
        <v>150</v>
      </c>
      <c r="BA58" s="135">
        <f t="shared" si="42"/>
        <v>150</v>
      </c>
      <c r="BB58" s="135">
        <f t="shared" si="42"/>
        <v>150</v>
      </c>
      <c r="BC58" s="135">
        <f t="shared" si="42"/>
        <v>150</v>
      </c>
      <c r="BD58" s="135">
        <f t="shared" si="42"/>
        <v>150</v>
      </c>
      <c r="BE58" s="135">
        <f t="shared" si="42"/>
        <v>150</v>
      </c>
      <c r="BF58" s="135">
        <f t="shared" si="42"/>
        <v>150</v>
      </c>
      <c r="BG58" s="135">
        <f t="shared" si="42"/>
        <v>150</v>
      </c>
      <c r="BH58" s="135">
        <f t="shared" si="42"/>
        <v>150</v>
      </c>
      <c r="BI58" s="135">
        <f t="shared" si="42"/>
        <v>150</v>
      </c>
      <c r="BJ58" s="135">
        <f t="shared" si="42"/>
        <v>150</v>
      </c>
      <c r="BK58" s="135">
        <f t="shared" si="42"/>
        <v>150</v>
      </c>
    </row>
    <row r="59">
      <c r="A59" s="79"/>
      <c r="B59" s="197"/>
      <c r="C59" s="198" t="s">
        <v>111</v>
      </c>
      <c r="D59" s="199"/>
      <c r="E59" s="200"/>
      <c r="F59" s="201">
        <f t="shared" ref="F59:BK59" si="43">SUM(F44:F58)</f>
        <v>398</v>
      </c>
      <c r="G59" s="202">
        <f t="shared" si="43"/>
        <v>399.24</v>
      </c>
      <c r="H59" s="202">
        <f t="shared" si="43"/>
        <v>400.4862</v>
      </c>
      <c r="I59" s="202">
        <f t="shared" si="43"/>
        <v>401.738631</v>
      </c>
      <c r="J59" s="202">
        <f t="shared" si="43"/>
        <v>402.9973242</v>
      </c>
      <c r="K59" s="202">
        <f t="shared" si="43"/>
        <v>404.2623108</v>
      </c>
      <c r="L59" s="202">
        <f t="shared" si="43"/>
        <v>405.5336223</v>
      </c>
      <c r="M59" s="202">
        <f t="shared" si="43"/>
        <v>406.8112904</v>
      </c>
      <c r="N59" s="202">
        <f t="shared" si="43"/>
        <v>408.0953469</v>
      </c>
      <c r="O59" s="202">
        <f t="shared" si="43"/>
        <v>409.3858236</v>
      </c>
      <c r="P59" s="202">
        <f t="shared" si="43"/>
        <v>410.6827527</v>
      </c>
      <c r="Q59" s="202">
        <f t="shared" si="43"/>
        <v>411.9861665</v>
      </c>
      <c r="R59" s="202">
        <f t="shared" si="43"/>
        <v>413.2960973</v>
      </c>
      <c r="S59" s="202">
        <f t="shared" si="43"/>
        <v>414.6125778</v>
      </c>
      <c r="T59" s="202">
        <f t="shared" si="43"/>
        <v>415.9356407</v>
      </c>
      <c r="U59" s="202">
        <f t="shared" si="43"/>
        <v>417.2653189</v>
      </c>
      <c r="V59" s="202">
        <f t="shared" si="43"/>
        <v>418.6016455</v>
      </c>
      <c r="W59" s="202">
        <f t="shared" si="43"/>
        <v>419.9446537</v>
      </c>
      <c r="X59" s="202">
        <f t="shared" si="43"/>
        <v>421.294377</v>
      </c>
      <c r="Y59" s="202">
        <f t="shared" si="43"/>
        <v>422.6508489</v>
      </c>
      <c r="Z59" s="202">
        <f t="shared" si="43"/>
        <v>424.0141031</v>
      </c>
      <c r="AA59" s="202">
        <f t="shared" si="43"/>
        <v>425.3841737</v>
      </c>
      <c r="AB59" s="202">
        <f t="shared" si="43"/>
        <v>426.7610945</v>
      </c>
      <c r="AC59" s="202">
        <f t="shared" si="43"/>
        <v>428.1449</v>
      </c>
      <c r="AD59" s="202">
        <f t="shared" si="43"/>
        <v>429.5356245</v>
      </c>
      <c r="AE59" s="202">
        <f t="shared" si="43"/>
        <v>430.9333026</v>
      </c>
      <c r="AF59" s="202">
        <f t="shared" si="43"/>
        <v>432.3379691</v>
      </c>
      <c r="AG59" s="202">
        <f t="shared" si="43"/>
        <v>433.749659</v>
      </c>
      <c r="AH59" s="202">
        <f t="shared" si="43"/>
        <v>435.1684073</v>
      </c>
      <c r="AI59" s="202">
        <f t="shared" si="43"/>
        <v>436.5942493</v>
      </c>
      <c r="AJ59" s="202">
        <f t="shared" si="43"/>
        <v>438.0272206</v>
      </c>
      <c r="AK59" s="202">
        <f t="shared" si="43"/>
        <v>439.4673567</v>
      </c>
      <c r="AL59" s="202">
        <f t="shared" si="43"/>
        <v>440.9146934</v>
      </c>
      <c r="AM59" s="202">
        <f t="shared" si="43"/>
        <v>442.3692669</v>
      </c>
      <c r="AN59" s="202">
        <f t="shared" si="43"/>
        <v>443.8311132</v>
      </c>
      <c r="AO59" s="202">
        <f t="shared" si="43"/>
        <v>445.3002688</v>
      </c>
      <c r="AP59" s="202">
        <f t="shared" si="43"/>
        <v>446.7767702</v>
      </c>
      <c r="AQ59" s="202">
        <f t="shared" si="43"/>
        <v>448.260654</v>
      </c>
      <c r="AR59" s="202">
        <f t="shared" si="43"/>
        <v>449.7519573</v>
      </c>
      <c r="AS59" s="202">
        <f t="shared" si="43"/>
        <v>451.2507171</v>
      </c>
      <c r="AT59" s="202">
        <f t="shared" si="43"/>
        <v>452.7569706</v>
      </c>
      <c r="AU59" s="202">
        <f t="shared" si="43"/>
        <v>454.2707555</v>
      </c>
      <c r="AV59" s="202">
        <f t="shared" si="43"/>
        <v>455.7921093</v>
      </c>
      <c r="AW59" s="202">
        <f t="shared" si="43"/>
        <v>457.3210698</v>
      </c>
      <c r="AX59" s="202">
        <f t="shared" si="43"/>
        <v>458.8576752</v>
      </c>
      <c r="AY59" s="202">
        <f t="shared" si="43"/>
        <v>460.4019636</v>
      </c>
      <c r="AZ59" s="202">
        <f t="shared" si="43"/>
        <v>461.9539734</v>
      </c>
      <c r="BA59" s="202">
        <f t="shared" si="43"/>
        <v>463.5137432</v>
      </c>
      <c r="BB59" s="202">
        <f t="shared" si="43"/>
        <v>465.081312</v>
      </c>
      <c r="BC59" s="202">
        <f t="shared" si="43"/>
        <v>466.6567185</v>
      </c>
      <c r="BD59" s="202">
        <f t="shared" si="43"/>
        <v>468.2400021</v>
      </c>
      <c r="BE59" s="202">
        <f t="shared" si="43"/>
        <v>469.8312021</v>
      </c>
      <c r="BF59" s="202">
        <f t="shared" si="43"/>
        <v>471.4303581</v>
      </c>
      <c r="BG59" s="202">
        <f t="shared" si="43"/>
        <v>473.0375099</v>
      </c>
      <c r="BH59" s="202">
        <f t="shared" si="43"/>
        <v>474.6526975</v>
      </c>
      <c r="BI59" s="202">
        <f t="shared" si="43"/>
        <v>476.275961</v>
      </c>
      <c r="BJ59" s="202">
        <f t="shared" si="43"/>
        <v>477.9073408</v>
      </c>
      <c r="BK59" s="203">
        <f t="shared" si="43"/>
        <v>479.5468775</v>
      </c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</row>
    <row r="63">
      <c r="A63" s="78"/>
      <c r="B63" s="204" t="s">
        <v>112</v>
      </c>
      <c r="C63" s="205"/>
      <c r="D63" s="205"/>
      <c r="E63" s="159"/>
      <c r="F63" s="169">
        <f t="shared" ref="F63:BK63" si="44">F27-(F43+F59)</f>
        <v>-7</v>
      </c>
      <c r="G63" s="206">
        <f t="shared" si="44"/>
        <v>2.26</v>
      </c>
      <c r="H63" s="206">
        <f t="shared" si="44"/>
        <v>11.6713</v>
      </c>
      <c r="I63" s="206">
        <f t="shared" si="44"/>
        <v>21.2362315</v>
      </c>
      <c r="J63" s="206">
        <f t="shared" si="44"/>
        <v>30.95716128</v>
      </c>
      <c r="K63" s="206">
        <f t="shared" si="44"/>
        <v>40.83649194</v>
      </c>
      <c r="L63" s="206">
        <f t="shared" si="44"/>
        <v>50.87666243</v>
      </c>
      <c r="M63" s="206">
        <f t="shared" si="44"/>
        <v>61.08014859</v>
      </c>
      <c r="N63" s="206">
        <f t="shared" si="44"/>
        <v>71.44946372</v>
      </c>
      <c r="O63" s="206">
        <f t="shared" si="44"/>
        <v>81.98715915</v>
      </c>
      <c r="P63" s="206">
        <f t="shared" si="44"/>
        <v>92.69582477</v>
      </c>
      <c r="Q63" s="206">
        <f t="shared" si="44"/>
        <v>103.5780897</v>
      </c>
      <c r="R63" s="206">
        <f t="shared" si="44"/>
        <v>114.6366227</v>
      </c>
      <c r="S63" s="206">
        <f t="shared" si="44"/>
        <v>125.874133</v>
      </c>
      <c r="T63" s="206">
        <f t="shared" si="44"/>
        <v>137.2933708</v>
      </c>
      <c r="U63" s="206">
        <f t="shared" si="44"/>
        <v>148.8971277</v>
      </c>
      <c r="V63" s="206">
        <f t="shared" si="44"/>
        <v>126.195464</v>
      </c>
      <c r="W63" s="206">
        <f t="shared" si="44"/>
        <v>128.6594124</v>
      </c>
      <c r="X63" s="206">
        <f t="shared" si="44"/>
        <v>131.1737502</v>
      </c>
      <c r="Y63" s="206">
        <f t="shared" si="44"/>
        <v>133.7393002</v>
      </c>
      <c r="Z63" s="206">
        <f t="shared" si="44"/>
        <v>136.3568982</v>
      </c>
      <c r="AA63" s="206">
        <f t="shared" si="44"/>
        <v>-100.9726073</v>
      </c>
      <c r="AB63" s="206">
        <f t="shared" si="44"/>
        <v>-98.2483547</v>
      </c>
      <c r="AC63" s="206">
        <f t="shared" si="44"/>
        <v>-95.46946908</v>
      </c>
      <c r="AD63" s="206">
        <f t="shared" si="44"/>
        <v>-92.63506211</v>
      </c>
      <c r="AE63" s="206">
        <f t="shared" si="44"/>
        <v>275.2557682</v>
      </c>
      <c r="AF63" s="206">
        <f t="shared" si="44"/>
        <v>-81.79606225</v>
      </c>
      <c r="AG63" s="206">
        <f t="shared" si="44"/>
        <v>-78.78962349</v>
      </c>
      <c r="AH63" s="206">
        <f t="shared" si="44"/>
        <v>-379.1684073</v>
      </c>
      <c r="AI63" s="206">
        <f t="shared" si="44"/>
        <v>-380.5942493</v>
      </c>
      <c r="AJ63" s="206">
        <f t="shared" si="44"/>
        <v>-382.0272206</v>
      </c>
      <c r="AK63" s="206">
        <f t="shared" si="44"/>
        <v>-383.4673567</v>
      </c>
      <c r="AL63" s="206">
        <f t="shared" si="44"/>
        <v>-144.9146934</v>
      </c>
      <c r="AM63" s="206">
        <f t="shared" si="44"/>
        <v>-146.3692669</v>
      </c>
      <c r="AN63" s="206">
        <f t="shared" si="44"/>
        <v>-147.8311132</v>
      </c>
      <c r="AO63" s="206">
        <f t="shared" si="44"/>
        <v>-149.3002688</v>
      </c>
      <c r="AP63" s="206">
        <f t="shared" si="44"/>
        <v>-150.7767702</v>
      </c>
      <c r="AQ63" s="206">
        <f t="shared" si="44"/>
        <v>-152.260654</v>
      </c>
      <c r="AR63" s="206">
        <f t="shared" si="44"/>
        <v>-153.7519573</v>
      </c>
      <c r="AS63" s="206">
        <f t="shared" si="44"/>
        <v>-155.2507171</v>
      </c>
      <c r="AT63" s="206">
        <f t="shared" si="44"/>
        <v>-156.7569706</v>
      </c>
      <c r="AU63" s="206">
        <f t="shared" si="44"/>
        <v>-158.2707555</v>
      </c>
      <c r="AV63" s="206">
        <f t="shared" si="44"/>
        <v>-159.7921093</v>
      </c>
      <c r="AW63" s="206">
        <f t="shared" si="44"/>
        <v>-161.3210698</v>
      </c>
      <c r="AX63" s="206">
        <f t="shared" si="44"/>
        <v>-162.8576752</v>
      </c>
      <c r="AY63" s="206">
        <f t="shared" si="44"/>
        <v>-164.4019636</v>
      </c>
      <c r="AZ63" s="206">
        <f t="shared" si="44"/>
        <v>-165.9539734</v>
      </c>
      <c r="BA63" s="206">
        <f t="shared" si="44"/>
        <v>-167.5137432</v>
      </c>
      <c r="BB63" s="206">
        <f t="shared" si="44"/>
        <v>-169.081312</v>
      </c>
      <c r="BC63" s="206">
        <f t="shared" si="44"/>
        <v>-170.6567185</v>
      </c>
      <c r="BD63" s="206">
        <f t="shared" si="44"/>
        <v>-172.2400021</v>
      </c>
      <c r="BE63" s="206">
        <f t="shared" si="44"/>
        <v>-173.8312021</v>
      </c>
      <c r="BF63" s="206">
        <f t="shared" si="44"/>
        <v>-175.4303581</v>
      </c>
      <c r="BG63" s="206">
        <f t="shared" si="44"/>
        <v>-177.0375099</v>
      </c>
      <c r="BH63" s="206">
        <f t="shared" si="44"/>
        <v>-178.6526975</v>
      </c>
      <c r="BI63" s="206">
        <f t="shared" si="44"/>
        <v>-180.275961</v>
      </c>
      <c r="BJ63" s="206">
        <f t="shared" si="44"/>
        <v>-181.9073408</v>
      </c>
      <c r="BK63" s="206">
        <f t="shared" si="44"/>
        <v>-183.5468775</v>
      </c>
    </row>
    <row r="64">
      <c r="A64" s="79"/>
      <c r="B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</row>
    <row r="65">
      <c r="A65" s="79"/>
      <c r="B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</row>
  </sheetData>
  <mergeCells count="54">
    <mergeCell ref="B4:B15"/>
    <mergeCell ref="B18:B27"/>
    <mergeCell ref="B28:B43"/>
    <mergeCell ref="B44:B59"/>
    <mergeCell ref="C4:D4"/>
    <mergeCell ref="C5:D5"/>
    <mergeCell ref="C7:D7"/>
    <mergeCell ref="C9:D9"/>
    <mergeCell ref="C11:D11"/>
    <mergeCell ref="C13:D13"/>
    <mergeCell ref="C15:D15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3:D53"/>
    <mergeCell ref="C54:D54"/>
    <mergeCell ref="C55:D55"/>
    <mergeCell ref="C56:D56"/>
    <mergeCell ref="C57:D57"/>
    <mergeCell ref="C58:D58"/>
    <mergeCell ref="C59:D59"/>
    <mergeCell ref="B63:E63"/>
    <mergeCell ref="C46:D46"/>
    <mergeCell ref="C47:D47"/>
    <mergeCell ref="C48:D48"/>
    <mergeCell ref="C49:D49"/>
    <mergeCell ref="C50:D50"/>
    <mergeCell ref="C51:D51"/>
    <mergeCell ref="C52:D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75"/>
  <cols>
    <col customWidth="1" min="1" max="1" width="8.14"/>
    <col customWidth="1" min="2" max="2" width="28.0"/>
    <col customWidth="1" min="3" max="4" width="9.14"/>
    <col customWidth="1" min="5" max="31" width="7.43"/>
    <col customWidth="1" min="32" max="35" width="8.0"/>
    <col customWidth="1" min="36" max="61" width="7.43"/>
  </cols>
  <sheetData>
    <row r="1" ht="24.75" customHeight="1">
      <c r="A1" s="207" t="s">
        <v>113</v>
      </c>
      <c r="B1" s="208"/>
      <c r="C1" s="208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10"/>
      <c r="AD1" s="209"/>
      <c r="AE1" s="209"/>
      <c r="AF1" s="209"/>
      <c r="AG1" s="209"/>
      <c r="AH1" s="209"/>
      <c r="AI1" s="209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</row>
    <row r="2" ht="24.75" customHeight="1">
      <c r="B2" s="208"/>
      <c r="C2" s="208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209"/>
      <c r="AE2" s="209"/>
      <c r="AF2" s="209"/>
      <c r="AG2" s="209"/>
      <c r="AH2" s="209"/>
      <c r="AI2" s="209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</row>
    <row r="3" ht="24.75" customHeight="1">
      <c r="A3" s="212"/>
      <c r="B3" s="213" t="s">
        <v>114</v>
      </c>
      <c r="C3" s="179"/>
      <c r="D3" s="84"/>
      <c r="E3" s="84">
        <v>2025.0</v>
      </c>
      <c r="F3" s="84">
        <f t="shared" ref="F3:BI3" si="1">E3+1</f>
        <v>2026</v>
      </c>
      <c r="G3" s="84">
        <f t="shared" si="1"/>
        <v>2027</v>
      </c>
      <c r="H3" s="84">
        <f t="shared" si="1"/>
        <v>2028</v>
      </c>
      <c r="I3" s="84">
        <f t="shared" si="1"/>
        <v>2029</v>
      </c>
      <c r="J3" s="84">
        <f t="shared" si="1"/>
        <v>2030</v>
      </c>
      <c r="K3" s="84">
        <f t="shared" si="1"/>
        <v>2031</v>
      </c>
      <c r="L3" s="84">
        <f t="shared" si="1"/>
        <v>2032</v>
      </c>
      <c r="M3" s="84">
        <f t="shared" si="1"/>
        <v>2033</v>
      </c>
      <c r="N3" s="84">
        <f t="shared" si="1"/>
        <v>2034</v>
      </c>
      <c r="O3" s="84">
        <f t="shared" si="1"/>
        <v>2035</v>
      </c>
      <c r="P3" s="84">
        <f t="shared" si="1"/>
        <v>2036</v>
      </c>
      <c r="Q3" s="84">
        <f t="shared" si="1"/>
        <v>2037</v>
      </c>
      <c r="R3" s="84">
        <f t="shared" si="1"/>
        <v>2038</v>
      </c>
      <c r="S3" s="84">
        <f t="shared" si="1"/>
        <v>2039</v>
      </c>
      <c r="T3" s="84">
        <f t="shared" si="1"/>
        <v>2040</v>
      </c>
      <c r="U3" s="84">
        <f t="shared" si="1"/>
        <v>2041</v>
      </c>
      <c r="V3" s="84">
        <f t="shared" si="1"/>
        <v>2042</v>
      </c>
      <c r="W3" s="84">
        <f t="shared" si="1"/>
        <v>2043</v>
      </c>
      <c r="X3" s="84">
        <f t="shared" si="1"/>
        <v>2044</v>
      </c>
      <c r="Y3" s="84">
        <f t="shared" si="1"/>
        <v>2045</v>
      </c>
      <c r="Z3" s="84">
        <f t="shared" si="1"/>
        <v>2046</v>
      </c>
      <c r="AA3" s="84">
        <f t="shared" si="1"/>
        <v>2047</v>
      </c>
      <c r="AB3" s="84">
        <f t="shared" si="1"/>
        <v>2048</v>
      </c>
      <c r="AC3" s="84">
        <f t="shared" si="1"/>
        <v>2049</v>
      </c>
      <c r="AD3" s="84">
        <f t="shared" si="1"/>
        <v>2050</v>
      </c>
      <c r="AE3" s="84">
        <f t="shared" si="1"/>
        <v>2051</v>
      </c>
      <c r="AF3" s="84">
        <f t="shared" si="1"/>
        <v>2052</v>
      </c>
      <c r="AG3" s="84">
        <f t="shared" si="1"/>
        <v>2053</v>
      </c>
      <c r="AH3" s="84">
        <f t="shared" si="1"/>
        <v>2054</v>
      </c>
      <c r="AI3" s="84">
        <f t="shared" si="1"/>
        <v>2055</v>
      </c>
      <c r="AJ3" s="84">
        <f t="shared" si="1"/>
        <v>2056</v>
      </c>
      <c r="AK3" s="84">
        <f t="shared" si="1"/>
        <v>2057</v>
      </c>
      <c r="AL3" s="84">
        <f t="shared" si="1"/>
        <v>2058</v>
      </c>
      <c r="AM3" s="84">
        <f t="shared" si="1"/>
        <v>2059</v>
      </c>
      <c r="AN3" s="84">
        <f t="shared" si="1"/>
        <v>2060</v>
      </c>
      <c r="AO3" s="84">
        <f t="shared" si="1"/>
        <v>2061</v>
      </c>
      <c r="AP3" s="84">
        <f t="shared" si="1"/>
        <v>2062</v>
      </c>
      <c r="AQ3" s="84">
        <f t="shared" si="1"/>
        <v>2063</v>
      </c>
      <c r="AR3" s="84">
        <f t="shared" si="1"/>
        <v>2064</v>
      </c>
      <c r="AS3" s="84">
        <f t="shared" si="1"/>
        <v>2065</v>
      </c>
      <c r="AT3" s="84">
        <f t="shared" si="1"/>
        <v>2066</v>
      </c>
      <c r="AU3" s="84">
        <f t="shared" si="1"/>
        <v>2067</v>
      </c>
      <c r="AV3" s="84">
        <f t="shared" si="1"/>
        <v>2068</v>
      </c>
      <c r="AW3" s="84">
        <f t="shared" si="1"/>
        <v>2069</v>
      </c>
      <c r="AX3" s="84">
        <f t="shared" si="1"/>
        <v>2070</v>
      </c>
      <c r="AY3" s="84">
        <f t="shared" si="1"/>
        <v>2071</v>
      </c>
      <c r="AZ3" s="84">
        <f t="shared" si="1"/>
        <v>2072</v>
      </c>
      <c r="BA3" s="84">
        <f t="shared" si="1"/>
        <v>2073</v>
      </c>
      <c r="BB3" s="84">
        <f t="shared" si="1"/>
        <v>2074</v>
      </c>
      <c r="BC3" s="84">
        <f t="shared" si="1"/>
        <v>2075</v>
      </c>
      <c r="BD3" s="84">
        <f t="shared" si="1"/>
        <v>2076</v>
      </c>
      <c r="BE3" s="84">
        <f t="shared" si="1"/>
        <v>2077</v>
      </c>
      <c r="BF3" s="84">
        <f t="shared" si="1"/>
        <v>2078</v>
      </c>
      <c r="BG3" s="84">
        <f t="shared" si="1"/>
        <v>2079</v>
      </c>
      <c r="BH3" s="84">
        <f t="shared" si="1"/>
        <v>2080</v>
      </c>
      <c r="BI3" s="84">
        <f t="shared" si="1"/>
        <v>2081</v>
      </c>
    </row>
    <row r="4" ht="24.75" customHeight="1">
      <c r="A4" s="212"/>
      <c r="B4" s="214"/>
      <c r="C4" s="215"/>
      <c r="D4" s="89" t="s">
        <v>115</v>
      </c>
      <c r="E4" s="89">
        <v>1.0</v>
      </c>
      <c r="F4" s="87">
        <f t="shared" ref="F4:BI4" si="2">E4+1</f>
        <v>2</v>
      </c>
      <c r="G4" s="87">
        <f t="shared" si="2"/>
        <v>3</v>
      </c>
      <c r="H4" s="87">
        <f t="shared" si="2"/>
        <v>4</v>
      </c>
      <c r="I4" s="87">
        <f t="shared" si="2"/>
        <v>5</v>
      </c>
      <c r="J4" s="87">
        <f t="shared" si="2"/>
        <v>6</v>
      </c>
      <c r="K4" s="87">
        <f t="shared" si="2"/>
        <v>7</v>
      </c>
      <c r="L4" s="87">
        <f t="shared" si="2"/>
        <v>8</v>
      </c>
      <c r="M4" s="87">
        <f t="shared" si="2"/>
        <v>9</v>
      </c>
      <c r="N4" s="87">
        <f t="shared" si="2"/>
        <v>10</v>
      </c>
      <c r="O4" s="87">
        <f t="shared" si="2"/>
        <v>11</v>
      </c>
      <c r="P4" s="87">
        <f t="shared" si="2"/>
        <v>12</v>
      </c>
      <c r="Q4" s="87">
        <f t="shared" si="2"/>
        <v>13</v>
      </c>
      <c r="R4" s="87">
        <f t="shared" si="2"/>
        <v>14</v>
      </c>
      <c r="S4" s="87">
        <f t="shared" si="2"/>
        <v>15</v>
      </c>
      <c r="T4" s="87">
        <f t="shared" si="2"/>
        <v>16</v>
      </c>
      <c r="U4" s="87">
        <f t="shared" si="2"/>
        <v>17</v>
      </c>
      <c r="V4" s="87">
        <f t="shared" si="2"/>
        <v>18</v>
      </c>
      <c r="W4" s="87">
        <f t="shared" si="2"/>
        <v>19</v>
      </c>
      <c r="X4" s="87">
        <f t="shared" si="2"/>
        <v>20</v>
      </c>
      <c r="Y4" s="87">
        <f t="shared" si="2"/>
        <v>21</v>
      </c>
      <c r="Z4" s="87">
        <f t="shared" si="2"/>
        <v>22</v>
      </c>
      <c r="AA4" s="87">
        <f t="shared" si="2"/>
        <v>23</v>
      </c>
      <c r="AB4" s="87">
        <f t="shared" si="2"/>
        <v>24</v>
      </c>
      <c r="AC4" s="87">
        <f t="shared" si="2"/>
        <v>25</v>
      </c>
      <c r="AD4" s="87">
        <f t="shared" si="2"/>
        <v>26</v>
      </c>
      <c r="AE4" s="87">
        <f t="shared" si="2"/>
        <v>27</v>
      </c>
      <c r="AF4" s="87">
        <f t="shared" si="2"/>
        <v>28</v>
      </c>
      <c r="AG4" s="87">
        <f t="shared" si="2"/>
        <v>29</v>
      </c>
      <c r="AH4" s="87">
        <f t="shared" si="2"/>
        <v>30</v>
      </c>
      <c r="AI4" s="87">
        <f t="shared" si="2"/>
        <v>31</v>
      </c>
      <c r="AJ4" s="87">
        <f t="shared" si="2"/>
        <v>32</v>
      </c>
      <c r="AK4" s="87">
        <f t="shared" si="2"/>
        <v>33</v>
      </c>
      <c r="AL4" s="87">
        <f t="shared" si="2"/>
        <v>34</v>
      </c>
      <c r="AM4" s="87">
        <f t="shared" si="2"/>
        <v>35</v>
      </c>
      <c r="AN4" s="87">
        <f t="shared" si="2"/>
        <v>36</v>
      </c>
      <c r="AO4" s="87">
        <f t="shared" si="2"/>
        <v>37</v>
      </c>
      <c r="AP4" s="87">
        <f t="shared" si="2"/>
        <v>38</v>
      </c>
      <c r="AQ4" s="87">
        <f t="shared" si="2"/>
        <v>39</v>
      </c>
      <c r="AR4" s="87">
        <f t="shared" si="2"/>
        <v>40</v>
      </c>
      <c r="AS4" s="87">
        <f t="shared" si="2"/>
        <v>41</v>
      </c>
      <c r="AT4" s="87">
        <f t="shared" si="2"/>
        <v>42</v>
      </c>
      <c r="AU4" s="87">
        <f t="shared" si="2"/>
        <v>43</v>
      </c>
      <c r="AV4" s="87">
        <f t="shared" si="2"/>
        <v>44</v>
      </c>
      <c r="AW4" s="87">
        <f t="shared" si="2"/>
        <v>45</v>
      </c>
      <c r="AX4" s="87">
        <f t="shared" si="2"/>
        <v>46</v>
      </c>
      <c r="AY4" s="87">
        <f t="shared" si="2"/>
        <v>47</v>
      </c>
      <c r="AZ4" s="87">
        <f t="shared" si="2"/>
        <v>48</v>
      </c>
      <c r="BA4" s="87">
        <f t="shared" si="2"/>
        <v>49</v>
      </c>
      <c r="BB4" s="87">
        <f t="shared" si="2"/>
        <v>50</v>
      </c>
      <c r="BC4" s="87">
        <f t="shared" si="2"/>
        <v>51</v>
      </c>
      <c r="BD4" s="87">
        <f t="shared" si="2"/>
        <v>52</v>
      </c>
      <c r="BE4" s="87">
        <f t="shared" si="2"/>
        <v>53</v>
      </c>
      <c r="BF4" s="87">
        <f t="shared" si="2"/>
        <v>54</v>
      </c>
      <c r="BG4" s="87">
        <f t="shared" si="2"/>
        <v>55</v>
      </c>
      <c r="BH4" s="87">
        <f t="shared" si="2"/>
        <v>56</v>
      </c>
      <c r="BI4" s="87">
        <f t="shared" si="2"/>
        <v>57</v>
      </c>
    </row>
    <row r="5">
      <c r="A5" s="216"/>
      <c r="B5" s="217" t="s">
        <v>116</v>
      </c>
      <c r="C5" s="218">
        <v>1.0E-5</v>
      </c>
      <c r="D5" s="219">
        <v>0.0</v>
      </c>
      <c r="E5" s="220">
        <f>D5*(1+$C$5)+'🌷ライププラン'!F63-E11</f>
        <v>-47</v>
      </c>
      <c r="F5" s="220">
        <f>E5*(1+$C$5)+'🌷ライププラン'!G63-F11</f>
        <v>-84.74047</v>
      </c>
      <c r="G5" s="220">
        <f>F5*(1+$C$5)+'🌷ライププラン'!H63-G11</f>
        <v>-113.0700174</v>
      </c>
      <c r="H5" s="220">
        <f>G5*(1+$C$5)+'🌷ライププラン'!I63-H11</f>
        <v>-131.8349166</v>
      </c>
      <c r="I5" s="220">
        <f>H5*(1+$C$5)+'🌷ライププラン'!J63-I11</f>
        <v>-140.8790737</v>
      </c>
      <c r="J5" s="220">
        <f>I5*(1+$C$5)+'🌷ライププラン'!K63-J11</f>
        <v>-140.0439905</v>
      </c>
      <c r="K5" s="220">
        <f>J5*(1+$C$5)+'🌷ライププラン'!L63-K11</f>
        <v>-129.1687285</v>
      </c>
      <c r="L5" s="220">
        <f>K5*(1+$C$5)+'🌷ライププラン'!M63-L11</f>
        <v>-108.0898716</v>
      </c>
      <c r="M5" s="220">
        <f>L5*(1+$C$5)+'🌷ライププラン'!N63-M11</f>
        <v>-76.6414888</v>
      </c>
      <c r="N5" s="220">
        <f>M5*(1+$C$5)+'🌷ライププラン'!O63-N11</f>
        <v>-34.65509607</v>
      </c>
      <c r="O5" s="220">
        <f>N5*(1+$C$5)+'🌷ライププラン'!P63-O11</f>
        <v>18.04038215</v>
      </c>
      <c r="P5" s="220">
        <f>O5*(1+$C$5)+'🌷ライププラン'!Q63-P11</f>
        <v>81.61865223</v>
      </c>
      <c r="Q5" s="220">
        <f>P5*(1+$C$5)+'🌷ライププラン'!R63-Q11</f>
        <v>156.2560911</v>
      </c>
      <c r="R5" s="220">
        <f>Q5*(1+$C$5)+'🌷ライププラン'!S63-R11</f>
        <v>242.1317866</v>
      </c>
      <c r="S5" s="220">
        <f>R5*(1+$C$5)+'🌷ライププラン'!T63-S11</f>
        <v>339.4275787</v>
      </c>
      <c r="T5" s="220">
        <f>S5*(1+$C$5)+'🌷ライププラン'!U63-T11</f>
        <v>448.3281007</v>
      </c>
      <c r="U5" s="220">
        <f>T5*(1+$C$5)+'🌷ライププラン'!V63-U11</f>
        <v>534.528048</v>
      </c>
      <c r="V5" s="220">
        <f>U5*(1+$C$5)+'🌷ライププラン'!W63-V11</f>
        <v>623.1928058</v>
      </c>
      <c r="W5" s="220">
        <f>V5*(1+$C$5)+'🌷ライププラン'!X63-W11</f>
        <v>714.3727878</v>
      </c>
      <c r="X5" s="220">
        <f>W5*(1+$C$5)+'🌷ライププラン'!Y63-X11</f>
        <v>808.1192317</v>
      </c>
      <c r="Y5" s="220">
        <f>X5*(1+$C$5)+'🌷ライププラン'!Z63-Y11</f>
        <v>944.4842111</v>
      </c>
      <c r="Z5" s="220">
        <f>Y5*(1+$C$5)+'🌷ライププラン'!AA63-Z11</f>
        <v>843.5210486</v>
      </c>
      <c r="AA5" s="220">
        <f>Z5*(1+$C$5)+'🌷ライププラン'!AB63-AA11</f>
        <v>745.2811291</v>
      </c>
      <c r="AB5" s="220">
        <f>AA5*(1+$C$5)+'🌷ライププラン'!AC63-AB11</f>
        <v>649.8191129</v>
      </c>
      <c r="AC5" s="220">
        <f>AB5*(1+$C$5)+'🌷ライププラン'!AD63-AC11</f>
        <v>557.1905489</v>
      </c>
      <c r="AD5" s="220">
        <f>AC5*(1+$C$5)+'🌷ライププラン'!AE63-AD11</f>
        <v>832.451889</v>
      </c>
      <c r="AE5" s="220">
        <f>AD5*(1+$C$5)+'🌷ライププラン'!AF63-AE11</f>
        <v>750.6641513</v>
      </c>
      <c r="AF5" s="220">
        <f>AE5*(1+$C$5)+'🌷ライププラン'!AG63-AF11</f>
        <v>671.8820345</v>
      </c>
      <c r="AG5" s="220">
        <f>AF5*(1+$C$5)+'🌷ライププラン'!AH63-AG11</f>
        <v>292.720346</v>
      </c>
      <c r="AH5" s="220">
        <f>AG5*(1+$C$5)+'🌷ライププラン'!AI63-AH11</f>
        <v>-87.87097611</v>
      </c>
      <c r="AI5" s="220">
        <f>AH5*(1+$C$5)+'🌷ライププラン'!AJ63-AI11</f>
        <v>-469.8990754</v>
      </c>
      <c r="AJ5" s="220">
        <f>AI5*(1+$C$5)+'🌷ライププラン'!AK63-AJ11</f>
        <v>-853.371131</v>
      </c>
      <c r="AK5" s="220">
        <f>AJ5*(1+$C$5)+'🌷ライププラン'!AL63-AK11</f>
        <v>-998.2943582</v>
      </c>
      <c r="AL5" s="220">
        <f>AK5*(1+$C$5)+'🌷ライププラン'!AM63-AL11</f>
        <v>-1144.673608</v>
      </c>
      <c r="AM5" s="220">
        <f>AL5*(1+$C$5)+'🌷ライププラン'!AN63-AM11</f>
        <v>-1292.516168</v>
      </c>
      <c r="AN5" s="220">
        <f>AM5*(1+$C$5)+'🌷ライププラン'!AO63-AN11</f>
        <v>-1441.829362</v>
      </c>
      <c r="AO5" s="220">
        <f>AN5*(1+$C$5)+'🌷ライププラン'!AP63-AO11</f>
        <v>-1592.62055</v>
      </c>
      <c r="AP5" s="220">
        <f>AO5*(1+$C$5)+'🌷ライププラン'!AQ63-AP11</f>
        <v>-1744.897131</v>
      </c>
      <c r="AQ5" s="220">
        <f>AP5*(1+$C$5)+'🌷ライププラン'!AR63-AQ11</f>
        <v>-1898.666537</v>
      </c>
      <c r="AR5" s="220">
        <f>AQ5*(1+$C$5)+'🌷ライププラン'!AS63-AR11</f>
        <v>-2053.936241</v>
      </c>
      <c r="AS5" s="220">
        <f>AR5*(1+$C$5)+'🌷ライププラン'!AT63-AS11</f>
        <v>-2210.713751</v>
      </c>
      <c r="AT5" s="220">
        <f>AS5*(1+$C$5)+'🌷ライププラン'!AU63-AT11</f>
        <v>-2369.006613</v>
      </c>
      <c r="AU5" s="220">
        <f>AT5*(1+$C$5)+'🌷ライププラン'!AV63-AU11</f>
        <v>-2528.822413</v>
      </c>
      <c r="AV5" s="220">
        <f>AU5*(1+$C$5)+'🌷ライププラン'!AW63-AV11</f>
        <v>-2690.168771</v>
      </c>
      <c r="AW5" s="220">
        <f>AV5*(1+$C$5)+'🌷ライププラン'!AX63-AW11</f>
        <v>-2853.053348</v>
      </c>
      <c r="AX5" s="220">
        <f>AW5*(1+$C$5)+'🌷ライププラン'!AY63-AX11</f>
        <v>-3017.483842</v>
      </c>
      <c r="AY5" s="220">
        <f>AX5*(1+$C$5)+'🌷ライププラン'!AZ63-AY11</f>
        <v>-3183.46799</v>
      </c>
      <c r="AZ5" s="220">
        <f>AY5*(1+$C$5)+'🌷ライププラン'!BA63-AZ11</f>
        <v>-3351.013568</v>
      </c>
      <c r="BA5" s="220">
        <f>AZ5*(1+$C$5)+'🌷ライププラン'!BB63-BA11</f>
        <v>-3520.12839</v>
      </c>
      <c r="BB5" s="220">
        <f>BA5*(1+$C$5)+'🌷ライププラン'!BC63-BB11</f>
        <v>-3690.82031</v>
      </c>
      <c r="BC5" s="220">
        <f>BB5*(1+$C$5)+'🌷ライププラン'!BD63-BC11</f>
        <v>-3863.09722</v>
      </c>
      <c r="BD5" s="220">
        <f>BC5*(1+$C$5)+'🌷ライププラン'!BE63-BD11</f>
        <v>-4036.967053</v>
      </c>
      <c r="BE5" s="220">
        <f>BD5*(1+$C$5)+'🌷ライププラン'!BF63-BE11</f>
        <v>-4212.437781</v>
      </c>
      <c r="BF5" s="220">
        <f>BE5*(1+$C$5)+'🌷ライププラン'!BG63-BF11</f>
        <v>-4389.517415</v>
      </c>
      <c r="BG5" s="220">
        <f>BF5*(1+$C$5)+'🌷ライププラン'!BH63-BG11</f>
        <v>-4568.214008</v>
      </c>
      <c r="BH5" s="220">
        <f>BG5*(1+$C$5)+'🌷ライププラン'!BI63-BH11</f>
        <v>-4748.535651</v>
      </c>
      <c r="BI5" s="221">
        <f>BH5*(1+$C$5)+'🌷ライププラン'!BJ63-BI11</f>
        <v>-4930.490477</v>
      </c>
    </row>
    <row r="6">
      <c r="A6" s="216"/>
      <c r="B6" s="222" t="s">
        <v>117</v>
      </c>
      <c r="C6" s="223">
        <v>0.04</v>
      </c>
      <c r="D6" s="224">
        <v>0.0</v>
      </c>
      <c r="E6" s="225">
        <f>'🌱投信（ライフプラン用）'!E9/10000</f>
        <v>47.07480406</v>
      </c>
      <c r="F6" s="225">
        <f>'🌱投信（ライフプラン用）'!E10/10000</f>
        <v>85.66009283</v>
      </c>
      <c r="G6" s="225">
        <f>'🌱投信（ライフプラン用）'!E11/10000</f>
        <v>125.8174058</v>
      </c>
      <c r="H6" s="225">
        <f>'🌱投信（ライフプラン用）'!E12/10000</f>
        <v>167.6107897</v>
      </c>
      <c r="I6" s="225">
        <f>'🌱投信（ライフプラン用）'!E13/10000</f>
        <v>211.1069005</v>
      </c>
      <c r="J6" s="225">
        <f>'🌱投信（ライフプラン用）'!E14/10000</f>
        <v>256.37511</v>
      </c>
      <c r="K6" s="225">
        <f>'🌱投信（ライフプラン用）'!E15/10000</f>
        <v>303.4876161</v>
      </c>
      <c r="L6" s="225">
        <f>'🌱投信（ライフプラン用）'!E16/10000</f>
        <v>352.5195585</v>
      </c>
      <c r="M6" s="225">
        <f>'🌱投信（ライフプラン用）'!E17/10000</f>
        <v>403.5491379</v>
      </c>
      <c r="N6" s="225">
        <f>'🌱投信（ライフプラン用）'!E18/10000</f>
        <v>456.657741</v>
      </c>
      <c r="O6" s="225">
        <f>'🌱投信（ライフプラン用）'!E19/10000</f>
        <v>511.9300706</v>
      </c>
      <c r="P6" s="225">
        <f>'🌱投信（ライフプラン用）'!E20/10000</f>
        <v>569.4542802</v>
      </c>
      <c r="Q6" s="225">
        <f>'🌱投信（ライフプラン用）'!E21/10000</f>
        <v>629.3221148</v>
      </c>
      <c r="R6" s="225">
        <f>'🌱投信（ライフプラン用）'!E22/10000</f>
        <v>691.6290574</v>
      </c>
      <c r="S6" s="225">
        <f>'🌱投信（ライフプラン用）'!E23/10000</f>
        <v>756.4744809</v>
      </c>
      <c r="T6" s="225">
        <f>'🌱投信（ライフプラン用）'!E24/10000</f>
        <v>823.9618071</v>
      </c>
      <c r="U6" s="225">
        <f>'🌱投信（ライフプラン用）'!E25/10000</f>
        <v>894.198671</v>
      </c>
      <c r="V6" s="225">
        <f>'🌱投信（ライフプラン用）'!E26/10000</f>
        <v>967.2970932</v>
      </c>
      <c r="W6" s="225">
        <f>'🌱投信（ライフプラン用）'!E27/10000</f>
        <v>1043.373658</v>
      </c>
      <c r="X6" s="225">
        <f>'🌱投信（ライフプラン用）'!E28/10000</f>
        <v>1122.549699</v>
      </c>
      <c r="Y6" s="225">
        <f>'🌱投信（ライフプラン用）'!E29/10000</f>
        <v>1204.951495</v>
      </c>
      <c r="Z6" s="225">
        <f>'🌱投信（ライフプラン用）'!E30/10000</f>
        <v>1290.710466</v>
      </c>
      <c r="AA6" s="225">
        <f>'🌱投信（ライフプラン用）'!E31/10000</f>
        <v>1379.963391</v>
      </c>
      <c r="AB6" s="225">
        <f>'🌱投信（ライフプラン用）'!E32/10000</f>
        <v>1472.852617</v>
      </c>
      <c r="AC6" s="225">
        <f>'🌱投信（ライフプラン用）'!E33/10000</f>
        <v>1569.526294</v>
      </c>
      <c r="AD6" s="225">
        <f>'🌱投信（ライフプラン用）'!E34/10000</f>
        <v>1670.138605</v>
      </c>
      <c r="AE6" s="225">
        <f>'🌱投信（ライフプラン用）'!E35/10000</f>
        <v>1774.850018</v>
      </c>
      <c r="AF6" s="225">
        <f>'🌱投信（ライフプラン用）'!E36/10000</f>
        <v>1883.827534</v>
      </c>
      <c r="AG6" s="225">
        <f>'🌱投信（ライフプラン用）'!E37/10000</f>
        <v>1997.244963</v>
      </c>
      <c r="AH6" s="225">
        <f>'🌱投信（ライフプラン用）'!E38/10000</f>
        <v>2115.283193</v>
      </c>
      <c r="AI6" s="225">
        <f>'🌱投信（ライフプラン用）'!E39/10000</f>
        <v>2238.130483</v>
      </c>
      <c r="AJ6" s="225">
        <f>'🌱投信（ライフプラン用）'!E40/10000</f>
        <v>2365.982761</v>
      </c>
      <c r="AK6" s="225">
        <f>'🌱投信（ライフプラン用）'!E41/10000</f>
        <v>2499.043938</v>
      </c>
      <c r="AL6" s="225">
        <f>'🌱投信（ライフプラン用）'!E42/10000</f>
        <v>2637.526232</v>
      </c>
      <c r="AM6" s="225">
        <f>'🌱投信（ライフプラン用）'!E43/10000</f>
        <v>2781.650509</v>
      </c>
      <c r="AN6" s="225">
        <f>'🌱投信（ライフプラン用）'!E44/10000</f>
        <v>2931.646631</v>
      </c>
      <c r="AO6" s="225">
        <f>'🌱投信（ライフプラン用）'!E45/10000</f>
        <v>3087.753827</v>
      </c>
      <c r="AP6" s="225">
        <f>'🌱投信（ライフプラン用）'!E46/10000</f>
        <v>3250.22107</v>
      </c>
      <c r="AQ6" s="225">
        <f>'🌱投信（ライフプラン用）'!E47/10000</f>
        <v>3419.30748</v>
      </c>
      <c r="AR6" s="225">
        <f>'🌱投信（ライフプラン用）'!E48/10000</f>
        <v>3595.282731</v>
      </c>
      <c r="AS6" s="225">
        <f>'🌱投信（ライフプラン用）'!E49/10000</f>
        <v>3778.427486</v>
      </c>
      <c r="AT6" s="225">
        <f>'🌱投信（ライフプラン用）'!E50/10000</f>
        <v>3969.03384</v>
      </c>
      <c r="AU6" s="225">
        <f>'🌱投信（ライフプラン用）'!E51/10000</f>
        <v>4167.405791</v>
      </c>
      <c r="AV6" s="225">
        <f>'🌱投信（ライフプラン用）'!E52/10000</f>
        <v>4373.859722</v>
      </c>
      <c r="AW6" s="225">
        <f>'🌱投信（ライフプラン用）'!E53/10000</f>
        <v>4588.724904</v>
      </c>
      <c r="AX6" s="225">
        <f>'🌱投信（ライフプラン用）'!E54/10000</f>
        <v>4812.344025</v>
      </c>
      <c r="AY6" s="225">
        <f>'🌱投信（ライフプラン用）'!E55/10000</f>
        <v>5045.073734</v>
      </c>
      <c r="AZ6" s="225">
        <f>'🌱投信（ライフプラン用）'!E56/10000</f>
        <v>5287.285211</v>
      </c>
      <c r="BA6" s="225">
        <f>'🌱投信（ライフプラン用）'!E57/10000</f>
        <v>5539.364757</v>
      </c>
      <c r="BB6" s="225">
        <f>'🌱投信（ライフプラン用）'!E58/10000</f>
        <v>5801.714413</v>
      </c>
      <c r="BC6" s="226" t="str">
        <f>'🌱投信（ライフプラン用）'!E59</f>
        <v/>
      </c>
      <c r="BD6" s="226" t="str">
        <f>'🌱投信（ライフプラン用）'!AZ13</f>
        <v/>
      </c>
      <c r="BE6" s="226" t="str">
        <f>'🌱投信（ライフプラン用）'!BA13</f>
        <v/>
      </c>
      <c r="BF6" s="226" t="str">
        <f>'🌱投信（ライフプラン用）'!BB13</f>
        <v/>
      </c>
      <c r="BG6" s="226" t="str">
        <f>'🌱投信（ライフプラン用）'!BC13</f>
        <v/>
      </c>
      <c r="BH6" s="226" t="str">
        <f>'🌱投信（ライフプラン用）'!BD13</f>
        <v/>
      </c>
      <c r="BI6" s="226" t="str">
        <f>'🌱投信（ライフプラン用）'!BE13</f>
        <v/>
      </c>
    </row>
    <row r="7">
      <c r="A7" s="227"/>
      <c r="B7" s="222" t="s">
        <v>118</v>
      </c>
      <c r="C7" s="223">
        <v>-0.01</v>
      </c>
      <c r="D7" s="224">
        <v>0.0</v>
      </c>
      <c r="E7" s="228">
        <f t="shared" ref="E7:BI7" si="3">D7*(1+$C7)</f>
        <v>0</v>
      </c>
      <c r="F7" s="228">
        <f t="shared" si="3"/>
        <v>0</v>
      </c>
      <c r="G7" s="228">
        <f t="shared" si="3"/>
        <v>0</v>
      </c>
      <c r="H7" s="228">
        <f t="shared" si="3"/>
        <v>0</v>
      </c>
      <c r="I7" s="228">
        <f t="shared" si="3"/>
        <v>0</v>
      </c>
      <c r="J7" s="228">
        <f t="shared" si="3"/>
        <v>0</v>
      </c>
      <c r="K7" s="228">
        <f t="shared" si="3"/>
        <v>0</v>
      </c>
      <c r="L7" s="228">
        <f t="shared" si="3"/>
        <v>0</v>
      </c>
      <c r="M7" s="228">
        <f t="shared" si="3"/>
        <v>0</v>
      </c>
      <c r="N7" s="228">
        <f t="shared" si="3"/>
        <v>0</v>
      </c>
      <c r="O7" s="228">
        <f t="shared" si="3"/>
        <v>0</v>
      </c>
      <c r="P7" s="228">
        <f t="shared" si="3"/>
        <v>0</v>
      </c>
      <c r="Q7" s="228">
        <f t="shared" si="3"/>
        <v>0</v>
      </c>
      <c r="R7" s="228">
        <f t="shared" si="3"/>
        <v>0</v>
      </c>
      <c r="S7" s="228">
        <f t="shared" si="3"/>
        <v>0</v>
      </c>
      <c r="T7" s="228">
        <f t="shared" si="3"/>
        <v>0</v>
      </c>
      <c r="U7" s="228">
        <f t="shared" si="3"/>
        <v>0</v>
      </c>
      <c r="V7" s="228">
        <f t="shared" si="3"/>
        <v>0</v>
      </c>
      <c r="W7" s="228">
        <f t="shared" si="3"/>
        <v>0</v>
      </c>
      <c r="X7" s="228">
        <f t="shared" si="3"/>
        <v>0</v>
      </c>
      <c r="Y7" s="228">
        <f t="shared" si="3"/>
        <v>0</v>
      </c>
      <c r="Z7" s="228">
        <f t="shared" si="3"/>
        <v>0</v>
      </c>
      <c r="AA7" s="228">
        <f t="shared" si="3"/>
        <v>0</v>
      </c>
      <c r="AB7" s="228">
        <f t="shared" si="3"/>
        <v>0</v>
      </c>
      <c r="AC7" s="228">
        <f t="shared" si="3"/>
        <v>0</v>
      </c>
      <c r="AD7" s="228">
        <f t="shared" si="3"/>
        <v>0</v>
      </c>
      <c r="AE7" s="228">
        <f t="shared" si="3"/>
        <v>0</v>
      </c>
      <c r="AF7" s="228">
        <f t="shared" si="3"/>
        <v>0</v>
      </c>
      <c r="AG7" s="228">
        <f t="shared" si="3"/>
        <v>0</v>
      </c>
      <c r="AH7" s="228">
        <f t="shared" si="3"/>
        <v>0</v>
      </c>
      <c r="AI7" s="228">
        <f t="shared" si="3"/>
        <v>0</v>
      </c>
      <c r="AJ7" s="228">
        <f t="shared" si="3"/>
        <v>0</v>
      </c>
      <c r="AK7" s="228">
        <f t="shared" si="3"/>
        <v>0</v>
      </c>
      <c r="AL7" s="228">
        <f t="shared" si="3"/>
        <v>0</v>
      </c>
      <c r="AM7" s="228">
        <f t="shared" si="3"/>
        <v>0</v>
      </c>
      <c r="AN7" s="228">
        <f t="shared" si="3"/>
        <v>0</v>
      </c>
      <c r="AO7" s="228">
        <f t="shared" si="3"/>
        <v>0</v>
      </c>
      <c r="AP7" s="228">
        <f t="shared" si="3"/>
        <v>0</v>
      </c>
      <c r="AQ7" s="228">
        <f t="shared" si="3"/>
        <v>0</v>
      </c>
      <c r="AR7" s="228">
        <f t="shared" si="3"/>
        <v>0</v>
      </c>
      <c r="AS7" s="228">
        <f t="shared" si="3"/>
        <v>0</v>
      </c>
      <c r="AT7" s="228">
        <f t="shared" si="3"/>
        <v>0</v>
      </c>
      <c r="AU7" s="228">
        <f t="shared" si="3"/>
        <v>0</v>
      </c>
      <c r="AV7" s="228">
        <f t="shared" si="3"/>
        <v>0</v>
      </c>
      <c r="AW7" s="228">
        <f t="shared" si="3"/>
        <v>0</v>
      </c>
      <c r="AX7" s="228">
        <f t="shared" si="3"/>
        <v>0</v>
      </c>
      <c r="AY7" s="228">
        <f t="shared" si="3"/>
        <v>0</v>
      </c>
      <c r="AZ7" s="228">
        <f t="shared" si="3"/>
        <v>0</v>
      </c>
      <c r="BA7" s="228">
        <f t="shared" si="3"/>
        <v>0</v>
      </c>
      <c r="BB7" s="228">
        <f t="shared" si="3"/>
        <v>0</v>
      </c>
      <c r="BC7" s="228">
        <f t="shared" si="3"/>
        <v>0</v>
      </c>
      <c r="BD7" s="228">
        <f t="shared" si="3"/>
        <v>0</v>
      </c>
      <c r="BE7" s="228">
        <f t="shared" si="3"/>
        <v>0</v>
      </c>
      <c r="BF7" s="228">
        <f t="shared" si="3"/>
        <v>0</v>
      </c>
      <c r="BG7" s="228">
        <f t="shared" si="3"/>
        <v>0</v>
      </c>
      <c r="BH7" s="228">
        <f t="shared" si="3"/>
        <v>0</v>
      </c>
      <c r="BI7" s="229">
        <f t="shared" si="3"/>
        <v>0</v>
      </c>
    </row>
    <row r="8">
      <c r="A8" s="227"/>
      <c r="B8" s="222" t="s">
        <v>119</v>
      </c>
      <c r="C8" s="223"/>
      <c r="D8" s="230">
        <v>0.0</v>
      </c>
      <c r="E8" s="228">
        <f t="shared" ref="E8:BI8" si="4">D8</f>
        <v>0</v>
      </c>
      <c r="F8" s="228">
        <f t="shared" si="4"/>
        <v>0</v>
      </c>
      <c r="G8" s="228">
        <f t="shared" si="4"/>
        <v>0</v>
      </c>
      <c r="H8" s="228">
        <f t="shared" si="4"/>
        <v>0</v>
      </c>
      <c r="I8" s="228">
        <f t="shared" si="4"/>
        <v>0</v>
      </c>
      <c r="J8" s="228">
        <f t="shared" si="4"/>
        <v>0</v>
      </c>
      <c r="K8" s="228">
        <f t="shared" si="4"/>
        <v>0</v>
      </c>
      <c r="L8" s="228">
        <f t="shared" si="4"/>
        <v>0</v>
      </c>
      <c r="M8" s="228">
        <f t="shared" si="4"/>
        <v>0</v>
      </c>
      <c r="N8" s="228">
        <f t="shared" si="4"/>
        <v>0</v>
      </c>
      <c r="O8" s="228">
        <f t="shared" si="4"/>
        <v>0</v>
      </c>
      <c r="P8" s="228">
        <f t="shared" si="4"/>
        <v>0</v>
      </c>
      <c r="Q8" s="228">
        <f t="shared" si="4"/>
        <v>0</v>
      </c>
      <c r="R8" s="228">
        <f t="shared" si="4"/>
        <v>0</v>
      </c>
      <c r="S8" s="228">
        <f t="shared" si="4"/>
        <v>0</v>
      </c>
      <c r="T8" s="228">
        <f t="shared" si="4"/>
        <v>0</v>
      </c>
      <c r="U8" s="228">
        <f t="shared" si="4"/>
        <v>0</v>
      </c>
      <c r="V8" s="228">
        <f t="shared" si="4"/>
        <v>0</v>
      </c>
      <c r="W8" s="228">
        <f t="shared" si="4"/>
        <v>0</v>
      </c>
      <c r="X8" s="228">
        <f t="shared" si="4"/>
        <v>0</v>
      </c>
      <c r="Y8" s="228">
        <f t="shared" si="4"/>
        <v>0</v>
      </c>
      <c r="Z8" s="228">
        <f t="shared" si="4"/>
        <v>0</v>
      </c>
      <c r="AA8" s="228">
        <f t="shared" si="4"/>
        <v>0</v>
      </c>
      <c r="AB8" s="228">
        <f t="shared" si="4"/>
        <v>0</v>
      </c>
      <c r="AC8" s="228">
        <f t="shared" si="4"/>
        <v>0</v>
      </c>
      <c r="AD8" s="228">
        <f t="shared" si="4"/>
        <v>0</v>
      </c>
      <c r="AE8" s="228">
        <f t="shared" si="4"/>
        <v>0</v>
      </c>
      <c r="AF8" s="228">
        <f t="shared" si="4"/>
        <v>0</v>
      </c>
      <c r="AG8" s="228">
        <f t="shared" si="4"/>
        <v>0</v>
      </c>
      <c r="AH8" s="228">
        <f t="shared" si="4"/>
        <v>0</v>
      </c>
      <c r="AI8" s="228">
        <f t="shared" si="4"/>
        <v>0</v>
      </c>
      <c r="AJ8" s="228">
        <f t="shared" si="4"/>
        <v>0</v>
      </c>
      <c r="AK8" s="228">
        <f t="shared" si="4"/>
        <v>0</v>
      </c>
      <c r="AL8" s="228">
        <f t="shared" si="4"/>
        <v>0</v>
      </c>
      <c r="AM8" s="228">
        <f t="shared" si="4"/>
        <v>0</v>
      </c>
      <c r="AN8" s="228">
        <f t="shared" si="4"/>
        <v>0</v>
      </c>
      <c r="AO8" s="228">
        <f t="shared" si="4"/>
        <v>0</v>
      </c>
      <c r="AP8" s="228">
        <f t="shared" si="4"/>
        <v>0</v>
      </c>
      <c r="AQ8" s="228">
        <f t="shared" si="4"/>
        <v>0</v>
      </c>
      <c r="AR8" s="228">
        <f t="shared" si="4"/>
        <v>0</v>
      </c>
      <c r="AS8" s="228">
        <f t="shared" si="4"/>
        <v>0</v>
      </c>
      <c r="AT8" s="228">
        <f t="shared" si="4"/>
        <v>0</v>
      </c>
      <c r="AU8" s="228">
        <f t="shared" si="4"/>
        <v>0</v>
      </c>
      <c r="AV8" s="228">
        <f t="shared" si="4"/>
        <v>0</v>
      </c>
      <c r="AW8" s="228">
        <f t="shared" si="4"/>
        <v>0</v>
      </c>
      <c r="AX8" s="228">
        <f t="shared" si="4"/>
        <v>0</v>
      </c>
      <c r="AY8" s="228">
        <f t="shared" si="4"/>
        <v>0</v>
      </c>
      <c r="AZ8" s="228">
        <f t="shared" si="4"/>
        <v>0</v>
      </c>
      <c r="BA8" s="228">
        <f t="shared" si="4"/>
        <v>0</v>
      </c>
      <c r="BB8" s="228">
        <f t="shared" si="4"/>
        <v>0</v>
      </c>
      <c r="BC8" s="228">
        <f t="shared" si="4"/>
        <v>0</v>
      </c>
      <c r="BD8" s="228">
        <f t="shared" si="4"/>
        <v>0</v>
      </c>
      <c r="BE8" s="228">
        <f t="shared" si="4"/>
        <v>0</v>
      </c>
      <c r="BF8" s="228">
        <f t="shared" si="4"/>
        <v>0</v>
      </c>
      <c r="BG8" s="228">
        <f t="shared" si="4"/>
        <v>0</v>
      </c>
      <c r="BH8" s="228">
        <f t="shared" si="4"/>
        <v>0</v>
      </c>
      <c r="BI8" s="229">
        <f t="shared" si="4"/>
        <v>0</v>
      </c>
    </row>
    <row r="9">
      <c r="A9" s="227"/>
      <c r="B9" s="222" t="s">
        <v>120</v>
      </c>
      <c r="C9" s="223"/>
      <c r="D9" s="224">
        <v>0.0</v>
      </c>
      <c r="E9" s="231">
        <v>0.0</v>
      </c>
      <c r="F9" s="231">
        <v>0.0</v>
      </c>
      <c r="G9" s="231">
        <v>0.0</v>
      </c>
      <c r="H9" s="231">
        <v>0.0</v>
      </c>
      <c r="I9" s="231">
        <v>0.0</v>
      </c>
      <c r="J9" s="231">
        <v>0.0</v>
      </c>
      <c r="K9" s="231">
        <v>0.0</v>
      </c>
      <c r="L9" s="231">
        <v>0.0</v>
      </c>
      <c r="M9" s="231">
        <v>0.0</v>
      </c>
      <c r="N9" s="231">
        <v>0.0</v>
      </c>
      <c r="O9" s="231">
        <v>0.0</v>
      </c>
      <c r="P9" s="231">
        <v>0.0</v>
      </c>
      <c r="Q9" s="231">
        <v>0.0</v>
      </c>
      <c r="R9" s="231">
        <v>0.0</v>
      </c>
      <c r="S9" s="231">
        <v>0.0</v>
      </c>
      <c r="T9" s="231">
        <v>0.0</v>
      </c>
      <c r="U9" s="231">
        <v>0.0</v>
      </c>
      <c r="V9" s="231">
        <v>0.0</v>
      </c>
      <c r="W9" s="231">
        <v>0.0</v>
      </c>
      <c r="X9" s="231">
        <v>0.0</v>
      </c>
      <c r="Y9" s="231">
        <v>0.0</v>
      </c>
      <c r="Z9" s="231">
        <v>0.0</v>
      </c>
      <c r="AA9" s="231">
        <v>0.0</v>
      </c>
      <c r="AB9" s="231">
        <v>0.0</v>
      </c>
      <c r="AC9" s="231">
        <v>0.0</v>
      </c>
      <c r="AD9" s="231">
        <v>0.0</v>
      </c>
      <c r="AE9" s="231">
        <v>0.0</v>
      </c>
      <c r="AF9" s="231">
        <v>0.0</v>
      </c>
      <c r="AG9" s="231">
        <v>0.0</v>
      </c>
      <c r="AH9" s="231">
        <v>0.0</v>
      </c>
      <c r="AI9" s="231">
        <v>0.0</v>
      </c>
      <c r="AJ9" s="231">
        <v>0.0</v>
      </c>
      <c r="AK9" s="231">
        <v>0.0</v>
      </c>
      <c r="AL9" s="231">
        <v>0.0</v>
      </c>
      <c r="AM9" s="231">
        <v>0.0</v>
      </c>
      <c r="AN9" s="231">
        <v>0.0</v>
      </c>
      <c r="AO9" s="231">
        <v>0.0</v>
      </c>
      <c r="AP9" s="231">
        <v>0.0</v>
      </c>
      <c r="AQ9" s="231">
        <v>0.0</v>
      </c>
      <c r="AR9" s="231">
        <v>0.0</v>
      </c>
      <c r="AS9" s="231">
        <v>0.0</v>
      </c>
      <c r="AT9" s="231">
        <v>0.0</v>
      </c>
      <c r="AU9" s="231">
        <v>0.0</v>
      </c>
      <c r="AV9" s="231">
        <v>0.0</v>
      </c>
      <c r="AW9" s="231">
        <v>0.0</v>
      </c>
      <c r="AX9" s="231">
        <v>0.0</v>
      </c>
      <c r="AY9" s="231">
        <v>0.0</v>
      </c>
      <c r="AZ9" s="231">
        <v>0.0</v>
      </c>
      <c r="BA9" s="231">
        <v>0.0</v>
      </c>
      <c r="BB9" s="231">
        <v>0.0</v>
      </c>
      <c r="BC9" s="231">
        <v>0.0</v>
      </c>
      <c r="BD9" s="231">
        <v>0.0</v>
      </c>
      <c r="BE9" s="231">
        <v>0.0</v>
      </c>
      <c r="BF9" s="231">
        <v>0.0</v>
      </c>
      <c r="BG9" s="231">
        <v>0.0</v>
      </c>
      <c r="BH9" s="231">
        <v>0.0</v>
      </c>
      <c r="BI9" s="231">
        <v>0.0</v>
      </c>
    </row>
    <row r="10">
      <c r="A10" s="227"/>
      <c r="B10" s="222" t="s">
        <v>121</v>
      </c>
      <c r="C10" s="232"/>
      <c r="D10" s="230">
        <f t="shared" ref="D10:BI10" si="5">SUM(D5:D9)</f>
        <v>0</v>
      </c>
      <c r="E10" s="233">
        <f t="shared" si="5"/>
        <v>0.07480405701</v>
      </c>
      <c r="F10" s="234">
        <f t="shared" si="5"/>
        <v>0.9196228348</v>
      </c>
      <c r="G10" s="233">
        <f t="shared" si="5"/>
        <v>12.74738841</v>
      </c>
      <c r="H10" s="233">
        <f t="shared" si="5"/>
        <v>35.77587307</v>
      </c>
      <c r="I10" s="233">
        <f t="shared" si="5"/>
        <v>70.22782682</v>
      </c>
      <c r="J10" s="233">
        <f t="shared" si="5"/>
        <v>116.3311194</v>
      </c>
      <c r="K10" s="233">
        <f t="shared" si="5"/>
        <v>174.3188876</v>
      </c>
      <c r="L10" s="233">
        <f t="shared" si="5"/>
        <v>244.4296869</v>
      </c>
      <c r="M10" s="228">
        <f t="shared" si="5"/>
        <v>326.9076491</v>
      </c>
      <c r="N10" s="233">
        <f t="shared" si="5"/>
        <v>422.0026449</v>
      </c>
      <c r="O10" s="234">
        <f t="shared" si="5"/>
        <v>529.9704527</v>
      </c>
      <c r="P10" s="233">
        <f t="shared" si="5"/>
        <v>651.0729324</v>
      </c>
      <c r="Q10" s="233">
        <f t="shared" si="5"/>
        <v>785.5782059</v>
      </c>
      <c r="R10" s="233">
        <f t="shared" si="5"/>
        <v>933.760844</v>
      </c>
      <c r="S10" s="233">
        <f t="shared" si="5"/>
        <v>1095.90206</v>
      </c>
      <c r="T10" s="233">
        <f t="shared" si="5"/>
        <v>1272.289908</v>
      </c>
      <c r="U10" s="233">
        <f t="shared" si="5"/>
        <v>1428.726719</v>
      </c>
      <c r="V10" s="233">
        <f t="shared" si="5"/>
        <v>1590.489899</v>
      </c>
      <c r="W10" s="228">
        <f t="shared" si="5"/>
        <v>1757.746446</v>
      </c>
      <c r="X10" s="233">
        <f t="shared" si="5"/>
        <v>1930.668931</v>
      </c>
      <c r="Y10" s="234">
        <f t="shared" si="5"/>
        <v>2149.435706</v>
      </c>
      <c r="Z10" s="233">
        <f t="shared" si="5"/>
        <v>2134.231515</v>
      </c>
      <c r="AA10" s="233">
        <f t="shared" si="5"/>
        <v>2125.24452</v>
      </c>
      <c r="AB10" s="233">
        <f t="shared" si="5"/>
        <v>2122.67173</v>
      </c>
      <c r="AC10" s="233">
        <f t="shared" si="5"/>
        <v>2126.716843</v>
      </c>
      <c r="AD10" s="233">
        <f t="shared" si="5"/>
        <v>2502.590494</v>
      </c>
      <c r="AE10" s="233">
        <f t="shared" si="5"/>
        <v>2525.514169</v>
      </c>
      <c r="AF10" s="233">
        <f t="shared" si="5"/>
        <v>2555.709569</v>
      </c>
      <c r="AG10" s="228">
        <f t="shared" si="5"/>
        <v>2289.965309</v>
      </c>
      <c r="AH10" s="233">
        <f t="shared" si="5"/>
        <v>2027.412217</v>
      </c>
      <c r="AI10" s="234">
        <f t="shared" si="5"/>
        <v>1768.231408</v>
      </c>
      <c r="AJ10" s="234">
        <f t="shared" si="5"/>
        <v>1512.61163</v>
      </c>
      <c r="AK10" s="234">
        <f t="shared" si="5"/>
        <v>1500.749579</v>
      </c>
      <c r="AL10" s="234">
        <f t="shared" si="5"/>
        <v>1492.852624</v>
      </c>
      <c r="AM10" s="234">
        <f t="shared" si="5"/>
        <v>1489.134341</v>
      </c>
      <c r="AN10" s="234">
        <f t="shared" si="5"/>
        <v>1489.817269</v>
      </c>
      <c r="AO10" s="234">
        <f t="shared" si="5"/>
        <v>1495.133276</v>
      </c>
      <c r="AP10" s="234">
        <f t="shared" si="5"/>
        <v>1505.32394</v>
      </c>
      <c r="AQ10" s="234">
        <f t="shared" si="5"/>
        <v>1520.640943</v>
      </c>
      <c r="AR10" s="234">
        <f t="shared" si="5"/>
        <v>1541.346491</v>
      </c>
      <c r="AS10" s="234">
        <f t="shared" si="5"/>
        <v>1567.713735</v>
      </c>
      <c r="AT10" s="234">
        <f t="shared" si="5"/>
        <v>1600.027227</v>
      </c>
      <c r="AU10" s="234">
        <f t="shared" si="5"/>
        <v>1638.583378</v>
      </c>
      <c r="AV10" s="234">
        <f t="shared" si="5"/>
        <v>1683.690951</v>
      </c>
      <c r="AW10" s="234">
        <f t="shared" si="5"/>
        <v>1735.671556</v>
      </c>
      <c r="AX10" s="234">
        <f t="shared" si="5"/>
        <v>1794.860183</v>
      </c>
      <c r="AY10" s="234">
        <f t="shared" si="5"/>
        <v>1861.605744</v>
      </c>
      <c r="AZ10" s="234">
        <f t="shared" si="5"/>
        <v>1936.271643</v>
      </c>
      <c r="BA10" s="234">
        <f t="shared" si="5"/>
        <v>2019.236367</v>
      </c>
      <c r="BB10" s="234">
        <f t="shared" si="5"/>
        <v>2110.894103</v>
      </c>
      <c r="BC10" s="234">
        <f t="shared" si="5"/>
        <v>-3863.09722</v>
      </c>
      <c r="BD10" s="234">
        <f t="shared" si="5"/>
        <v>-4036.967053</v>
      </c>
      <c r="BE10" s="234">
        <f t="shared" si="5"/>
        <v>-4212.437781</v>
      </c>
      <c r="BF10" s="234">
        <f t="shared" si="5"/>
        <v>-4389.517415</v>
      </c>
      <c r="BG10" s="234">
        <f t="shared" si="5"/>
        <v>-4568.214008</v>
      </c>
      <c r="BH10" s="234">
        <f t="shared" si="5"/>
        <v>-4748.535651</v>
      </c>
      <c r="BI10" s="235">
        <f t="shared" si="5"/>
        <v>-4930.490477</v>
      </c>
    </row>
    <row r="11">
      <c r="A11" s="227"/>
      <c r="B11" s="236" t="s">
        <v>122</v>
      </c>
      <c r="C11" s="237"/>
      <c r="D11" s="238"/>
      <c r="E11" s="239">
        <v>40.0</v>
      </c>
      <c r="F11" s="240">
        <f>+E11</f>
        <v>40</v>
      </c>
      <c r="G11" s="239">
        <f t="shared" ref="G11:X11" si="6">F11</f>
        <v>40</v>
      </c>
      <c r="H11" s="239">
        <f t="shared" si="6"/>
        <v>40</v>
      </c>
      <c r="I11" s="239">
        <f t="shared" si="6"/>
        <v>40</v>
      </c>
      <c r="J11" s="239">
        <f t="shared" si="6"/>
        <v>40</v>
      </c>
      <c r="K11" s="239">
        <f t="shared" si="6"/>
        <v>40</v>
      </c>
      <c r="L11" s="239">
        <f t="shared" si="6"/>
        <v>40</v>
      </c>
      <c r="M11" s="239">
        <f t="shared" si="6"/>
        <v>40</v>
      </c>
      <c r="N11" s="239">
        <f t="shared" si="6"/>
        <v>40</v>
      </c>
      <c r="O11" s="239">
        <f t="shared" si="6"/>
        <v>40</v>
      </c>
      <c r="P11" s="239">
        <f t="shared" si="6"/>
        <v>40</v>
      </c>
      <c r="Q11" s="239">
        <f t="shared" si="6"/>
        <v>40</v>
      </c>
      <c r="R11" s="239">
        <f t="shared" si="6"/>
        <v>40</v>
      </c>
      <c r="S11" s="239">
        <f t="shared" si="6"/>
        <v>40</v>
      </c>
      <c r="T11" s="239">
        <f t="shared" si="6"/>
        <v>40</v>
      </c>
      <c r="U11" s="239">
        <f t="shared" si="6"/>
        <v>40</v>
      </c>
      <c r="V11" s="239">
        <f t="shared" si="6"/>
        <v>40</v>
      </c>
      <c r="W11" s="239">
        <f t="shared" si="6"/>
        <v>40</v>
      </c>
      <c r="X11" s="239">
        <f t="shared" si="6"/>
        <v>40</v>
      </c>
      <c r="Y11" s="241">
        <v>0.0</v>
      </c>
      <c r="Z11" s="241">
        <v>0.0</v>
      </c>
      <c r="AA11" s="241">
        <v>0.0</v>
      </c>
      <c r="AB11" s="239">
        <v>0.0</v>
      </c>
      <c r="AC11" s="239">
        <v>0.0</v>
      </c>
      <c r="AD11" s="239">
        <v>0.0</v>
      </c>
      <c r="AE11" s="239">
        <v>0.0</v>
      </c>
      <c r="AF11" s="239">
        <v>0.0</v>
      </c>
      <c r="AG11" s="239">
        <v>0.0</v>
      </c>
      <c r="AH11" s="239">
        <v>0.0</v>
      </c>
      <c r="AI11" s="239">
        <v>0.0</v>
      </c>
      <c r="AJ11" s="239">
        <v>0.0</v>
      </c>
      <c r="AK11" s="239">
        <v>0.0</v>
      </c>
      <c r="AL11" s="239">
        <v>0.0</v>
      </c>
      <c r="AM11" s="239">
        <v>0.0</v>
      </c>
      <c r="AN11" s="239">
        <v>0.0</v>
      </c>
      <c r="AO11" s="239">
        <v>0.0</v>
      </c>
      <c r="AP11" s="239">
        <v>0.0</v>
      </c>
      <c r="AQ11" s="239">
        <v>0.0</v>
      </c>
      <c r="AR11" s="239">
        <v>0.0</v>
      </c>
      <c r="AS11" s="239">
        <v>0.0</v>
      </c>
      <c r="AT11" s="239">
        <v>0.0</v>
      </c>
      <c r="AU11" s="239">
        <v>0.0</v>
      </c>
      <c r="AV11" s="239">
        <v>0.0</v>
      </c>
      <c r="AW11" s="239">
        <v>0.0</v>
      </c>
      <c r="AX11" s="239">
        <v>0.0</v>
      </c>
      <c r="AY11" s="239">
        <v>0.0</v>
      </c>
      <c r="AZ11" s="239">
        <v>0.0</v>
      </c>
      <c r="BA11" s="239">
        <v>0.0</v>
      </c>
      <c r="BB11" s="239">
        <v>0.0</v>
      </c>
      <c r="BC11" s="239">
        <v>0.0</v>
      </c>
      <c r="BD11" s="239">
        <v>0.0</v>
      </c>
      <c r="BE11" s="239">
        <v>0.0</v>
      </c>
      <c r="BF11" s="239">
        <v>0.0</v>
      </c>
      <c r="BG11" s="239">
        <v>0.0</v>
      </c>
      <c r="BH11" s="239">
        <v>0.0</v>
      </c>
      <c r="BI11" s="239">
        <v>0.0</v>
      </c>
    </row>
    <row r="12">
      <c r="A12" s="227"/>
      <c r="B12" s="242" t="s">
        <v>123</v>
      </c>
      <c r="C12" s="243"/>
      <c r="D12" s="244"/>
      <c r="E12" s="245">
        <v>0.0</v>
      </c>
      <c r="F12" s="246">
        <f t="shared" ref="F12:BI12" si="7">E12</f>
        <v>0</v>
      </c>
      <c r="G12" s="246">
        <f t="shared" si="7"/>
        <v>0</v>
      </c>
      <c r="H12" s="246">
        <f t="shared" si="7"/>
        <v>0</v>
      </c>
      <c r="I12" s="246">
        <f t="shared" si="7"/>
        <v>0</v>
      </c>
      <c r="J12" s="246">
        <f t="shared" si="7"/>
        <v>0</v>
      </c>
      <c r="K12" s="246">
        <f t="shared" si="7"/>
        <v>0</v>
      </c>
      <c r="L12" s="246">
        <f t="shared" si="7"/>
        <v>0</v>
      </c>
      <c r="M12" s="246">
        <f t="shared" si="7"/>
        <v>0</v>
      </c>
      <c r="N12" s="246">
        <f t="shared" si="7"/>
        <v>0</v>
      </c>
      <c r="O12" s="246">
        <f t="shared" si="7"/>
        <v>0</v>
      </c>
      <c r="P12" s="246">
        <f t="shared" si="7"/>
        <v>0</v>
      </c>
      <c r="Q12" s="246">
        <f t="shared" si="7"/>
        <v>0</v>
      </c>
      <c r="R12" s="246">
        <f t="shared" si="7"/>
        <v>0</v>
      </c>
      <c r="S12" s="246">
        <f t="shared" si="7"/>
        <v>0</v>
      </c>
      <c r="T12" s="246">
        <f t="shared" si="7"/>
        <v>0</v>
      </c>
      <c r="U12" s="246">
        <f t="shared" si="7"/>
        <v>0</v>
      </c>
      <c r="V12" s="246">
        <f t="shared" si="7"/>
        <v>0</v>
      </c>
      <c r="W12" s="246">
        <f t="shared" si="7"/>
        <v>0</v>
      </c>
      <c r="X12" s="246">
        <f t="shared" si="7"/>
        <v>0</v>
      </c>
      <c r="Y12" s="246">
        <f t="shared" si="7"/>
        <v>0</v>
      </c>
      <c r="Z12" s="246">
        <f t="shared" si="7"/>
        <v>0</v>
      </c>
      <c r="AA12" s="246">
        <f t="shared" si="7"/>
        <v>0</v>
      </c>
      <c r="AB12" s="246">
        <f t="shared" si="7"/>
        <v>0</v>
      </c>
      <c r="AC12" s="246">
        <f t="shared" si="7"/>
        <v>0</v>
      </c>
      <c r="AD12" s="246">
        <f t="shared" si="7"/>
        <v>0</v>
      </c>
      <c r="AE12" s="246">
        <f t="shared" si="7"/>
        <v>0</v>
      </c>
      <c r="AF12" s="246">
        <f t="shared" si="7"/>
        <v>0</v>
      </c>
      <c r="AG12" s="246">
        <f t="shared" si="7"/>
        <v>0</v>
      </c>
      <c r="AH12" s="246">
        <f t="shared" si="7"/>
        <v>0</v>
      </c>
      <c r="AI12" s="246">
        <f t="shared" si="7"/>
        <v>0</v>
      </c>
      <c r="AJ12" s="246">
        <f t="shared" si="7"/>
        <v>0</v>
      </c>
      <c r="AK12" s="246">
        <f t="shared" si="7"/>
        <v>0</v>
      </c>
      <c r="AL12" s="246">
        <f t="shared" si="7"/>
        <v>0</v>
      </c>
      <c r="AM12" s="246">
        <f t="shared" si="7"/>
        <v>0</v>
      </c>
      <c r="AN12" s="246">
        <f t="shared" si="7"/>
        <v>0</v>
      </c>
      <c r="AO12" s="246">
        <f t="shared" si="7"/>
        <v>0</v>
      </c>
      <c r="AP12" s="246">
        <f t="shared" si="7"/>
        <v>0</v>
      </c>
      <c r="AQ12" s="246">
        <f t="shared" si="7"/>
        <v>0</v>
      </c>
      <c r="AR12" s="246">
        <f t="shared" si="7"/>
        <v>0</v>
      </c>
      <c r="AS12" s="246">
        <f t="shared" si="7"/>
        <v>0</v>
      </c>
      <c r="AT12" s="246">
        <f t="shared" si="7"/>
        <v>0</v>
      </c>
      <c r="AU12" s="246">
        <f t="shared" si="7"/>
        <v>0</v>
      </c>
      <c r="AV12" s="246">
        <f t="shared" si="7"/>
        <v>0</v>
      </c>
      <c r="AW12" s="246">
        <f t="shared" si="7"/>
        <v>0</v>
      </c>
      <c r="AX12" s="246">
        <f t="shared" si="7"/>
        <v>0</v>
      </c>
      <c r="AY12" s="246">
        <f t="shared" si="7"/>
        <v>0</v>
      </c>
      <c r="AZ12" s="246">
        <f t="shared" si="7"/>
        <v>0</v>
      </c>
      <c r="BA12" s="246">
        <f t="shared" si="7"/>
        <v>0</v>
      </c>
      <c r="BB12" s="246">
        <f t="shared" si="7"/>
        <v>0</v>
      </c>
      <c r="BC12" s="246">
        <f t="shared" si="7"/>
        <v>0</v>
      </c>
      <c r="BD12" s="246">
        <f t="shared" si="7"/>
        <v>0</v>
      </c>
      <c r="BE12" s="246">
        <f t="shared" si="7"/>
        <v>0</v>
      </c>
      <c r="BF12" s="246">
        <f t="shared" si="7"/>
        <v>0</v>
      </c>
      <c r="BG12" s="246">
        <f t="shared" si="7"/>
        <v>0</v>
      </c>
      <c r="BH12" s="246">
        <f t="shared" si="7"/>
        <v>0</v>
      </c>
      <c r="BI12" s="247">
        <f t="shared" si="7"/>
        <v>0</v>
      </c>
    </row>
    <row r="13">
      <c r="A13" s="227"/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</row>
    <row r="14">
      <c r="A14" s="227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</row>
    <row r="15">
      <c r="A15" s="227"/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</row>
    <row r="16">
      <c r="A16" s="227"/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</row>
    <row r="17">
      <c r="A17" s="227"/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</row>
    <row r="18">
      <c r="A18" s="227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</row>
    <row r="19">
      <c r="A19" s="227"/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</row>
    <row r="20">
      <c r="A20" s="227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</row>
    <row r="21">
      <c r="A21" s="227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</row>
    <row r="22">
      <c r="A22" s="227"/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</row>
    <row r="23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</row>
    <row r="24">
      <c r="A24" s="227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</row>
    <row r="25">
      <c r="A25" s="227"/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</row>
    <row r="26">
      <c r="A26" s="227"/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</row>
    <row r="27">
      <c r="A27" s="227"/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</row>
    <row r="28">
      <c r="A28" s="227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</row>
    <row r="29">
      <c r="A29" s="227"/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</row>
    <row r="30">
      <c r="A30" s="227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</row>
    <row r="31">
      <c r="A31" s="227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7"/>
      <c r="BH31" s="227"/>
      <c r="BI31" s="227"/>
    </row>
    <row r="32">
      <c r="A32" s="227"/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7"/>
      <c r="BC32" s="227"/>
      <c r="BD32" s="227"/>
      <c r="BE32" s="227"/>
      <c r="BF32" s="227"/>
      <c r="BG32" s="227"/>
      <c r="BH32" s="227"/>
      <c r="BI32" s="227"/>
    </row>
    <row r="33">
      <c r="A33" s="227"/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  <c r="BC33" s="227"/>
      <c r="BD33" s="227"/>
      <c r="BE33" s="227"/>
      <c r="BF33" s="227"/>
      <c r="BG33" s="227"/>
      <c r="BH33" s="227"/>
      <c r="BI33" s="227"/>
    </row>
    <row r="34">
      <c r="A34" s="227"/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7"/>
      <c r="AZ34" s="227"/>
      <c r="BA34" s="227"/>
      <c r="BB34" s="227"/>
      <c r="BC34" s="227"/>
      <c r="BD34" s="227"/>
      <c r="BE34" s="227"/>
      <c r="BF34" s="227"/>
      <c r="BG34" s="227"/>
      <c r="BH34" s="227"/>
      <c r="BI34" s="227"/>
    </row>
    <row r="35">
      <c r="A35" s="227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7"/>
      <c r="BB35" s="227"/>
      <c r="BC35" s="227"/>
      <c r="BD35" s="227"/>
      <c r="BE35" s="227"/>
      <c r="BF35" s="227"/>
      <c r="BG35" s="227"/>
      <c r="BH35" s="227"/>
      <c r="BI35" s="227"/>
    </row>
    <row r="36">
      <c r="A36" s="22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</row>
    <row r="37">
      <c r="A37" s="227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</row>
    <row r="38">
      <c r="A38" s="227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  <c r="BC38" s="227"/>
      <c r="BD38" s="227"/>
      <c r="BE38" s="227"/>
      <c r="BF38" s="227"/>
      <c r="BG38" s="227"/>
      <c r="BH38" s="227"/>
      <c r="BI38" s="227"/>
    </row>
    <row r="39">
      <c r="A39" s="227"/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</row>
    <row r="40">
      <c r="A40" s="227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  <c r="BC40" s="227"/>
      <c r="BD40" s="227"/>
      <c r="BE40" s="227"/>
      <c r="BF40" s="227"/>
      <c r="BG40" s="227"/>
      <c r="BH40" s="227"/>
      <c r="BI40" s="227"/>
    </row>
    <row r="41">
      <c r="A41" s="227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</row>
    <row r="42">
      <c r="A42" s="227"/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</row>
    <row r="43">
      <c r="A43" s="227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  <c r="BC43" s="227"/>
      <c r="BD43" s="227"/>
      <c r="BE43" s="227"/>
      <c r="BF43" s="227"/>
      <c r="BG43" s="227"/>
      <c r="BH43" s="227"/>
      <c r="BI43" s="227"/>
    </row>
    <row r="44">
      <c r="A44" s="227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</row>
    <row r="45">
      <c r="A45" s="227"/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  <c r="BD45" s="227"/>
      <c r="BE45" s="227"/>
      <c r="BF45" s="227"/>
      <c r="BG45" s="227"/>
      <c r="BH45" s="227"/>
      <c r="BI45" s="227"/>
    </row>
    <row r="46">
      <c r="A46" s="227"/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  <c r="BD46" s="227"/>
      <c r="BE46" s="227"/>
      <c r="BF46" s="227"/>
      <c r="BG46" s="227"/>
      <c r="BH46" s="227"/>
      <c r="BI46" s="227"/>
    </row>
    <row r="47">
      <c r="A47" s="227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</row>
    <row r="48">
      <c r="A48" s="227"/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8"/>
    </row>
    <row r="49">
      <c r="A49" s="227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8"/>
    </row>
    <row r="50">
      <c r="A50" s="227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8"/>
    </row>
    <row r="5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8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8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  <c r="BH53" s="227"/>
      <c r="BI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  <c r="BH54" s="227"/>
      <c r="BI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  <c r="BH56" s="227"/>
      <c r="BI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</row>
    <row r="58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7"/>
      <c r="BC58" s="227"/>
      <c r="BD58" s="227"/>
      <c r="BE58" s="227"/>
      <c r="BF58" s="227"/>
      <c r="BG58" s="227"/>
      <c r="BH58" s="227"/>
      <c r="BI58" s="227"/>
    </row>
    <row r="59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/>
      <c r="BI59" s="227"/>
    </row>
    <row r="60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  <c r="BD60" s="227"/>
      <c r="BE60" s="227"/>
      <c r="BF60" s="227"/>
      <c r="BG60" s="227"/>
      <c r="BH60" s="227"/>
      <c r="BI60" s="227"/>
    </row>
    <row r="6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  <c r="BH61" s="227"/>
      <c r="BI61" s="227"/>
    </row>
    <row r="62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  <c r="BH62" s="227"/>
      <c r="BI62" s="227"/>
    </row>
    <row r="63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  <c r="BH63" s="227"/>
      <c r="BI63" s="227"/>
    </row>
    <row r="64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  <c r="BH64" s="227"/>
      <c r="BI64" s="227"/>
    </row>
    <row r="65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</row>
    <row r="66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  <c r="BH66" s="227"/>
      <c r="BI66" s="227"/>
    </row>
    <row r="67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  <c r="BH67" s="227"/>
      <c r="BI67" s="227"/>
    </row>
    <row r="68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7"/>
      <c r="BC68" s="227"/>
      <c r="BD68" s="227"/>
      <c r="BE68" s="227"/>
      <c r="BF68" s="227"/>
      <c r="BG68" s="227"/>
      <c r="BH68" s="227"/>
      <c r="BI68" s="227"/>
    </row>
    <row r="69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  <c r="BH69" s="227"/>
      <c r="BI69" s="227"/>
    </row>
    <row r="70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  <c r="BH70" s="227"/>
      <c r="BI70" s="227"/>
    </row>
    <row r="7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  <c r="BH71" s="227"/>
      <c r="BI71" s="227"/>
    </row>
    <row r="72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227"/>
      <c r="AX72" s="227"/>
      <c r="AY72" s="227"/>
      <c r="AZ72" s="227"/>
      <c r="BA72" s="227"/>
      <c r="BB72" s="227"/>
      <c r="BC72" s="227"/>
      <c r="BD72" s="227"/>
      <c r="BE72" s="227"/>
      <c r="BF72" s="227"/>
      <c r="BG72" s="227"/>
      <c r="BH72" s="227"/>
      <c r="BI72" s="227"/>
    </row>
    <row r="73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  <c r="BH73" s="227"/>
      <c r="BI73" s="227"/>
    </row>
    <row r="74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27"/>
      <c r="BF74" s="227"/>
      <c r="BG74" s="227"/>
      <c r="BH74" s="227"/>
      <c r="BI74" s="227"/>
    </row>
    <row r="75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</row>
    <row r="76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7"/>
      <c r="AZ76" s="227"/>
      <c r="BA76" s="227"/>
      <c r="BB76" s="227"/>
      <c r="BC76" s="227"/>
      <c r="BD76" s="227"/>
      <c r="BE76" s="227"/>
      <c r="BF76" s="227"/>
      <c r="BG76" s="227"/>
      <c r="BH76" s="227"/>
      <c r="BI76" s="227"/>
    </row>
    <row r="77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  <c r="BH77" s="227"/>
      <c r="BI77" s="227"/>
    </row>
    <row r="78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227"/>
      <c r="BD78" s="227"/>
      <c r="BE78" s="227"/>
      <c r="BF78" s="227"/>
      <c r="BG78" s="227"/>
      <c r="BH78" s="227"/>
      <c r="BI78" s="227"/>
    </row>
    <row r="79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  <c r="BH79" s="227"/>
      <c r="BI79" s="227"/>
    </row>
    <row r="80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  <c r="AT80" s="227"/>
      <c r="AU80" s="227"/>
      <c r="AV80" s="227"/>
      <c r="AW80" s="227"/>
      <c r="AX80" s="227"/>
      <c r="AY80" s="227"/>
      <c r="AZ80" s="227"/>
      <c r="BA80" s="227"/>
      <c r="BB80" s="227"/>
      <c r="BC80" s="227"/>
      <c r="BD80" s="227"/>
      <c r="BE80" s="227"/>
      <c r="BF80" s="227"/>
      <c r="BG80" s="227"/>
      <c r="BH80" s="227"/>
      <c r="BI80" s="227"/>
    </row>
    <row r="8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  <c r="BH81" s="227"/>
      <c r="BI81" s="227"/>
    </row>
    <row r="82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  <c r="AT82" s="227"/>
      <c r="AU82" s="227"/>
      <c r="AV82" s="227"/>
      <c r="AW82" s="227"/>
      <c r="AX82" s="227"/>
      <c r="AY82" s="227"/>
      <c r="AZ82" s="227"/>
      <c r="BA82" s="227"/>
      <c r="BB82" s="227"/>
      <c r="BC82" s="227"/>
      <c r="BD82" s="227"/>
      <c r="BE82" s="227"/>
      <c r="BF82" s="227"/>
      <c r="BG82" s="227"/>
      <c r="BH82" s="227"/>
      <c r="BI82" s="227"/>
    </row>
    <row r="83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  <c r="BH83" s="227"/>
      <c r="BI83" s="227"/>
    </row>
    <row r="84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  <c r="AT84" s="227"/>
      <c r="AU84" s="227"/>
      <c r="AV84" s="227"/>
      <c r="AW84" s="227"/>
      <c r="AX84" s="227"/>
      <c r="AY84" s="227"/>
      <c r="AZ84" s="227"/>
      <c r="BA84" s="227"/>
      <c r="BB84" s="227"/>
      <c r="BC84" s="227"/>
      <c r="BD84" s="227"/>
      <c r="BE84" s="227"/>
      <c r="BF84" s="227"/>
      <c r="BG84" s="227"/>
      <c r="BH84" s="227"/>
      <c r="BI84" s="227"/>
    </row>
    <row r="85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  <c r="BH85" s="227"/>
      <c r="BI85" s="227"/>
    </row>
    <row r="86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  <c r="AT86" s="227"/>
      <c r="AU86" s="227"/>
      <c r="AV86" s="227"/>
      <c r="AW86" s="227"/>
      <c r="AX86" s="227"/>
      <c r="AY86" s="227"/>
      <c r="AZ86" s="227"/>
      <c r="BA86" s="227"/>
      <c r="BB86" s="227"/>
      <c r="BC86" s="227"/>
      <c r="BD86" s="227"/>
      <c r="BE86" s="227"/>
      <c r="BF86" s="227"/>
      <c r="BG86" s="227"/>
      <c r="BH86" s="227"/>
      <c r="BI86" s="227"/>
    </row>
    <row r="87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  <c r="BH87" s="227"/>
      <c r="BI87" s="227"/>
    </row>
    <row r="88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227"/>
      <c r="BB88" s="227"/>
      <c r="BC88" s="227"/>
      <c r="BD88" s="227"/>
      <c r="BE88" s="227"/>
      <c r="BF88" s="227"/>
      <c r="BG88" s="227"/>
      <c r="BH88" s="227"/>
      <c r="BI88" s="227"/>
    </row>
    <row r="89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  <c r="BH89" s="227"/>
      <c r="BI89" s="227"/>
    </row>
    <row r="90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  <c r="BH90" s="227"/>
      <c r="BI90" s="227"/>
    </row>
    <row r="9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  <c r="BH91" s="227"/>
      <c r="BI91" s="227"/>
    </row>
    <row r="92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27"/>
      <c r="BF92" s="227"/>
      <c r="BG92" s="227"/>
      <c r="BH92" s="227"/>
      <c r="BI92" s="227"/>
    </row>
    <row r="93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  <c r="BH93" s="227"/>
      <c r="BI93" s="227"/>
    </row>
    <row r="94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7"/>
      <c r="BC94" s="227"/>
      <c r="BD94" s="227"/>
      <c r="BE94" s="227"/>
      <c r="BF94" s="227"/>
      <c r="BG94" s="227"/>
      <c r="BH94" s="227"/>
      <c r="BI94" s="227"/>
    </row>
    <row r="95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  <c r="BH95" s="227"/>
      <c r="BI95" s="227"/>
    </row>
    <row r="96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7"/>
      <c r="BC96" s="227"/>
      <c r="BD96" s="227"/>
      <c r="BE96" s="227"/>
      <c r="BF96" s="227"/>
      <c r="BG96" s="227"/>
      <c r="BH96" s="227"/>
      <c r="BI96" s="227"/>
    </row>
    <row r="97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  <c r="BH97" s="227"/>
      <c r="BI97" s="227"/>
    </row>
    <row r="98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7"/>
      <c r="BE98" s="227"/>
      <c r="BF98" s="227"/>
      <c r="BG98" s="227"/>
      <c r="BH98" s="227"/>
      <c r="BI98" s="227"/>
    </row>
    <row r="99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  <c r="BH99" s="227"/>
      <c r="BI99" s="227"/>
    </row>
    <row r="10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  <c r="BH100" s="227"/>
      <c r="BI100" s="227"/>
    </row>
    <row r="10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  <c r="BH101" s="227"/>
      <c r="BI101" s="227"/>
    </row>
    <row r="102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7"/>
      <c r="AX102" s="227"/>
      <c r="AY102" s="227"/>
      <c r="AZ102" s="227"/>
      <c r="BA102" s="227"/>
      <c r="BB102" s="227"/>
      <c r="BC102" s="227"/>
      <c r="BD102" s="227"/>
      <c r="BE102" s="227"/>
      <c r="BF102" s="227"/>
      <c r="BG102" s="227"/>
      <c r="BH102" s="227"/>
      <c r="BI102" s="227"/>
    </row>
    <row r="103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</row>
    <row r="104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  <c r="BH104" s="227"/>
      <c r="BI104" s="227"/>
    </row>
    <row r="105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</row>
    <row r="10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  <c r="BH106" s="227"/>
      <c r="BI106" s="227"/>
    </row>
    <row r="107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</row>
    <row r="108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</row>
    <row r="109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  <c r="BH109" s="227"/>
      <c r="BI109" s="227"/>
    </row>
    <row r="1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  <c r="BH110" s="227"/>
      <c r="BI110" s="227"/>
    </row>
    <row r="11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</row>
    <row r="112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</row>
    <row r="113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</row>
    <row r="114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</row>
    <row r="115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</row>
    <row r="11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</row>
    <row r="117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</row>
    <row r="118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</row>
    <row r="119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</row>
    <row r="12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</row>
    <row r="12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</row>
    <row r="122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</row>
    <row r="123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</row>
    <row r="124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</row>
    <row r="125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</row>
    <row r="1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</row>
    <row r="127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</row>
    <row r="128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</row>
    <row r="129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</row>
    <row r="13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7"/>
      <c r="AE130" s="227"/>
      <c r="AF130" s="227"/>
      <c r="AG130" s="227"/>
      <c r="AH130" s="227"/>
      <c r="AI130" s="227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  <c r="BG130" s="227"/>
      <c r="BH130" s="227"/>
      <c r="BI130" s="227"/>
    </row>
    <row r="13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</row>
    <row r="132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227"/>
      <c r="BG132" s="227"/>
      <c r="BH132" s="227"/>
      <c r="BI132" s="227"/>
    </row>
    <row r="133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</row>
    <row r="134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  <c r="BG134" s="227"/>
      <c r="BH134" s="227"/>
      <c r="BI134" s="227"/>
    </row>
    <row r="135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</row>
    <row r="13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 s="227"/>
      <c r="BA136" s="227"/>
      <c r="BB136" s="227"/>
      <c r="BC136" s="227"/>
      <c r="BD136" s="227"/>
      <c r="BE136" s="227"/>
      <c r="BF136" s="227"/>
      <c r="BG136" s="227"/>
      <c r="BH136" s="227"/>
      <c r="BI136" s="227"/>
    </row>
    <row r="137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</row>
    <row r="138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</row>
    <row r="139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/>
      <c r="BG139" s="227"/>
      <c r="BH139" s="227"/>
      <c r="BI139" s="227"/>
    </row>
    <row r="14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227"/>
      <c r="AE140" s="227"/>
      <c r="AF140" s="227"/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/>
      <c r="BG140" s="227"/>
      <c r="BH140" s="227"/>
      <c r="BI140" s="227"/>
    </row>
    <row r="14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27"/>
      <c r="AL141" s="227"/>
      <c r="AM141" s="227"/>
      <c r="AN141" s="227"/>
      <c r="AO141" s="227"/>
      <c r="AP141" s="227"/>
      <c r="AQ141" s="227"/>
      <c r="AR141" s="227"/>
      <c r="AS141" s="227"/>
      <c r="AT141" s="227"/>
      <c r="AU141" s="227"/>
      <c r="AV141" s="227"/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  <c r="BG141" s="227"/>
      <c r="BH141" s="227"/>
      <c r="BI141" s="227"/>
    </row>
    <row r="142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7"/>
      <c r="AQ142" s="227"/>
      <c r="AR142" s="227"/>
      <c r="AS142" s="227"/>
      <c r="AT142" s="227"/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/>
      <c r="BG142" s="227"/>
      <c r="BH142" s="227"/>
      <c r="BI142" s="227"/>
    </row>
    <row r="143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/>
      <c r="BG143" s="227"/>
      <c r="BH143" s="227"/>
      <c r="BI143" s="227"/>
    </row>
    <row r="144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  <c r="AC144" s="227"/>
      <c r="AD144" s="227"/>
      <c r="AE144" s="227"/>
      <c r="AF144" s="227"/>
      <c r="AG144" s="227"/>
      <c r="AH144" s="227"/>
      <c r="AI144" s="227"/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  <c r="BG144" s="227"/>
      <c r="BH144" s="227"/>
      <c r="BI144" s="227"/>
    </row>
    <row r="145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27"/>
      <c r="AL145" s="227"/>
      <c r="AM145" s="227"/>
      <c r="AN145" s="227"/>
      <c r="AO145" s="227"/>
      <c r="AP145" s="227"/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227"/>
      <c r="BA145" s="227"/>
      <c r="BB145" s="227"/>
      <c r="BC145" s="227"/>
      <c r="BD145" s="227"/>
      <c r="BE145" s="227"/>
      <c r="BF145" s="227"/>
      <c r="BG145" s="227"/>
      <c r="BH145" s="227"/>
      <c r="BI145" s="227"/>
    </row>
    <row r="14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</row>
    <row r="147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/>
      <c r="BG147" s="227"/>
      <c r="BH147" s="227"/>
      <c r="BI147" s="227"/>
    </row>
    <row r="148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/>
      <c r="BG148" s="227"/>
      <c r="BH148" s="227"/>
      <c r="BI148" s="227"/>
    </row>
    <row r="149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/>
      <c r="BG149" s="227"/>
      <c r="BH149" s="227"/>
      <c r="BI149" s="227"/>
    </row>
    <row r="15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  <c r="AC150" s="227"/>
      <c r="AD150" s="227"/>
      <c r="AE150" s="227"/>
      <c r="AF150" s="227"/>
      <c r="AG150" s="227"/>
      <c r="AH150" s="227"/>
      <c r="AI150" s="227"/>
      <c r="AJ150" s="227"/>
      <c r="AK150" s="227"/>
      <c r="AL150" s="227"/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/>
      <c r="BG150" s="227"/>
      <c r="BH150" s="227"/>
      <c r="BI150" s="227"/>
    </row>
    <row r="15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/>
      <c r="BG151" s="227"/>
      <c r="BH151" s="227"/>
      <c r="BI151" s="227"/>
    </row>
    <row r="152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/>
      <c r="BG152" s="227"/>
      <c r="BH152" s="227"/>
      <c r="BI152" s="227"/>
    </row>
    <row r="153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/>
      <c r="BG153" s="227"/>
      <c r="BH153" s="227"/>
      <c r="BI153" s="227"/>
    </row>
    <row r="154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7"/>
      <c r="AZ154" s="227"/>
      <c r="BA154" s="227"/>
      <c r="BB154" s="227"/>
      <c r="BC154" s="227"/>
      <c r="BD154" s="227"/>
      <c r="BE154" s="227"/>
      <c r="BF154" s="227"/>
      <c r="BG154" s="227"/>
      <c r="BH154" s="227"/>
      <c r="BI154" s="227"/>
    </row>
    <row r="155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</row>
    <row r="15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  <c r="AC156" s="227"/>
      <c r="AD156" s="227"/>
      <c r="AE156" s="227"/>
      <c r="AF156" s="227"/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27"/>
      <c r="BC156" s="227"/>
      <c r="BD156" s="227"/>
      <c r="BE156" s="227"/>
      <c r="BF156" s="227"/>
      <c r="BG156" s="227"/>
      <c r="BH156" s="227"/>
      <c r="BI156" s="227"/>
    </row>
    <row r="157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  <c r="AT157" s="227"/>
      <c r="AU157" s="227"/>
      <c r="AV157" s="227"/>
      <c r="AW157" s="227"/>
      <c r="AX157" s="227"/>
      <c r="AY157" s="227"/>
      <c r="AZ157" s="227"/>
      <c r="BA157" s="227"/>
      <c r="BB157" s="227"/>
      <c r="BC157" s="227"/>
      <c r="BD157" s="227"/>
      <c r="BE157" s="227"/>
      <c r="BF157" s="227"/>
      <c r="BG157" s="227"/>
      <c r="BH157" s="227"/>
      <c r="BI157" s="227"/>
    </row>
    <row r="158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27"/>
      <c r="BC158" s="227"/>
      <c r="BD158" s="227"/>
      <c r="BE158" s="227"/>
      <c r="BF158" s="227"/>
      <c r="BG158" s="227"/>
      <c r="BH158" s="227"/>
      <c r="BI158" s="227"/>
    </row>
    <row r="159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  <c r="AT159" s="227"/>
      <c r="AU159" s="227"/>
      <c r="AV159" s="227"/>
      <c r="AW159" s="227"/>
      <c r="AX159" s="227"/>
      <c r="AY159" s="227"/>
      <c r="AZ159" s="227"/>
      <c r="BA159" s="227"/>
      <c r="BB159" s="227"/>
      <c r="BC159" s="227"/>
      <c r="BD159" s="227"/>
      <c r="BE159" s="227"/>
      <c r="BF159" s="227"/>
      <c r="BG159" s="227"/>
      <c r="BH159" s="227"/>
      <c r="BI159" s="227"/>
    </row>
    <row r="16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27"/>
      <c r="BC160" s="227"/>
      <c r="BD160" s="227"/>
      <c r="BE160" s="227"/>
      <c r="BF160" s="227"/>
      <c r="BG160" s="227"/>
      <c r="BH160" s="227"/>
      <c r="BI160" s="227"/>
    </row>
    <row r="16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  <c r="AT161" s="227"/>
      <c r="AU161" s="227"/>
      <c r="AV161" s="227"/>
      <c r="AW161" s="227"/>
      <c r="AX161" s="227"/>
      <c r="AY161" s="227"/>
      <c r="AZ161" s="227"/>
      <c r="BA161" s="227"/>
      <c r="BB161" s="227"/>
      <c r="BC161" s="227"/>
      <c r="BD161" s="227"/>
      <c r="BE161" s="227"/>
      <c r="BF161" s="227"/>
      <c r="BG161" s="227"/>
      <c r="BH161" s="227"/>
      <c r="BI161" s="227"/>
    </row>
    <row r="162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7"/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  <c r="AT162" s="227"/>
      <c r="AU162" s="227"/>
      <c r="AV162" s="227"/>
      <c r="AW162" s="227"/>
      <c r="AX162" s="227"/>
      <c r="AY162" s="227"/>
      <c r="AZ162" s="227"/>
      <c r="BA162" s="227"/>
      <c r="BB162" s="227"/>
      <c r="BC162" s="227"/>
      <c r="BD162" s="227"/>
      <c r="BE162" s="227"/>
      <c r="BF162" s="227"/>
      <c r="BG162" s="227"/>
      <c r="BH162" s="227"/>
      <c r="BI162" s="227"/>
    </row>
    <row r="163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27"/>
      <c r="AL163" s="227"/>
      <c r="AM163" s="227"/>
      <c r="AN163" s="227"/>
      <c r="AO163" s="227"/>
      <c r="AP163" s="227"/>
      <c r="AQ163" s="227"/>
      <c r="AR163" s="227"/>
      <c r="AS163" s="227"/>
      <c r="AT163" s="227"/>
      <c r="AU163" s="227"/>
      <c r="AV163" s="227"/>
      <c r="AW163" s="227"/>
      <c r="AX163" s="227"/>
      <c r="AY163" s="227"/>
      <c r="AZ163" s="227"/>
      <c r="BA163" s="227"/>
      <c r="BB163" s="227"/>
      <c r="BC163" s="227"/>
      <c r="BD163" s="227"/>
      <c r="BE163" s="227"/>
      <c r="BF163" s="227"/>
      <c r="BG163" s="227"/>
      <c r="BH163" s="227"/>
      <c r="BI163" s="227"/>
    </row>
    <row r="164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  <c r="AC164" s="227"/>
      <c r="AD164" s="227"/>
      <c r="AE164" s="227"/>
      <c r="AF164" s="227"/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27"/>
      <c r="BC164" s="227"/>
      <c r="BD164" s="227"/>
      <c r="BE164" s="227"/>
      <c r="BF164" s="227"/>
      <c r="BG164" s="227"/>
      <c r="BH164" s="227"/>
      <c r="BI164" s="227"/>
    </row>
    <row r="165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  <c r="AT165" s="227"/>
      <c r="AU165" s="227"/>
      <c r="AV165" s="227"/>
      <c r="AW165" s="227"/>
      <c r="AX165" s="227"/>
      <c r="AY165" s="227"/>
      <c r="AZ165" s="227"/>
      <c r="BA165" s="227"/>
      <c r="BB165" s="227"/>
      <c r="BC165" s="227"/>
      <c r="BD165" s="227"/>
      <c r="BE165" s="227"/>
      <c r="BF165" s="227"/>
      <c r="BG165" s="227"/>
      <c r="BH165" s="227"/>
      <c r="BI165" s="227"/>
    </row>
    <row r="16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  <c r="AC166" s="227"/>
      <c r="AD166" s="227"/>
      <c r="AE166" s="227"/>
      <c r="AF166" s="227"/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27"/>
      <c r="BC166" s="227"/>
      <c r="BD166" s="227"/>
      <c r="BE166" s="227"/>
      <c r="BF166" s="227"/>
      <c r="BG166" s="227"/>
      <c r="BH166" s="227"/>
      <c r="BI166" s="227"/>
    </row>
    <row r="167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  <c r="AT167" s="227"/>
      <c r="AU167" s="227"/>
      <c r="AV167" s="227"/>
      <c r="AW167" s="227"/>
      <c r="AX167" s="227"/>
      <c r="AY167" s="227"/>
      <c r="AZ167" s="227"/>
      <c r="BA167" s="227"/>
      <c r="BB167" s="227"/>
      <c r="BC167" s="227"/>
      <c r="BD167" s="227"/>
      <c r="BE167" s="227"/>
      <c r="BF167" s="227"/>
      <c r="BG167" s="227"/>
      <c r="BH167" s="227"/>
      <c r="BI167" s="227"/>
    </row>
    <row r="168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  <c r="AC168" s="227"/>
      <c r="AD168" s="227"/>
      <c r="AE168" s="227"/>
      <c r="AF168" s="227"/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  <c r="AT168" s="227"/>
      <c r="AU168" s="227"/>
      <c r="AV168" s="227"/>
      <c r="AW168" s="227"/>
      <c r="AX168" s="227"/>
      <c r="AY168" s="227"/>
      <c r="AZ168" s="227"/>
      <c r="BA168" s="227"/>
      <c r="BB168" s="227"/>
      <c r="BC168" s="227"/>
      <c r="BD168" s="227"/>
      <c r="BE168" s="227"/>
      <c r="BF168" s="227"/>
      <c r="BG168" s="227"/>
      <c r="BH168" s="227"/>
      <c r="BI168" s="227"/>
    </row>
    <row r="169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  <c r="AT169" s="227"/>
      <c r="AU169" s="227"/>
      <c r="AV169" s="227"/>
      <c r="AW169" s="227"/>
      <c r="AX169" s="227"/>
      <c r="AY169" s="227"/>
      <c r="AZ169" s="227"/>
      <c r="BA169" s="227"/>
      <c r="BB169" s="227"/>
      <c r="BC169" s="227"/>
      <c r="BD169" s="227"/>
      <c r="BE169" s="227"/>
      <c r="BF169" s="227"/>
      <c r="BG169" s="227"/>
      <c r="BH169" s="227"/>
      <c r="BI169" s="227"/>
    </row>
    <row r="170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  <c r="AC170" s="227"/>
      <c r="AD170" s="227"/>
      <c r="AE170" s="227"/>
      <c r="AF170" s="227"/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27"/>
      <c r="BC170" s="227"/>
      <c r="BD170" s="227"/>
      <c r="BE170" s="227"/>
      <c r="BF170" s="227"/>
      <c r="BG170" s="227"/>
      <c r="BH170" s="227"/>
      <c r="BI170" s="227"/>
    </row>
    <row r="17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7"/>
      <c r="AQ171" s="227"/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</row>
    <row r="172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  <c r="AB172" s="227"/>
      <c r="AC172" s="227"/>
      <c r="AD172" s="227"/>
      <c r="AE172" s="227"/>
      <c r="AF172" s="227"/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27"/>
      <c r="BC172" s="227"/>
      <c r="BD172" s="227"/>
      <c r="BE172" s="227"/>
      <c r="BF172" s="227"/>
      <c r="BG172" s="227"/>
      <c r="BH172" s="227"/>
      <c r="BI172" s="227"/>
    </row>
    <row r="173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27"/>
      <c r="AL173" s="227"/>
      <c r="AM173" s="227"/>
      <c r="AN173" s="227"/>
      <c r="AO173" s="227"/>
      <c r="AP173" s="227"/>
      <c r="AQ173" s="227"/>
      <c r="AR173" s="227"/>
      <c r="AS173" s="227"/>
      <c r="AT173" s="227"/>
      <c r="AU173" s="227"/>
      <c r="AV173" s="227"/>
      <c r="AW173" s="227"/>
      <c r="AX173" s="227"/>
      <c r="AY173" s="227"/>
      <c r="AZ173" s="227"/>
      <c r="BA173" s="227"/>
      <c r="BB173" s="227"/>
      <c r="BC173" s="227"/>
      <c r="BD173" s="227"/>
      <c r="BE173" s="227"/>
      <c r="BF173" s="227"/>
      <c r="BG173" s="227"/>
      <c r="BH173" s="227"/>
      <c r="BI173" s="227"/>
    </row>
    <row r="174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  <c r="AB174" s="227"/>
      <c r="AC174" s="227"/>
      <c r="AD174" s="227"/>
      <c r="AE174" s="227"/>
      <c r="AF174" s="227"/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27"/>
      <c r="BC174" s="227"/>
      <c r="BD174" s="227"/>
      <c r="BE174" s="227"/>
      <c r="BF174" s="227"/>
      <c r="BG174" s="227"/>
      <c r="BH174" s="227"/>
      <c r="BI174" s="227"/>
    </row>
    <row r="175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27"/>
      <c r="AL175" s="227"/>
      <c r="AM175" s="227"/>
      <c r="AN175" s="227"/>
      <c r="AO175" s="227"/>
      <c r="AP175" s="227"/>
      <c r="AQ175" s="227"/>
      <c r="AR175" s="227"/>
      <c r="AS175" s="227"/>
      <c r="AT175" s="227"/>
      <c r="AU175" s="227"/>
      <c r="AV175" s="227"/>
      <c r="AW175" s="227"/>
      <c r="AX175" s="227"/>
      <c r="AY175" s="227"/>
      <c r="AZ175" s="227"/>
      <c r="BA175" s="227"/>
      <c r="BB175" s="227"/>
      <c r="BC175" s="227"/>
      <c r="BD175" s="227"/>
      <c r="BE175" s="227"/>
      <c r="BF175" s="227"/>
      <c r="BG175" s="227"/>
      <c r="BH175" s="227"/>
      <c r="BI175" s="227"/>
    </row>
    <row r="17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  <c r="AB176" s="227"/>
      <c r="AC176" s="227"/>
      <c r="AD176" s="227"/>
      <c r="AE176" s="227"/>
      <c r="AF176" s="227"/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27"/>
      <c r="BC176" s="227"/>
      <c r="BD176" s="227"/>
      <c r="BE176" s="227"/>
      <c r="BF176" s="227"/>
      <c r="BG176" s="227"/>
      <c r="BH176" s="227"/>
      <c r="BI176" s="227"/>
    </row>
    <row r="177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27"/>
      <c r="AL177" s="227"/>
      <c r="AM177" s="227"/>
      <c r="AN177" s="227"/>
      <c r="AO177" s="227"/>
      <c r="AP177" s="227"/>
      <c r="AQ177" s="227"/>
      <c r="AR177" s="227"/>
      <c r="AS177" s="227"/>
      <c r="AT177" s="227"/>
      <c r="AU177" s="227"/>
      <c r="AV177" s="227"/>
      <c r="AW177" s="227"/>
      <c r="AX177" s="227"/>
      <c r="AY177" s="227"/>
      <c r="AZ177" s="227"/>
      <c r="BA177" s="227"/>
      <c r="BB177" s="227"/>
      <c r="BC177" s="227"/>
      <c r="BD177" s="227"/>
      <c r="BE177" s="227"/>
      <c r="BF177" s="227"/>
      <c r="BG177" s="227"/>
      <c r="BH177" s="227"/>
      <c r="BI177" s="227"/>
    </row>
    <row r="178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  <c r="AT178" s="227"/>
      <c r="AU178" s="227"/>
      <c r="AV178" s="227"/>
      <c r="AW178" s="227"/>
      <c r="AX178" s="227"/>
      <c r="AY178" s="227"/>
      <c r="AZ178" s="227"/>
      <c r="BA178" s="227"/>
      <c r="BB178" s="227"/>
      <c r="BC178" s="227"/>
      <c r="BD178" s="227"/>
      <c r="BE178" s="227"/>
      <c r="BF178" s="227"/>
      <c r="BG178" s="227"/>
      <c r="BH178" s="227"/>
      <c r="BI178" s="227"/>
    </row>
    <row r="179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  <c r="AT179" s="227"/>
      <c r="AU179" s="227"/>
      <c r="AV179" s="227"/>
      <c r="AW179" s="227"/>
      <c r="AX179" s="227"/>
      <c r="AY179" s="227"/>
      <c r="AZ179" s="227"/>
      <c r="BA179" s="227"/>
      <c r="BB179" s="227"/>
      <c r="BC179" s="227"/>
      <c r="BD179" s="227"/>
      <c r="BE179" s="227"/>
      <c r="BF179" s="227"/>
      <c r="BG179" s="227"/>
      <c r="BH179" s="227"/>
      <c r="BI179" s="227"/>
    </row>
    <row r="180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  <c r="AB180" s="227"/>
      <c r="AC180" s="227"/>
      <c r="AD180" s="227"/>
      <c r="AE180" s="227"/>
      <c r="AF180" s="227"/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27"/>
      <c r="BC180" s="227"/>
      <c r="BD180" s="227"/>
      <c r="BE180" s="227"/>
      <c r="BF180" s="227"/>
      <c r="BG180" s="227"/>
      <c r="BH180" s="227"/>
      <c r="BI180" s="227"/>
    </row>
    <row r="18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27"/>
      <c r="AW181" s="227"/>
      <c r="AX181" s="227"/>
      <c r="AY181" s="227"/>
      <c r="AZ181" s="227"/>
      <c r="BA181" s="227"/>
      <c r="BB181" s="227"/>
      <c r="BC181" s="227"/>
      <c r="BD181" s="227"/>
      <c r="BE181" s="227"/>
      <c r="BF181" s="227"/>
      <c r="BG181" s="227"/>
      <c r="BH181" s="227"/>
      <c r="BI181" s="227"/>
    </row>
    <row r="182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  <c r="AB182" s="227"/>
      <c r="AC182" s="227"/>
      <c r="AD182" s="227"/>
      <c r="AE182" s="227"/>
      <c r="AF182" s="227"/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27"/>
      <c r="BC182" s="227"/>
      <c r="BD182" s="227"/>
      <c r="BE182" s="227"/>
      <c r="BF182" s="227"/>
      <c r="BG182" s="227"/>
      <c r="BH182" s="227"/>
      <c r="BI182" s="227"/>
    </row>
    <row r="183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27"/>
      <c r="AL183" s="227"/>
      <c r="AM183" s="227"/>
      <c r="AN183" s="227"/>
      <c r="AO183" s="227"/>
      <c r="AP183" s="227"/>
      <c r="AQ183" s="227"/>
      <c r="AR183" s="227"/>
      <c r="AS183" s="227"/>
      <c r="AT183" s="227"/>
      <c r="AU183" s="227"/>
      <c r="AV183" s="227"/>
      <c r="AW183" s="227"/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7"/>
      <c r="BI183" s="227"/>
    </row>
    <row r="184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  <c r="AB184" s="227"/>
      <c r="AC184" s="227"/>
      <c r="AD184" s="227"/>
      <c r="AE184" s="227"/>
      <c r="AF184" s="227"/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27"/>
      <c r="BC184" s="227"/>
      <c r="BD184" s="227"/>
      <c r="BE184" s="227"/>
      <c r="BF184" s="227"/>
      <c r="BG184" s="227"/>
      <c r="BH184" s="227"/>
      <c r="BI184" s="227"/>
    </row>
    <row r="185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27"/>
      <c r="AL185" s="227"/>
      <c r="AM185" s="227"/>
      <c r="AN185" s="227"/>
      <c r="AO185" s="227"/>
      <c r="AP185" s="227"/>
      <c r="AQ185" s="227"/>
      <c r="AR185" s="227"/>
      <c r="AS185" s="227"/>
      <c r="AT185" s="227"/>
      <c r="AU185" s="227"/>
      <c r="AV185" s="227"/>
      <c r="AW185" s="227"/>
      <c r="AX185" s="227"/>
      <c r="AY185" s="227"/>
      <c r="AZ185" s="227"/>
      <c r="BA185" s="227"/>
      <c r="BB185" s="227"/>
      <c r="BC185" s="227"/>
      <c r="BD185" s="227"/>
      <c r="BE185" s="227"/>
      <c r="BF185" s="227"/>
      <c r="BG185" s="227"/>
      <c r="BH185" s="227"/>
      <c r="BI185" s="227"/>
    </row>
    <row r="18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</row>
    <row r="187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  <c r="BG187" s="227"/>
      <c r="BH187" s="227"/>
      <c r="BI187" s="227"/>
    </row>
    <row r="188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  <c r="AB188" s="227"/>
      <c r="AC188" s="227"/>
      <c r="AD188" s="227"/>
      <c r="AE188" s="227"/>
      <c r="AF188" s="227"/>
      <c r="AG188" s="227"/>
      <c r="AH188" s="227"/>
      <c r="AI188" s="227"/>
      <c r="AJ188" s="227"/>
      <c r="AK188" s="227"/>
      <c r="AL188" s="227"/>
      <c r="AM188" s="227"/>
      <c r="AN188" s="227"/>
      <c r="AO188" s="227"/>
      <c r="AP188" s="227"/>
      <c r="AQ188" s="227"/>
      <c r="AR188" s="227"/>
      <c r="AS188" s="227"/>
      <c r="AT188" s="227"/>
      <c r="AU188" s="227"/>
      <c r="AV188" s="227"/>
      <c r="AW188" s="227"/>
      <c r="AX188" s="227"/>
      <c r="AY188" s="227"/>
      <c r="AZ188" s="227"/>
      <c r="BA188" s="227"/>
      <c r="BB188" s="227"/>
      <c r="BC188" s="227"/>
      <c r="BD188" s="227"/>
      <c r="BE188" s="227"/>
      <c r="BF188" s="227"/>
      <c r="BG188" s="227"/>
      <c r="BH188" s="227"/>
      <c r="BI188" s="227"/>
    </row>
    <row r="189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</row>
    <row r="190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  <c r="AB190" s="227"/>
      <c r="AC190" s="227"/>
      <c r="AD190" s="227"/>
      <c r="AE190" s="227"/>
      <c r="AF190" s="227"/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  <c r="BG190" s="227"/>
      <c r="BH190" s="227"/>
      <c r="BI190" s="227"/>
    </row>
    <row r="19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27"/>
      <c r="AL191" s="227"/>
      <c r="AM191" s="227"/>
      <c r="AN191" s="227"/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  <c r="BG191" s="227"/>
      <c r="BH191" s="227"/>
      <c r="BI191" s="227"/>
    </row>
    <row r="192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  <c r="AB192" s="227"/>
      <c r="AC192" s="227"/>
      <c r="AD192" s="227"/>
      <c r="AE192" s="227"/>
      <c r="AF192" s="227"/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  <c r="BG192" s="227"/>
      <c r="BH192" s="227"/>
      <c r="BI192" s="227"/>
    </row>
    <row r="193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27"/>
      <c r="AL193" s="227"/>
      <c r="AM193" s="227"/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  <c r="BG193" s="227"/>
      <c r="BH193" s="227"/>
      <c r="BI193" s="227"/>
    </row>
    <row r="194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  <c r="AC194" s="227"/>
      <c r="AD194" s="227"/>
      <c r="AE194" s="227"/>
      <c r="AF194" s="227"/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227"/>
      <c r="BH194" s="227"/>
      <c r="BI194" s="227"/>
    </row>
    <row r="195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27"/>
      <c r="AL195" s="227"/>
      <c r="AM195" s="227"/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  <c r="BG195" s="227"/>
      <c r="BH195" s="227"/>
      <c r="BI195" s="227"/>
    </row>
    <row r="19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  <c r="AC196" s="227"/>
      <c r="AD196" s="227"/>
      <c r="AE196" s="227"/>
      <c r="AF196" s="227"/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27"/>
      <c r="BC196" s="227"/>
      <c r="BD196" s="227"/>
      <c r="BE196" s="227"/>
      <c r="BF196" s="227"/>
      <c r="BG196" s="227"/>
      <c r="BH196" s="227"/>
      <c r="BI196" s="227"/>
    </row>
    <row r="197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27"/>
      <c r="AL197" s="227"/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/>
      <c r="BF197" s="227"/>
      <c r="BG197" s="227"/>
      <c r="BH197" s="227"/>
      <c r="BI197" s="227"/>
    </row>
    <row r="198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/>
      <c r="BF198" s="227"/>
      <c r="BG198" s="227"/>
      <c r="BH198" s="227"/>
      <c r="BI198" s="227"/>
    </row>
    <row r="199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/>
      <c r="BF199" s="227"/>
      <c r="BG199" s="227"/>
      <c r="BH199" s="227"/>
      <c r="BI199" s="227"/>
    </row>
    <row r="200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  <c r="AC200" s="227"/>
      <c r="AD200" s="227"/>
      <c r="AE200" s="227"/>
      <c r="AF200" s="227"/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227"/>
      <c r="BG200" s="227"/>
      <c r="BH200" s="227"/>
      <c r="BI200" s="227"/>
    </row>
    <row r="20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27"/>
      <c r="AL201" s="227"/>
      <c r="AM201" s="227"/>
      <c r="AN201" s="227"/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/>
      <c r="BF201" s="227"/>
      <c r="BG201" s="227"/>
      <c r="BH201" s="227"/>
      <c r="BI201" s="227"/>
    </row>
    <row r="202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  <c r="AB202" s="227"/>
      <c r="AC202" s="227"/>
      <c r="AD202" s="227"/>
      <c r="AE202" s="227"/>
      <c r="AF202" s="227"/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227"/>
      <c r="BG202" s="227"/>
      <c r="BH202" s="227"/>
      <c r="BI202" s="227"/>
    </row>
    <row r="203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27"/>
      <c r="AL203" s="227"/>
      <c r="AM203" s="227"/>
      <c r="AN203" s="227"/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/>
      <c r="BF203" s="227"/>
      <c r="BG203" s="227"/>
      <c r="BH203" s="227"/>
      <c r="BI203" s="227"/>
    </row>
    <row r="204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  <c r="AB204" s="227"/>
      <c r="AC204" s="227"/>
      <c r="AD204" s="227"/>
      <c r="AE204" s="227"/>
      <c r="AF204" s="227"/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27"/>
      <c r="BC204" s="227"/>
      <c r="BD204" s="227"/>
      <c r="BE204" s="227"/>
      <c r="BF204" s="227"/>
      <c r="BG204" s="227"/>
      <c r="BH204" s="227"/>
      <c r="BI204" s="227"/>
    </row>
    <row r="205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27"/>
      <c r="AL205" s="227"/>
      <c r="AM205" s="227"/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227"/>
      <c r="BG205" s="227"/>
      <c r="BH205" s="227"/>
      <c r="BI205" s="227"/>
    </row>
    <row r="20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  <c r="AB206" s="227"/>
      <c r="AC206" s="227"/>
      <c r="AD206" s="227"/>
      <c r="AE206" s="227"/>
      <c r="AF206" s="227"/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227"/>
      <c r="BG206" s="227"/>
      <c r="BH206" s="227"/>
      <c r="BI206" s="227"/>
    </row>
    <row r="207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</row>
    <row r="208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/>
      <c r="BF208" s="227"/>
      <c r="BG208" s="227"/>
      <c r="BH208" s="227"/>
      <c r="BI208" s="227"/>
    </row>
    <row r="209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27"/>
      <c r="AL209" s="227"/>
      <c r="AM209" s="227"/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/>
      <c r="BF209" s="227"/>
      <c r="BG209" s="227"/>
      <c r="BH209" s="227"/>
      <c r="BI209" s="227"/>
    </row>
    <row r="210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  <c r="AC210" s="227"/>
      <c r="AD210" s="227"/>
      <c r="AE210" s="227"/>
      <c r="AF210" s="227"/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/>
      <c r="BF210" s="227"/>
      <c r="BG210" s="227"/>
      <c r="BH210" s="227"/>
      <c r="BI210" s="227"/>
    </row>
    <row r="21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27"/>
      <c r="AL211" s="227"/>
      <c r="AM211" s="227"/>
      <c r="AN211" s="227"/>
      <c r="AO211" s="227"/>
      <c r="AP211" s="227"/>
      <c r="AQ211" s="227"/>
      <c r="AR211" s="227"/>
      <c r="AS211" s="227"/>
      <c r="AT211" s="227"/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/>
      <c r="BF211" s="227"/>
      <c r="BG211" s="227"/>
      <c r="BH211" s="227"/>
      <c r="BI211" s="227"/>
    </row>
    <row r="212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  <c r="AC212" s="227"/>
      <c r="AD212" s="227"/>
      <c r="AE212" s="227"/>
      <c r="AF212" s="227"/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27"/>
      <c r="BC212" s="227"/>
      <c r="BD212" s="227"/>
      <c r="BE212" s="227"/>
      <c r="BF212" s="227"/>
      <c r="BG212" s="227"/>
      <c r="BH212" s="227"/>
      <c r="BI212" s="227"/>
    </row>
    <row r="213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</row>
    <row r="214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  <c r="AC214" s="227"/>
      <c r="AD214" s="227"/>
      <c r="AE214" s="227"/>
      <c r="AF214" s="227"/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27"/>
      <c r="BC214" s="227"/>
      <c r="BD214" s="227"/>
      <c r="BE214" s="227"/>
      <c r="BF214" s="227"/>
      <c r="BG214" s="227"/>
      <c r="BH214" s="227"/>
      <c r="BI214" s="227"/>
    </row>
    <row r="215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</row>
    <row r="21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  <c r="AC216" s="227"/>
      <c r="AD216" s="227"/>
      <c r="AE216" s="227"/>
      <c r="AF216" s="227"/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27"/>
      <c r="BC216" s="227"/>
      <c r="BD216" s="227"/>
      <c r="BE216" s="227"/>
      <c r="BF216" s="227"/>
      <c r="BG216" s="227"/>
      <c r="BH216" s="227"/>
      <c r="BI216" s="227"/>
    </row>
    <row r="217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</row>
    <row r="218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  <c r="AC218" s="227"/>
      <c r="AD218" s="227"/>
      <c r="AE218" s="227"/>
      <c r="AF218" s="227"/>
      <c r="AG218" s="227"/>
      <c r="AH218" s="227"/>
      <c r="AI218" s="227"/>
      <c r="AJ218" s="227"/>
      <c r="AK218" s="227"/>
      <c r="AL218" s="227"/>
      <c r="AM218" s="227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/>
      <c r="BG218" s="227"/>
      <c r="BH218" s="227"/>
      <c r="BI218" s="227"/>
    </row>
    <row r="219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/>
      <c r="BG219" s="227"/>
      <c r="BH219" s="227"/>
      <c r="BI219" s="227"/>
    </row>
    <row r="220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27"/>
      <c r="AL220" s="227"/>
      <c r="AM220" s="227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/>
      <c r="BG220" s="227"/>
      <c r="BH220" s="227"/>
      <c r="BI220" s="227"/>
    </row>
    <row r="22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27"/>
      <c r="AL221" s="227"/>
      <c r="AM221" s="227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/>
      <c r="BG221" s="227"/>
      <c r="BH221" s="227"/>
      <c r="BI221" s="227"/>
    </row>
    <row r="222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  <c r="AC222" s="227"/>
      <c r="AD222" s="227"/>
      <c r="AE222" s="227"/>
      <c r="AF222" s="227"/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27"/>
      <c r="BC222" s="227"/>
      <c r="BD222" s="227"/>
      <c r="BE222" s="227"/>
      <c r="BF222" s="227"/>
      <c r="BG222" s="227"/>
      <c r="BH222" s="227"/>
      <c r="BI222" s="227"/>
    </row>
    <row r="223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27"/>
      <c r="AL223" s="227"/>
      <c r="AM223" s="227"/>
      <c r="AN223" s="227"/>
      <c r="AO223" s="227"/>
      <c r="AP223" s="227"/>
      <c r="AQ223" s="227"/>
      <c r="AR223" s="227"/>
      <c r="AS223" s="227"/>
      <c r="AT223" s="227"/>
      <c r="AU223" s="227"/>
      <c r="AV223" s="227"/>
      <c r="AW223" s="227"/>
      <c r="AX223" s="227"/>
      <c r="AY223" s="227"/>
      <c r="AZ223" s="227"/>
      <c r="BA223" s="227"/>
      <c r="BB223" s="227"/>
      <c r="BC223" s="227"/>
      <c r="BD223" s="227"/>
      <c r="BE223" s="227"/>
      <c r="BF223" s="227"/>
      <c r="BG223" s="227"/>
      <c r="BH223" s="227"/>
      <c r="BI223" s="227"/>
    </row>
    <row r="224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/>
      <c r="BG224" s="227"/>
      <c r="BH224" s="227"/>
      <c r="BI224" s="227"/>
    </row>
    <row r="225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/>
      <c r="BG225" s="227"/>
      <c r="BH225" s="227"/>
      <c r="BI225" s="227"/>
    </row>
    <row r="2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/>
      <c r="BG226" s="227"/>
      <c r="BH226" s="227"/>
      <c r="BI226" s="227"/>
    </row>
    <row r="227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/>
      <c r="BG227" s="227"/>
      <c r="BH227" s="227"/>
      <c r="BI227" s="227"/>
    </row>
    <row r="228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27"/>
      <c r="BC228" s="227"/>
      <c r="BD228" s="227"/>
      <c r="BE228" s="227"/>
      <c r="BF228" s="227"/>
      <c r="BG228" s="227"/>
      <c r="BH228" s="227"/>
      <c r="BI228" s="227"/>
    </row>
    <row r="229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  <c r="AT229" s="227"/>
      <c r="AU229" s="227"/>
      <c r="AV229" s="227"/>
      <c r="AW229" s="227"/>
      <c r="AX229" s="227"/>
      <c r="AY229" s="227"/>
      <c r="AZ229" s="227"/>
      <c r="BA229" s="227"/>
      <c r="BB229" s="227"/>
      <c r="BC229" s="227"/>
      <c r="BD229" s="227"/>
      <c r="BE229" s="227"/>
      <c r="BF229" s="227"/>
      <c r="BG229" s="227"/>
      <c r="BH229" s="227"/>
      <c r="BI229" s="227"/>
    </row>
    <row r="230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  <c r="AC230" s="227"/>
      <c r="AD230" s="227"/>
      <c r="AE230" s="227"/>
      <c r="AF230" s="227"/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27"/>
      <c r="BC230" s="227"/>
      <c r="BD230" s="227"/>
      <c r="BE230" s="227"/>
      <c r="BF230" s="227"/>
      <c r="BG230" s="227"/>
      <c r="BH230" s="227"/>
      <c r="BI230" s="227"/>
    </row>
    <row r="23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  <c r="AT231" s="227"/>
      <c r="AU231" s="227"/>
      <c r="AV231" s="227"/>
      <c r="AW231" s="227"/>
      <c r="AX231" s="227"/>
      <c r="AY231" s="227"/>
      <c r="AZ231" s="227"/>
      <c r="BA231" s="227"/>
      <c r="BB231" s="227"/>
      <c r="BC231" s="227"/>
      <c r="BD231" s="227"/>
      <c r="BE231" s="227"/>
      <c r="BF231" s="227"/>
      <c r="BG231" s="227"/>
      <c r="BH231" s="227"/>
      <c r="BI231" s="227"/>
    </row>
    <row r="232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  <c r="AT232" s="227"/>
      <c r="AU232" s="227"/>
      <c r="AV232" s="227"/>
      <c r="AW232" s="227"/>
      <c r="AX232" s="227"/>
      <c r="AY232" s="227"/>
      <c r="AZ232" s="227"/>
      <c r="BA232" s="227"/>
      <c r="BB232" s="227"/>
      <c r="BC232" s="227"/>
      <c r="BD232" s="227"/>
      <c r="BE232" s="227"/>
      <c r="BF232" s="227"/>
      <c r="BG232" s="227"/>
      <c r="BH232" s="227"/>
      <c r="BI232" s="227"/>
    </row>
    <row r="233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27"/>
      <c r="AL233" s="227"/>
      <c r="AM233" s="227"/>
      <c r="AN233" s="227"/>
      <c r="AO233" s="227"/>
      <c r="AP233" s="227"/>
      <c r="AQ233" s="227"/>
      <c r="AR233" s="227"/>
      <c r="AS233" s="227"/>
      <c r="AT233" s="227"/>
      <c r="AU233" s="227"/>
      <c r="AV233" s="227"/>
      <c r="AW233" s="227"/>
      <c r="AX233" s="227"/>
      <c r="AY233" s="227"/>
      <c r="AZ233" s="227"/>
      <c r="BA233" s="227"/>
      <c r="BB233" s="227"/>
      <c r="BC233" s="227"/>
      <c r="BD233" s="227"/>
      <c r="BE233" s="227"/>
      <c r="BF233" s="227"/>
      <c r="BG233" s="227"/>
      <c r="BH233" s="227"/>
      <c r="BI233" s="227"/>
    </row>
    <row r="234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  <c r="AC234" s="227"/>
      <c r="AD234" s="227"/>
      <c r="AE234" s="227"/>
      <c r="AF234" s="227"/>
      <c r="AG234" s="227"/>
      <c r="AH234" s="227"/>
      <c r="AI234" s="227"/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227"/>
      <c r="BF234" s="227"/>
      <c r="BG234" s="227"/>
      <c r="BH234" s="227"/>
      <c r="BI234" s="227"/>
    </row>
    <row r="235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/>
      <c r="BE235" s="227"/>
      <c r="BF235" s="227"/>
      <c r="BG235" s="227"/>
      <c r="BH235" s="227"/>
      <c r="BI235" s="227"/>
    </row>
    <row r="23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  <c r="AC236" s="227"/>
      <c r="AD236" s="227"/>
      <c r="AE236" s="227"/>
      <c r="AF236" s="227"/>
      <c r="AG236" s="227"/>
      <c r="AH236" s="227"/>
      <c r="AI236" s="227"/>
      <c r="AJ236" s="227"/>
      <c r="AK236" s="227"/>
      <c r="AL236" s="227"/>
      <c r="AM236" s="227"/>
      <c r="AN236" s="227"/>
      <c r="AO236" s="227"/>
      <c r="AP236" s="227"/>
      <c r="AQ236" s="227"/>
      <c r="AR236" s="227"/>
      <c r="AS236" s="227"/>
      <c r="AT236" s="227"/>
      <c r="AU236" s="227"/>
      <c r="AV236" s="227"/>
      <c r="AW236" s="227"/>
      <c r="AX236" s="227"/>
      <c r="AY236" s="227"/>
      <c r="AZ236" s="227"/>
      <c r="BA236" s="227"/>
      <c r="BB236" s="227"/>
      <c r="BC236" s="227"/>
      <c r="BD236" s="227"/>
      <c r="BE236" s="227"/>
      <c r="BF236" s="227"/>
      <c r="BG236" s="227"/>
      <c r="BH236" s="227"/>
      <c r="BI236" s="227"/>
    </row>
    <row r="237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/>
      <c r="BE237" s="227"/>
      <c r="BF237" s="227"/>
      <c r="BG237" s="227"/>
      <c r="BH237" s="227"/>
      <c r="BI237" s="227"/>
    </row>
    <row r="238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  <c r="AB238" s="227"/>
      <c r="AC238" s="227"/>
      <c r="AD238" s="227"/>
      <c r="AE238" s="227"/>
      <c r="AF238" s="227"/>
      <c r="AG238" s="227"/>
      <c r="AH238" s="227"/>
      <c r="AI238" s="227"/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/>
      <c r="BE238" s="227"/>
      <c r="BF238" s="227"/>
      <c r="BG238" s="227"/>
      <c r="BH238" s="227"/>
      <c r="BI238" s="227"/>
    </row>
    <row r="239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</row>
    <row r="240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27"/>
      <c r="AL240" s="227"/>
      <c r="AM240" s="227"/>
      <c r="AN240" s="227"/>
      <c r="AO240" s="227"/>
      <c r="AP240" s="227"/>
      <c r="AQ240" s="227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227"/>
      <c r="BC240" s="227"/>
      <c r="BD240" s="227"/>
      <c r="BE240" s="227"/>
      <c r="BF240" s="227"/>
      <c r="BG240" s="227"/>
      <c r="BH240" s="227"/>
      <c r="BI240" s="227"/>
    </row>
    <row r="24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27"/>
      <c r="BC241" s="227"/>
      <c r="BD241" s="227"/>
      <c r="BE241" s="227"/>
      <c r="BF241" s="227"/>
      <c r="BG241" s="227"/>
      <c r="BH241" s="227"/>
      <c r="BI241" s="227"/>
    </row>
    <row r="242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27"/>
      <c r="AL242" s="227"/>
      <c r="AM242" s="227"/>
      <c r="AN242" s="227"/>
      <c r="AO242" s="227"/>
      <c r="AP242" s="227"/>
      <c r="AQ242" s="227"/>
      <c r="AR242" s="227"/>
      <c r="AS242" s="227"/>
      <c r="AT242" s="227"/>
      <c r="AU242" s="227"/>
      <c r="AV242" s="227"/>
      <c r="AW242" s="227"/>
      <c r="AX242" s="227"/>
      <c r="AY242" s="227"/>
      <c r="AZ242" s="227"/>
      <c r="BA242" s="227"/>
      <c r="BB242" s="227"/>
      <c r="BC242" s="227"/>
      <c r="BD242" s="227"/>
      <c r="BE242" s="227"/>
      <c r="BF242" s="227"/>
      <c r="BG242" s="227"/>
      <c r="BH242" s="227"/>
      <c r="BI242" s="227"/>
    </row>
    <row r="243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  <c r="AT243" s="227"/>
      <c r="AU243" s="227"/>
      <c r="AV243" s="227"/>
      <c r="AW243" s="227"/>
      <c r="AX243" s="227"/>
      <c r="AY243" s="227"/>
      <c r="AZ243" s="227"/>
      <c r="BA243" s="227"/>
      <c r="BB243" s="227"/>
      <c r="BC243" s="227"/>
      <c r="BD243" s="227"/>
      <c r="BE243" s="227"/>
      <c r="BF243" s="227"/>
      <c r="BG243" s="227"/>
      <c r="BH243" s="227"/>
      <c r="BI243" s="227"/>
    </row>
    <row r="244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  <c r="AT244" s="227"/>
      <c r="AU244" s="227"/>
      <c r="AV244" s="227"/>
      <c r="AW244" s="227"/>
      <c r="AX244" s="227"/>
      <c r="AY244" s="227"/>
      <c r="AZ244" s="227"/>
      <c r="BA244" s="227"/>
      <c r="BB244" s="227"/>
      <c r="BC244" s="227"/>
      <c r="BD244" s="227"/>
      <c r="BE244" s="227"/>
      <c r="BF244" s="227"/>
      <c r="BG244" s="227"/>
      <c r="BH244" s="227"/>
      <c r="BI244" s="227"/>
    </row>
    <row r="245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27"/>
      <c r="BC245" s="227"/>
      <c r="BD245" s="227"/>
      <c r="BE245" s="227"/>
      <c r="BF245" s="227"/>
      <c r="BG245" s="227"/>
      <c r="BH245" s="227"/>
      <c r="BI245" s="227"/>
    </row>
    <row r="24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  <c r="AB246" s="227"/>
      <c r="AC246" s="227"/>
      <c r="AD246" s="227"/>
      <c r="AE246" s="227"/>
      <c r="AF246" s="227"/>
      <c r="AG246" s="227"/>
      <c r="AH246" s="227"/>
      <c r="AI246" s="227"/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/>
      <c r="BB246" s="227"/>
      <c r="BC246" s="227"/>
      <c r="BD246" s="227"/>
      <c r="BE246" s="227"/>
      <c r="BF246" s="227"/>
      <c r="BG246" s="227"/>
      <c r="BH246" s="227"/>
      <c r="BI246" s="227"/>
    </row>
    <row r="247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27"/>
      <c r="BC247" s="227"/>
      <c r="BD247" s="227"/>
      <c r="BE247" s="227"/>
      <c r="BF247" s="227"/>
      <c r="BG247" s="227"/>
      <c r="BH247" s="227"/>
      <c r="BI247" s="227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  <c r="AB248" s="227"/>
      <c r="AC248" s="227"/>
      <c r="AD248" s="227"/>
      <c r="AE248" s="227"/>
      <c r="AF248" s="227"/>
      <c r="AG248" s="227"/>
      <c r="AH248" s="227"/>
      <c r="AI248" s="227"/>
      <c r="AJ248" s="227"/>
      <c r="AK248" s="227"/>
      <c r="AL248" s="227"/>
      <c r="AM248" s="227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227"/>
      <c r="BH248" s="227"/>
      <c r="BI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  <c r="AB249" s="227"/>
      <c r="AC249" s="227"/>
      <c r="AD249" s="227"/>
      <c r="AE249" s="227"/>
      <c r="AF249" s="227"/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227"/>
      <c r="BH249" s="227"/>
      <c r="BI249" s="227"/>
    </row>
    <row r="250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  <c r="AB250" s="227"/>
      <c r="AC250" s="227"/>
      <c r="AD250" s="227"/>
      <c r="AE250" s="227"/>
      <c r="AF250" s="227"/>
      <c r="AG250" s="227"/>
      <c r="AH250" s="227"/>
      <c r="AI250" s="227"/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227"/>
      <c r="BF250" s="227"/>
      <c r="BG250" s="227"/>
      <c r="BH250" s="227"/>
      <c r="BI250" s="227"/>
    </row>
    <row r="25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  <c r="AB251" s="227"/>
      <c r="AC251" s="227"/>
      <c r="AD251" s="227"/>
      <c r="AE251" s="227"/>
      <c r="AF251" s="227"/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27"/>
      <c r="BC251" s="227"/>
      <c r="BD251" s="227"/>
      <c r="BE251" s="227"/>
      <c r="BF251" s="227"/>
      <c r="BG251" s="227"/>
      <c r="BH251" s="227"/>
      <c r="BI251" s="227"/>
    </row>
    <row r="252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  <c r="AB252" s="227"/>
      <c r="AC252" s="227"/>
      <c r="AD252" s="227"/>
      <c r="AE252" s="227"/>
      <c r="AF252" s="227"/>
      <c r="AG252" s="227"/>
      <c r="AH252" s="227"/>
      <c r="AI252" s="227"/>
      <c r="AJ252" s="227"/>
      <c r="AK252" s="227"/>
      <c r="AL252" s="227"/>
      <c r="AM252" s="227"/>
      <c r="AN252" s="227"/>
      <c r="AO252" s="227"/>
      <c r="AP252" s="227"/>
      <c r="AQ252" s="227"/>
      <c r="AR252" s="227"/>
      <c r="AS252" s="227"/>
      <c r="AT252" s="227"/>
      <c r="AU252" s="227"/>
      <c r="AV252" s="227"/>
      <c r="AW252" s="227"/>
      <c r="AX252" s="227"/>
      <c r="AY252" s="227"/>
      <c r="AZ252" s="227"/>
      <c r="BA252" s="227"/>
      <c r="BB252" s="227"/>
      <c r="BC252" s="227"/>
      <c r="BD252" s="227"/>
      <c r="BE252" s="227"/>
      <c r="BF252" s="227"/>
      <c r="BG252" s="227"/>
      <c r="BH252" s="227"/>
      <c r="BI252" s="227"/>
    </row>
    <row r="253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  <c r="AB253" s="227"/>
      <c r="AC253" s="227"/>
      <c r="AD253" s="227"/>
      <c r="AE253" s="227"/>
      <c r="AF253" s="227"/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/>
      <c r="BG253" s="227"/>
      <c r="BH253" s="227"/>
      <c r="BI253" s="227"/>
    </row>
    <row r="254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  <c r="AB254" s="227"/>
      <c r="AC254" s="227"/>
      <c r="AD254" s="227"/>
      <c r="AE254" s="227"/>
      <c r="AF254" s="227"/>
      <c r="AG254" s="227"/>
      <c r="AH254" s="227"/>
      <c r="AI254" s="227"/>
      <c r="AJ254" s="227"/>
      <c r="AK254" s="227"/>
      <c r="AL254" s="227"/>
      <c r="AM254" s="227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/>
      <c r="BG254" s="227"/>
      <c r="BH254" s="227"/>
      <c r="BI254" s="227"/>
    </row>
    <row r="255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  <c r="AB255" s="227"/>
      <c r="AC255" s="227"/>
      <c r="AD255" s="227"/>
      <c r="AE255" s="227"/>
      <c r="AF255" s="227"/>
      <c r="AG255" s="227"/>
      <c r="AH255" s="227"/>
      <c r="AI255" s="227"/>
      <c r="AJ255" s="227"/>
      <c r="AK255" s="227"/>
      <c r="AL255" s="227"/>
      <c r="AM255" s="227"/>
      <c r="AN255" s="227"/>
      <c r="AO255" s="227"/>
      <c r="AP255" s="227"/>
      <c r="AQ255" s="227"/>
      <c r="AR255" s="227"/>
      <c r="AS255" s="227"/>
      <c r="AT255" s="227"/>
      <c r="AU255" s="227"/>
      <c r="AV255" s="227"/>
      <c r="AW255" s="227"/>
      <c r="AX255" s="227"/>
      <c r="AY255" s="227"/>
      <c r="AZ255" s="227"/>
      <c r="BA255" s="227"/>
      <c r="BB255" s="227"/>
      <c r="BC255" s="227"/>
      <c r="BD255" s="227"/>
      <c r="BE255" s="227"/>
      <c r="BF255" s="227"/>
      <c r="BG255" s="227"/>
      <c r="BH255" s="227"/>
      <c r="BI255" s="227"/>
    </row>
    <row r="25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  <c r="AB256" s="227"/>
      <c r="AC256" s="227"/>
      <c r="AD256" s="227"/>
      <c r="AE256" s="227"/>
      <c r="AF256" s="227"/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27"/>
      <c r="BC256" s="227"/>
      <c r="BD256" s="227"/>
      <c r="BE256" s="227"/>
      <c r="BF256" s="227"/>
      <c r="BG256" s="227"/>
      <c r="BH256" s="227"/>
      <c r="BI256" s="227"/>
    </row>
    <row r="257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  <c r="AB257" s="227"/>
      <c r="AC257" s="227"/>
      <c r="AD257" s="227"/>
      <c r="AE257" s="227"/>
      <c r="AF257" s="227"/>
      <c r="AG257" s="227"/>
      <c r="AH257" s="227"/>
      <c r="AI257" s="227"/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/>
      <c r="BF257" s="227"/>
      <c r="BG257" s="227"/>
      <c r="BH257" s="227"/>
      <c r="BI257" s="227"/>
    </row>
    <row r="258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  <c r="AB258" s="227"/>
      <c r="AC258" s="227"/>
      <c r="AD258" s="227"/>
      <c r="AE258" s="227"/>
      <c r="AF258" s="227"/>
      <c r="AG258" s="227"/>
      <c r="AH258" s="227"/>
      <c r="AI258" s="227"/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/>
      <c r="BF258" s="227"/>
      <c r="BG258" s="227"/>
      <c r="BH258" s="227"/>
      <c r="BI258" s="227"/>
    </row>
    <row r="259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  <c r="AB259" s="227"/>
      <c r="AC259" s="227"/>
      <c r="AD259" s="227"/>
      <c r="AE259" s="227"/>
      <c r="AF259" s="227"/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227"/>
      <c r="BH259" s="227"/>
      <c r="BI259" s="227"/>
    </row>
    <row r="260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  <c r="AB260" s="227"/>
      <c r="AC260" s="227"/>
      <c r="AD260" s="227"/>
      <c r="AE260" s="227"/>
      <c r="AF260" s="227"/>
      <c r="AG260" s="227"/>
      <c r="AH260" s="227"/>
      <c r="AI260" s="227"/>
      <c r="AJ260" s="227"/>
      <c r="AK260" s="227"/>
      <c r="AL260" s="227"/>
      <c r="AM260" s="227"/>
      <c r="AN260" s="227"/>
      <c r="AO260" s="227"/>
      <c r="AP260" s="227"/>
      <c r="AQ260" s="227"/>
      <c r="AR260" s="227"/>
      <c r="AS260" s="227"/>
      <c r="AT260" s="227"/>
      <c r="AU260" s="227"/>
      <c r="AV260" s="227"/>
      <c r="AW260" s="227"/>
      <c r="AX260" s="227"/>
      <c r="AY260" s="227"/>
      <c r="AZ260" s="227"/>
      <c r="BA260" s="227"/>
      <c r="BB260" s="227"/>
      <c r="BC260" s="227"/>
      <c r="BD260" s="227"/>
      <c r="BE260" s="227"/>
      <c r="BF260" s="227"/>
      <c r="BG260" s="227"/>
      <c r="BH260" s="227"/>
      <c r="BI260" s="227"/>
    </row>
    <row r="26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  <c r="AB261" s="227"/>
      <c r="AC261" s="227"/>
      <c r="AD261" s="227"/>
      <c r="AE261" s="227"/>
      <c r="AF261" s="227"/>
      <c r="AG261" s="227"/>
      <c r="AH261" s="227"/>
      <c r="AI261" s="227"/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227"/>
      <c r="BH261" s="227"/>
      <c r="BI261" s="227"/>
    </row>
    <row r="262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  <c r="AB262" s="227"/>
      <c r="AC262" s="227"/>
      <c r="AD262" s="227"/>
      <c r="AE262" s="227"/>
      <c r="AF262" s="227"/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227"/>
      <c r="BH262" s="227"/>
      <c r="BI262" s="227"/>
    </row>
    <row r="263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  <c r="AB263" s="227"/>
      <c r="AC263" s="227"/>
      <c r="AD263" s="227"/>
      <c r="AE263" s="227"/>
      <c r="AF263" s="227"/>
      <c r="AG263" s="227"/>
      <c r="AH263" s="227"/>
      <c r="AI263" s="227"/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/>
      <c r="BF263" s="227"/>
      <c r="BG263" s="227"/>
      <c r="BH263" s="227"/>
      <c r="BI263" s="227"/>
    </row>
    <row r="264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  <c r="AB264" s="227"/>
      <c r="AC264" s="227"/>
      <c r="AD264" s="227"/>
      <c r="AE264" s="227"/>
      <c r="AF264" s="227"/>
      <c r="AG264" s="227"/>
      <c r="AH264" s="227"/>
      <c r="AI264" s="227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227"/>
      <c r="BH264" s="227"/>
      <c r="BI264" s="227"/>
    </row>
    <row r="265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  <c r="AB265" s="227"/>
      <c r="AC265" s="227"/>
      <c r="AD265" s="227"/>
      <c r="AE265" s="227"/>
      <c r="AF265" s="227"/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/>
      <c r="BF265" s="227"/>
      <c r="BG265" s="227"/>
      <c r="BH265" s="227"/>
      <c r="BI265" s="227"/>
    </row>
    <row r="26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  <c r="AB266" s="227"/>
      <c r="AC266" s="227"/>
      <c r="AD266" s="227"/>
      <c r="AE266" s="227"/>
      <c r="AF266" s="227"/>
      <c r="AG266" s="227"/>
      <c r="AH266" s="227"/>
      <c r="AI266" s="227"/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227"/>
      <c r="BH266" s="227"/>
      <c r="BI266" s="227"/>
    </row>
    <row r="267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7"/>
      <c r="AD267" s="227"/>
      <c r="AE267" s="227"/>
      <c r="AF267" s="227"/>
      <c r="AG267" s="227"/>
      <c r="AH267" s="227"/>
      <c r="AI267" s="227"/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227"/>
      <c r="BH267" s="227"/>
      <c r="BI267" s="227"/>
    </row>
    <row r="268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7"/>
      <c r="AG268" s="227"/>
      <c r="AH268" s="227"/>
      <c r="AI268" s="227"/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227"/>
      <c r="BH268" s="227"/>
      <c r="BI268" s="227"/>
    </row>
    <row r="269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  <c r="AB269" s="227"/>
      <c r="AC269" s="227"/>
      <c r="AD269" s="227"/>
      <c r="AE269" s="227"/>
      <c r="AF269" s="227"/>
      <c r="AG269" s="227"/>
      <c r="AH269" s="227"/>
      <c r="AI269" s="227"/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227"/>
      <c r="BG269" s="227"/>
      <c r="BH269" s="227"/>
      <c r="BI269" s="227"/>
    </row>
    <row r="270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  <c r="AB270" s="227"/>
      <c r="AC270" s="227"/>
      <c r="AD270" s="227"/>
      <c r="AE270" s="227"/>
      <c r="AF270" s="227"/>
      <c r="AG270" s="227"/>
      <c r="AH270" s="227"/>
      <c r="AI270" s="227"/>
      <c r="AJ270" s="227"/>
      <c r="AK270" s="227"/>
      <c r="AL270" s="227"/>
      <c r="AM270" s="227"/>
      <c r="AN270" s="227"/>
      <c r="AO270" s="227"/>
      <c r="AP270" s="227"/>
      <c r="AQ270" s="227"/>
      <c r="AR270" s="227"/>
      <c r="AS270" s="227"/>
      <c r="AT270" s="227"/>
      <c r="AU270" s="227"/>
      <c r="AV270" s="227"/>
      <c r="AW270" s="227"/>
      <c r="AX270" s="227"/>
      <c r="AY270" s="227"/>
      <c r="AZ270" s="227"/>
      <c r="BA270" s="227"/>
      <c r="BB270" s="227"/>
      <c r="BC270" s="227"/>
      <c r="BD270" s="227"/>
      <c r="BE270" s="227"/>
      <c r="BF270" s="227"/>
      <c r="BG270" s="227"/>
      <c r="BH270" s="227"/>
      <c r="BI270" s="227"/>
    </row>
    <row r="27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  <c r="AB271" s="227"/>
      <c r="AC271" s="227"/>
      <c r="AD271" s="227"/>
      <c r="AE271" s="227"/>
      <c r="AF271" s="227"/>
      <c r="AG271" s="227"/>
      <c r="AH271" s="227"/>
      <c r="AI271" s="227"/>
      <c r="AJ271" s="227"/>
      <c r="AK271" s="227"/>
      <c r="AL271" s="227"/>
      <c r="AM271" s="227"/>
      <c r="AN271" s="227"/>
      <c r="AO271" s="227"/>
      <c r="AP271" s="227"/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227"/>
      <c r="BB271" s="227"/>
      <c r="BC271" s="227"/>
      <c r="BD271" s="227"/>
      <c r="BE271" s="227"/>
      <c r="BF271" s="227"/>
      <c r="BG271" s="227"/>
      <c r="BH271" s="227"/>
      <c r="BI271" s="227"/>
    </row>
    <row r="272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  <c r="AB272" s="227"/>
      <c r="AC272" s="227"/>
      <c r="AD272" s="227"/>
      <c r="AE272" s="227"/>
      <c r="AF272" s="227"/>
      <c r="AG272" s="227"/>
      <c r="AH272" s="227"/>
      <c r="AI272" s="227"/>
      <c r="AJ272" s="227"/>
      <c r="AK272" s="227"/>
      <c r="AL272" s="227"/>
      <c r="AM272" s="227"/>
      <c r="AN272" s="227"/>
      <c r="AO272" s="227"/>
      <c r="AP272" s="227"/>
      <c r="AQ272" s="227"/>
      <c r="AR272" s="227"/>
      <c r="AS272" s="227"/>
      <c r="AT272" s="227"/>
      <c r="AU272" s="227"/>
      <c r="AV272" s="227"/>
      <c r="AW272" s="227"/>
      <c r="AX272" s="227"/>
      <c r="AY272" s="227"/>
      <c r="AZ272" s="227"/>
      <c r="BA272" s="227"/>
      <c r="BB272" s="227"/>
      <c r="BC272" s="227"/>
      <c r="BD272" s="227"/>
      <c r="BE272" s="227"/>
      <c r="BF272" s="227"/>
      <c r="BG272" s="227"/>
      <c r="BH272" s="227"/>
      <c r="BI272" s="227"/>
    </row>
    <row r="273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  <c r="AB273" s="227"/>
      <c r="AC273" s="227"/>
      <c r="AD273" s="227"/>
      <c r="AE273" s="227"/>
      <c r="AF273" s="227"/>
      <c r="AG273" s="227"/>
      <c r="AH273" s="227"/>
      <c r="AI273" s="227"/>
      <c r="AJ273" s="227"/>
      <c r="AK273" s="227"/>
      <c r="AL273" s="227"/>
      <c r="AM273" s="227"/>
      <c r="AN273" s="227"/>
      <c r="AO273" s="227"/>
      <c r="AP273" s="227"/>
      <c r="AQ273" s="227"/>
      <c r="AR273" s="227"/>
      <c r="AS273" s="227"/>
      <c r="AT273" s="227"/>
      <c r="AU273" s="227"/>
      <c r="AV273" s="227"/>
      <c r="AW273" s="227"/>
      <c r="AX273" s="227"/>
      <c r="AY273" s="227"/>
      <c r="AZ273" s="227"/>
      <c r="BA273" s="227"/>
      <c r="BB273" s="227"/>
      <c r="BC273" s="227"/>
      <c r="BD273" s="227"/>
      <c r="BE273" s="227"/>
      <c r="BF273" s="227"/>
      <c r="BG273" s="227"/>
      <c r="BH273" s="227"/>
      <c r="BI273" s="227"/>
    </row>
    <row r="274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  <c r="AB274" s="227"/>
      <c r="AC274" s="227"/>
      <c r="AD274" s="227"/>
      <c r="AE274" s="227"/>
      <c r="AF274" s="227"/>
      <c r="AG274" s="227"/>
      <c r="AH274" s="227"/>
      <c r="AI274" s="227"/>
      <c r="AJ274" s="227"/>
      <c r="AK274" s="227"/>
      <c r="AL274" s="227"/>
      <c r="AM274" s="227"/>
      <c r="AN274" s="227"/>
      <c r="AO274" s="227"/>
      <c r="AP274" s="227"/>
      <c r="AQ274" s="227"/>
      <c r="AR274" s="227"/>
      <c r="AS274" s="227"/>
      <c r="AT274" s="227"/>
      <c r="AU274" s="227"/>
      <c r="AV274" s="227"/>
      <c r="AW274" s="227"/>
      <c r="AX274" s="227"/>
      <c r="AY274" s="227"/>
      <c r="AZ274" s="227"/>
      <c r="BA274" s="227"/>
      <c r="BB274" s="227"/>
      <c r="BC274" s="227"/>
      <c r="BD274" s="227"/>
      <c r="BE274" s="227"/>
      <c r="BF274" s="227"/>
      <c r="BG274" s="227"/>
      <c r="BH274" s="227"/>
      <c r="BI274" s="227"/>
    </row>
    <row r="275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  <c r="AB275" s="227"/>
      <c r="AC275" s="227"/>
      <c r="AD275" s="227"/>
      <c r="AE275" s="227"/>
      <c r="AF275" s="227"/>
      <c r="AG275" s="227"/>
      <c r="AH275" s="227"/>
      <c r="AI275" s="227"/>
      <c r="AJ275" s="227"/>
      <c r="AK275" s="227"/>
      <c r="AL275" s="227"/>
      <c r="AM275" s="227"/>
      <c r="AN275" s="227"/>
      <c r="AO275" s="227"/>
      <c r="AP275" s="227"/>
      <c r="AQ275" s="227"/>
      <c r="AR275" s="227"/>
      <c r="AS275" s="227"/>
      <c r="AT275" s="227"/>
      <c r="AU275" s="227"/>
      <c r="AV275" s="227"/>
      <c r="AW275" s="227"/>
      <c r="AX275" s="227"/>
      <c r="AY275" s="227"/>
      <c r="AZ275" s="227"/>
      <c r="BA275" s="227"/>
      <c r="BB275" s="227"/>
      <c r="BC275" s="227"/>
      <c r="BD275" s="227"/>
      <c r="BE275" s="227"/>
      <c r="BF275" s="227"/>
      <c r="BG275" s="227"/>
      <c r="BH275" s="227"/>
      <c r="BI275" s="227"/>
    </row>
    <row r="27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  <c r="AB276" s="227"/>
      <c r="AC276" s="227"/>
      <c r="AD276" s="227"/>
      <c r="AE276" s="227"/>
      <c r="AF276" s="227"/>
      <c r="AG276" s="227"/>
      <c r="AH276" s="227"/>
      <c r="AI276" s="227"/>
      <c r="AJ276" s="227"/>
      <c r="AK276" s="227"/>
      <c r="AL276" s="227"/>
      <c r="AM276" s="227"/>
      <c r="AN276" s="227"/>
      <c r="AO276" s="227"/>
      <c r="AP276" s="227"/>
      <c r="AQ276" s="227"/>
      <c r="AR276" s="227"/>
      <c r="AS276" s="227"/>
      <c r="AT276" s="227"/>
      <c r="AU276" s="227"/>
      <c r="AV276" s="227"/>
      <c r="AW276" s="227"/>
      <c r="AX276" s="227"/>
      <c r="AY276" s="227"/>
      <c r="AZ276" s="227"/>
      <c r="BA276" s="227"/>
      <c r="BB276" s="227"/>
      <c r="BC276" s="227"/>
      <c r="BD276" s="227"/>
      <c r="BE276" s="227"/>
      <c r="BF276" s="227"/>
      <c r="BG276" s="227"/>
      <c r="BH276" s="227"/>
      <c r="BI276" s="227"/>
    </row>
    <row r="277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  <c r="AB277" s="227"/>
      <c r="AC277" s="227"/>
      <c r="AD277" s="227"/>
      <c r="AE277" s="227"/>
      <c r="AF277" s="227"/>
      <c r="AG277" s="227"/>
      <c r="AH277" s="227"/>
      <c r="AI277" s="227"/>
      <c r="AJ277" s="227"/>
      <c r="AK277" s="227"/>
      <c r="AL277" s="227"/>
      <c r="AM277" s="227"/>
      <c r="AN277" s="227"/>
      <c r="AO277" s="227"/>
      <c r="AP277" s="227"/>
      <c r="AQ277" s="227"/>
      <c r="AR277" s="227"/>
      <c r="AS277" s="227"/>
      <c r="AT277" s="227"/>
      <c r="AU277" s="227"/>
      <c r="AV277" s="227"/>
      <c r="AW277" s="227"/>
      <c r="AX277" s="227"/>
      <c r="AY277" s="227"/>
      <c r="AZ277" s="227"/>
      <c r="BA277" s="227"/>
      <c r="BB277" s="227"/>
      <c r="BC277" s="227"/>
      <c r="BD277" s="227"/>
      <c r="BE277" s="227"/>
      <c r="BF277" s="227"/>
      <c r="BG277" s="227"/>
      <c r="BH277" s="227"/>
      <c r="BI277" s="227"/>
    </row>
    <row r="278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  <c r="AB278" s="227"/>
      <c r="AC278" s="227"/>
      <c r="AD278" s="227"/>
      <c r="AE278" s="227"/>
      <c r="AF278" s="227"/>
      <c r="AG278" s="227"/>
      <c r="AH278" s="227"/>
      <c r="AI278" s="227"/>
      <c r="AJ278" s="227"/>
      <c r="AK278" s="227"/>
      <c r="AL278" s="227"/>
      <c r="AM278" s="227"/>
      <c r="AN278" s="227"/>
      <c r="AO278" s="227"/>
      <c r="AP278" s="227"/>
      <c r="AQ278" s="227"/>
      <c r="AR278" s="227"/>
      <c r="AS278" s="227"/>
      <c r="AT278" s="227"/>
      <c r="AU278" s="227"/>
      <c r="AV278" s="227"/>
      <c r="AW278" s="227"/>
      <c r="AX278" s="227"/>
      <c r="AY278" s="227"/>
      <c r="AZ278" s="227"/>
      <c r="BA278" s="227"/>
      <c r="BB278" s="227"/>
      <c r="BC278" s="227"/>
      <c r="BD278" s="227"/>
      <c r="BE278" s="227"/>
      <c r="BF278" s="227"/>
      <c r="BG278" s="227"/>
      <c r="BH278" s="227"/>
      <c r="BI278" s="227"/>
    </row>
    <row r="279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  <c r="AB279" s="227"/>
      <c r="AC279" s="227"/>
      <c r="AD279" s="227"/>
      <c r="AE279" s="227"/>
      <c r="AF279" s="227"/>
      <c r="AG279" s="227"/>
      <c r="AH279" s="227"/>
      <c r="AI279" s="227"/>
      <c r="AJ279" s="227"/>
      <c r="AK279" s="227"/>
      <c r="AL279" s="227"/>
      <c r="AM279" s="227"/>
      <c r="AN279" s="227"/>
      <c r="AO279" s="227"/>
      <c r="AP279" s="227"/>
      <c r="AQ279" s="227"/>
      <c r="AR279" s="227"/>
      <c r="AS279" s="227"/>
      <c r="AT279" s="227"/>
      <c r="AU279" s="227"/>
      <c r="AV279" s="227"/>
      <c r="AW279" s="227"/>
      <c r="AX279" s="227"/>
      <c r="AY279" s="227"/>
      <c r="AZ279" s="227"/>
      <c r="BA279" s="227"/>
      <c r="BB279" s="227"/>
      <c r="BC279" s="227"/>
      <c r="BD279" s="227"/>
      <c r="BE279" s="227"/>
      <c r="BF279" s="227"/>
      <c r="BG279" s="227"/>
      <c r="BH279" s="227"/>
      <c r="BI279" s="227"/>
    </row>
    <row r="280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  <c r="AB280" s="227"/>
      <c r="AC280" s="227"/>
      <c r="AD280" s="227"/>
      <c r="AE280" s="227"/>
      <c r="AF280" s="227"/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27"/>
      <c r="BC280" s="227"/>
      <c r="BD280" s="227"/>
      <c r="BE280" s="227"/>
      <c r="BF280" s="227"/>
      <c r="BG280" s="227"/>
      <c r="BH280" s="227"/>
      <c r="BI280" s="227"/>
    </row>
    <row r="28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  <c r="AB281" s="227"/>
      <c r="AC281" s="227"/>
      <c r="AD281" s="227"/>
      <c r="AE281" s="227"/>
      <c r="AF281" s="227"/>
      <c r="AG281" s="227"/>
      <c r="AH281" s="227"/>
      <c r="AI281" s="227"/>
      <c r="AJ281" s="227"/>
      <c r="AK281" s="227"/>
      <c r="AL281" s="227"/>
      <c r="AM281" s="227"/>
      <c r="AN281" s="227"/>
      <c r="AO281" s="227"/>
      <c r="AP281" s="227"/>
      <c r="AQ281" s="227"/>
      <c r="AR281" s="227"/>
      <c r="AS281" s="227"/>
      <c r="AT281" s="227"/>
      <c r="AU281" s="227"/>
      <c r="AV281" s="227"/>
      <c r="AW281" s="227"/>
      <c r="AX281" s="227"/>
      <c r="AY281" s="227"/>
      <c r="AZ281" s="227"/>
      <c r="BA281" s="227"/>
      <c r="BB281" s="227"/>
      <c r="BC281" s="227"/>
      <c r="BD281" s="227"/>
      <c r="BE281" s="227"/>
      <c r="BF281" s="227"/>
      <c r="BG281" s="227"/>
      <c r="BH281" s="227"/>
      <c r="BI281" s="227"/>
    </row>
    <row r="282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  <c r="AB282" s="227"/>
      <c r="AC282" s="227"/>
      <c r="AD282" s="227"/>
      <c r="AE282" s="227"/>
      <c r="AF282" s="227"/>
      <c r="AG282" s="227"/>
      <c r="AH282" s="227"/>
      <c r="AI282" s="227"/>
      <c r="AJ282" s="227"/>
      <c r="AK282" s="227"/>
      <c r="AL282" s="227"/>
      <c r="AM282" s="227"/>
      <c r="AN282" s="227"/>
      <c r="AO282" s="227"/>
      <c r="AP282" s="227"/>
      <c r="AQ282" s="227"/>
      <c r="AR282" s="227"/>
      <c r="AS282" s="227"/>
      <c r="AT282" s="227"/>
      <c r="AU282" s="227"/>
      <c r="AV282" s="227"/>
      <c r="AW282" s="227"/>
      <c r="AX282" s="227"/>
      <c r="AY282" s="227"/>
      <c r="AZ282" s="227"/>
      <c r="BA282" s="227"/>
      <c r="BB282" s="227"/>
      <c r="BC282" s="227"/>
      <c r="BD282" s="227"/>
      <c r="BE282" s="227"/>
      <c r="BF282" s="227"/>
      <c r="BG282" s="227"/>
      <c r="BH282" s="227"/>
      <c r="BI282" s="227"/>
    </row>
    <row r="283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  <c r="AB283" s="227"/>
      <c r="AC283" s="227"/>
      <c r="AD283" s="227"/>
      <c r="AE283" s="227"/>
      <c r="AF283" s="227"/>
      <c r="AG283" s="227"/>
      <c r="AH283" s="227"/>
      <c r="AI283" s="227"/>
      <c r="AJ283" s="227"/>
      <c r="AK283" s="227"/>
      <c r="AL283" s="227"/>
      <c r="AM283" s="227"/>
      <c r="AN283" s="227"/>
      <c r="AO283" s="227"/>
      <c r="AP283" s="227"/>
      <c r="AQ283" s="227"/>
      <c r="AR283" s="227"/>
      <c r="AS283" s="227"/>
      <c r="AT283" s="227"/>
      <c r="AU283" s="227"/>
      <c r="AV283" s="227"/>
      <c r="AW283" s="227"/>
      <c r="AX283" s="227"/>
      <c r="AY283" s="227"/>
      <c r="AZ283" s="227"/>
      <c r="BA283" s="227"/>
      <c r="BB283" s="227"/>
      <c r="BC283" s="227"/>
      <c r="BD283" s="227"/>
      <c r="BE283" s="227"/>
      <c r="BF283" s="227"/>
      <c r="BG283" s="227"/>
      <c r="BH283" s="227"/>
      <c r="BI283" s="227"/>
    </row>
    <row r="284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  <c r="AB284" s="227"/>
      <c r="AC284" s="227"/>
      <c r="AD284" s="227"/>
      <c r="AE284" s="227"/>
      <c r="AF284" s="227"/>
      <c r="AG284" s="227"/>
      <c r="AH284" s="227"/>
      <c r="AI284" s="227"/>
      <c r="AJ284" s="227"/>
      <c r="AK284" s="227"/>
      <c r="AL284" s="227"/>
      <c r="AM284" s="227"/>
      <c r="AN284" s="227"/>
      <c r="AO284" s="227"/>
      <c r="AP284" s="227"/>
      <c r="AQ284" s="227"/>
      <c r="AR284" s="227"/>
      <c r="AS284" s="227"/>
      <c r="AT284" s="227"/>
      <c r="AU284" s="227"/>
      <c r="AV284" s="227"/>
      <c r="AW284" s="227"/>
      <c r="AX284" s="227"/>
      <c r="AY284" s="227"/>
      <c r="AZ284" s="227"/>
      <c r="BA284" s="227"/>
      <c r="BB284" s="227"/>
      <c r="BC284" s="227"/>
      <c r="BD284" s="227"/>
      <c r="BE284" s="227"/>
      <c r="BF284" s="227"/>
      <c r="BG284" s="227"/>
      <c r="BH284" s="227"/>
      <c r="BI284" s="227"/>
    </row>
    <row r="285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  <c r="AB285" s="227"/>
      <c r="AC285" s="227"/>
      <c r="AD285" s="227"/>
      <c r="AE285" s="227"/>
      <c r="AF285" s="227"/>
      <c r="AG285" s="227"/>
      <c r="AH285" s="227"/>
      <c r="AI285" s="227"/>
      <c r="AJ285" s="227"/>
      <c r="AK285" s="227"/>
      <c r="AL285" s="227"/>
      <c r="AM285" s="227"/>
      <c r="AN285" s="227"/>
      <c r="AO285" s="227"/>
      <c r="AP285" s="227"/>
      <c r="AQ285" s="227"/>
      <c r="AR285" s="227"/>
      <c r="AS285" s="227"/>
      <c r="AT285" s="227"/>
      <c r="AU285" s="227"/>
      <c r="AV285" s="227"/>
      <c r="AW285" s="227"/>
      <c r="AX285" s="227"/>
      <c r="AY285" s="227"/>
      <c r="AZ285" s="227"/>
      <c r="BA285" s="227"/>
      <c r="BB285" s="227"/>
      <c r="BC285" s="227"/>
      <c r="BD285" s="227"/>
      <c r="BE285" s="227"/>
      <c r="BF285" s="227"/>
      <c r="BG285" s="227"/>
      <c r="BH285" s="227"/>
      <c r="BI285" s="227"/>
    </row>
    <row r="28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  <c r="AB286" s="227"/>
      <c r="AC286" s="227"/>
      <c r="AD286" s="227"/>
      <c r="AE286" s="227"/>
      <c r="AF286" s="227"/>
      <c r="AG286" s="227"/>
      <c r="AH286" s="227"/>
      <c r="AI286" s="227"/>
      <c r="AJ286" s="227"/>
      <c r="AK286" s="227"/>
      <c r="AL286" s="227"/>
      <c r="AM286" s="227"/>
      <c r="AN286" s="227"/>
      <c r="AO286" s="227"/>
      <c r="AP286" s="227"/>
      <c r="AQ286" s="227"/>
      <c r="AR286" s="227"/>
      <c r="AS286" s="227"/>
      <c r="AT286" s="227"/>
      <c r="AU286" s="227"/>
      <c r="AV286" s="227"/>
      <c r="AW286" s="227"/>
      <c r="AX286" s="227"/>
      <c r="AY286" s="227"/>
      <c r="AZ286" s="227"/>
      <c r="BA286" s="227"/>
      <c r="BB286" s="227"/>
      <c r="BC286" s="227"/>
      <c r="BD286" s="227"/>
      <c r="BE286" s="227"/>
      <c r="BF286" s="227"/>
      <c r="BG286" s="227"/>
      <c r="BH286" s="227"/>
      <c r="BI286" s="227"/>
    </row>
    <row r="287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  <c r="AB287" s="227"/>
      <c r="AC287" s="227"/>
      <c r="AD287" s="227"/>
      <c r="AE287" s="227"/>
      <c r="AF287" s="227"/>
      <c r="AG287" s="227"/>
      <c r="AH287" s="227"/>
      <c r="AI287" s="227"/>
      <c r="AJ287" s="227"/>
      <c r="AK287" s="227"/>
      <c r="AL287" s="227"/>
      <c r="AM287" s="227"/>
      <c r="AN287" s="227"/>
      <c r="AO287" s="227"/>
      <c r="AP287" s="227"/>
      <c r="AQ287" s="227"/>
      <c r="AR287" s="227"/>
      <c r="AS287" s="227"/>
      <c r="AT287" s="227"/>
      <c r="AU287" s="227"/>
      <c r="AV287" s="227"/>
      <c r="AW287" s="227"/>
      <c r="AX287" s="227"/>
      <c r="AY287" s="227"/>
      <c r="AZ287" s="227"/>
      <c r="BA287" s="227"/>
      <c r="BB287" s="227"/>
      <c r="BC287" s="227"/>
      <c r="BD287" s="227"/>
      <c r="BE287" s="227"/>
      <c r="BF287" s="227"/>
      <c r="BG287" s="227"/>
      <c r="BH287" s="227"/>
      <c r="BI287" s="227"/>
    </row>
    <row r="288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  <c r="AB288" s="227"/>
      <c r="AC288" s="227"/>
      <c r="AD288" s="227"/>
      <c r="AE288" s="227"/>
      <c r="AF288" s="227"/>
      <c r="AG288" s="227"/>
      <c r="AH288" s="227"/>
      <c r="AI288" s="227"/>
      <c r="AJ288" s="227"/>
      <c r="AK288" s="227"/>
      <c r="AL288" s="227"/>
      <c r="AM288" s="227"/>
      <c r="AN288" s="227"/>
      <c r="AO288" s="227"/>
      <c r="AP288" s="227"/>
      <c r="AQ288" s="227"/>
      <c r="AR288" s="227"/>
      <c r="AS288" s="227"/>
      <c r="AT288" s="227"/>
      <c r="AU288" s="227"/>
      <c r="AV288" s="227"/>
      <c r="AW288" s="227"/>
      <c r="AX288" s="227"/>
      <c r="AY288" s="227"/>
      <c r="AZ288" s="227"/>
      <c r="BA288" s="227"/>
      <c r="BB288" s="227"/>
      <c r="BC288" s="227"/>
      <c r="BD288" s="227"/>
      <c r="BE288" s="227"/>
      <c r="BF288" s="227"/>
      <c r="BG288" s="227"/>
      <c r="BH288" s="227"/>
      <c r="BI288" s="227"/>
    </row>
    <row r="289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  <c r="AB289" s="227"/>
      <c r="AC289" s="227"/>
      <c r="AD289" s="227"/>
      <c r="AE289" s="227"/>
      <c r="AF289" s="227"/>
      <c r="AG289" s="227"/>
      <c r="AH289" s="227"/>
      <c r="AI289" s="227"/>
      <c r="AJ289" s="227"/>
      <c r="AK289" s="227"/>
      <c r="AL289" s="227"/>
      <c r="AM289" s="227"/>
      <c r="AN289" s="227"/>
      <c r="AO289" s="227"/>
      <c r="AP289" s="227"/>
      <c r="AQ289" s="227"/>
      <c r="AR289" s="227"/>
      <c r="AS289" s="227"/>
      <c r="AT289" s="227"/>
      <c r="AU289" s="227"/>
      <c r="AV289" s="227"/>
      <c r="AW289" s="227"/>
      <c r="AX289" s="227"/>
      <c r="AY289" s="227"/>
      <c r="AZ289" s="227"/>
      <c r="BA289" s="227"/>
      <c r="BB289" s="227"/>
      <c r="BC289" s="227"/>
      <c r="BD289" s="227"/>
      <c r="BE289" s="227"/>
      <c r="BF289" s="227"/>
      <c r="BG289" s="227"/>
      <c r="BH289" s="227"/>
      <c r="BI289" s="227"/>
    </row>
    <row r="290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  <c r="AB290" s="227"/>
      <c r="AC290" s="227"/>
      <c r="AD290" s="227"/>
      <c r="AE290" s="227"/>
      <c r="AF290" s="227"/>
      <c r="AG290" s="227"/>
      <c r="AH290" s="227"/>
      <c r="AI290" s="227"/>
      <c r="AJ290" s="227"/>
      <c r="AK290" s="227"/>
      <c r="AL290" s="227"/>
      <c r="AM290" s="227"/>
      <c r="AN290" s="227"/>
      <c r="AO290" s="227"/>
      <c r="AP290" s="227"/>
      <c r="AQ290" s="227"/>
      <c r="AR290" s="227"/>
      <c r="AS290" s="227"/>
      <c r="AT290" s="227"/>
      <c r="AU290" s="227"/>
      <c r="AV290" s="227"/>
      <c r="AW290" s="227"/>
      <c r="AX290" s="227"/>
      <c r="AY290" s="227"/>
      <c r="AZ290" s="227"/>
      <c r="BA290" s="227"/>
      <c r="BB290" s="227"/>
      <c r="BC290" s="227"/>
      <c r="BD290" s="227"/>
      <c r="BE290" s="227"/>
      <c r="BF290" s="227"/>
      <c r="BG290" s="227"/>
      <c r="BH290" s="227"/>
      <c r="BI290" s="227"/>
    </row>
    <row r="29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27"/>
      <c r="AL291" s="227"/>
      <c r="AM291" s="227"/>
      <c r="AN291" s="227"/>
      <c r="AO291" s="227"/>
      <c r="AP291" s="227"/>
      <c r="AQ291" s="227"/>
      <c r="AR291" s="227"/>
      <c r="AS291" s="227"/>
      <c r="AT291" s="227"/>
      <c r="AU291" s="227"/>
      <c r="AV291" s="227"/>
      <c r="AW291" s="227"/>
      <c r="AX291" s="227"/>
      <c r="AY291" s="227"/>
      <c r="AZ291" s="227"/>
      <c r="BA291" s="227"/>
      <c r="BB291" s="227"/>
      <c r="BC291" s="227"/>
      <c r="BD291" s="227"/>
      <c r="BE291" s="227"/>
      <c r="BF291" s="227"/>
      <c r="BG291" s="227"/>
      <c r="BH291" s="227"/>
      <c r="BI291" s="227"/>
    </row>
    <row r="292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  <c r="AB292" s="227"/>
      <c r="AC292" s="227"/>
      <c r="AD292" s="227"/>
      <c r="AE292" s="227"/>
      <c r="AF292" s="227"/>
      <c r="AG292" s="227"/>
      <c r="AH292" s="227"/>
      <c r="AI292" s="227"/>
      <c r="AJ292" s="227"/>
      <c r="AK292" s="227"/>
      <c r="AL292" s="227"/>
      <c r="AM292" s="227"/>
      <c r="AN292" s="227"/>
      <c r="AO292" s="227"/>
      <c r="AP292" s="227"/>
      <c r="AQ292" s="227"/>
      <c r="AR292" s="227"/>
      <c r="AS292" s="227"/>
      <c r="AT292" s="227"/>
      <c r="AU292" s="227"/>
      <c r="AV292" s="227"/>
      <c r="AW292" s="227"/>
      <c r="AX292" s="227"/>
      <c r="AY292" s="227"/>
      <c r="AZ292" s="227"/>
      <c r="BA292" s="227"/>
      <c r="BB292" s="227"/>
      <c r="BC292" s="227"/>
      <c r="BD292" s="227"/>
      <c r="BE292" s="227"/>
      <c r="BF292" s="227"/>
      <c r="BG292" s="227"/>
      <c r="BH292" s="227"/>
      <c r="BI292" s="227"/>
    </row>
    <row r="293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  <c r="AB293" s="227"/>
      <c r="AC293" s="227"/>
      <c r="AD293" s="227"/>
      <c r="AE293" s="227"/>
      <c r="AF293" s="227"/>
      <c r="AG293" s="227"/>
      <c r="AH293" s="227"/>
      <c r="AI293" s="227"/>
      <c r="AJ293" s="227"/>
      <c r="AK293" s="227"/>
      <c r="AL293" s="227"/>
      <c r="AM293" s="227"/>
      <c r="AN293" s="227"/>
      <c r="AO293" s="227"/>
      <c r="AP293" s="227"/>
      <c r="AQ293" s="227"/>
      <c r="AR293" s="227"/>
      <c r="AS293" s="227"/>
      <c r="AT293" s="227"/>
      <c r="AU293" s="227"/>
      <c r="AV293" s="227"/>
      <c r="AW293" s="227"/>
      <c r="AX293" s="227"/>
      <c r="AY293" s="227"/>
      <c r="AZ293" s="227"/>
      <c r="BA293" s="227"/>
      <c r="BB293" s="227"/>
      <c r="BC293" s="227"/>
      <c r="BD293" s="227"/>
      <c r="BE293" s="227"/>
      <c r="BF293" s="227"/>
      <c r="BG293" s="227"/>
      <c r="BH293" s="227"/>
      <c r="BI293" s="227"/>
    </row>
    <row r="294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  <c r="AB294" s="227"/>
      <c r="AC294" s="227"/>
      <c r="AD294" s="227"/>
      <c r="AE294" s="227"/>
      <c r="AF294" s="227"/>
      <c r="AG294" s="227"/>
      <c r="AH294" s="227"/>
      <c r="AI294" s="227"/>
      <c r="AJ294" s="227"/>
      <c r="AK294" s="227"/>
      <c r="AL294" s="227"/>
      <c r="AM294" s="227"/>
      <c r="AN294" s="227"/>
      <c r="AO294" s="227"/>
      <c r="AP294" s="227"/>
      <c r="AQ294" s="227"/>
      <c r="AR294" s="227"/>
      <c r="AS294" s="227"/>
      <c r="AT294" s="227"/>
      <c r="AU294" s="227"/>
      <c r="AV294" s="227"/>
      <c r="AW294" s="227"/>
      <c r="AX294" s="227"/>
      <c r="AY294" s="227"/>
      <c r="AZ294" s="227"/>
      <c r="BA294" s="227"/>
      <c r="BB294" s="227"/>
      <c r="BC294" s="227"/>
      <c r="BD294" s="227"/>
      <c r="BE294" s="227"/>
      <c r="BF294" s="227"/>
      <c r="BG294" s="227"/>
      <c r="BH294" s="227"/>
      <c r="BI294" s="227"/>
    </row>
    <row r="295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  <c r="AB295" s="227"/>
      <c r="AC295" s="227"/>
      <c r="AD295" s="227"/>
      <c r="AE295" s="227"/>
      <c r="AF295" s="227"/>
      <c r="AG295" s="227"/>
      <c r="AH295" s="227"/>
      <c r="AI295" s="227"/>
      <c r="AJ295" s="227"/>
      <c r="AK295" s="227"/>
      <c r="AL295" s="227"/>
      <c r="AM295" s="227"/>
      <c r="AN295" s="227"/>
      <c r="AO295" s="227"/>
      <c r="AP295" s="227"/>
      <c r="AQ295" s="227"/>
      <c r="AR295" s="227"/>
      <c r="AS295" s="227"/>
      <c r="AT295" s="227"/>
      <c r="AU295" s="227"/>
      <c r="AV295" s="227"/>
      <c r="AW295" s="227"/>
      <c r="AX295" s="227"/>
      <c r="AY295" s="227"/>
      <c r="AZ295" s="227"/>
      <c r="BA295" s="227"/>
      <c r="BB295" s="227"/>
      <c r="BC295" s="227"/>
      <c r="BD295" s="227"/>
      <c r="BE295" s="227"/>
      <c r="BF295" s="227"/>
      <c r="BG295" s="227"/>
      <c r="BH295" s="227"/>
      <c r="BI295" s="227"/>
    </row>
    <row r="29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  <c r="AB296" s="227"/>
      <c r="AC296" s="227"/>
      <c r="AD296" s="227"/>
      <c r="AE296" s="227"/>
      <c r="AF296" s="227"/>
      <c r="AG296" s="227"/>
      <c r="AH296" s="227"/>
      <c r="AI296" s="227"/>
      <c r="AJ296" s="227"/>
      <c r="AK296" s="227"/>
      <c r="AL296" s="227"/>
      <c r="AM296" s="227"/>
      <c r="AN296" s="227"/>
      <c r="AO296" s="227"/>
      <c r="AP296" s="227"/>
      <c r="AQ296" s="227"/>
      <c r="AR296" s="227"/>
      <c r="AS296" s="227"/>
      <c r="AT296" s="227"/>
      <c r="AU296" s="227"/>
      <c r="AV296" s="227"/>
      <c r="AW296" s="227"/>
      <c r="AX296" s="227"/>
      <c r="AY296" s="227"/>
      <c r="AZ296" s="227"/>
      <c r="BA296" s="227"/>
      <c r="BB296" s="227"/>
      <c r="BC296" s="227"/>
      <c r="BD296" s="227"/>
      <c r="BE296" s="227"/>
      <c r="BF296" s="227"/>
      <c r="BG296" s="227"/>
      <c r="BH296" s="227"/>
      <c r="BI296" s="227"/>
    </row>
    <row r="297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  <c r="AB297" s="227"/>
      <c r="AC297" s="227"/>
      <c r="AD297" s="227"/>
      <c r="AE297" s="227"/>
      <c r="AF297" s="227"/>
      <c r="AG297" s="227"/>
      <c r="AH297" s="227"/>
      <c r="AI297" s="227"/>
      <c r="AJ297" s="227"/>
      <c r="AK297" s="227"/>
      <c r="AL297" s="227"/>
      <c r="AM297" s="227"/>
      <c r="AN297" s="227"/>
      <c r="AO297" s="227"/>
      <c r="AP297" s="227"/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227"/>
      <c r="BB297" s="227"/>
      <c r="BC297" s="227"/>
      <c r="BD297" s="227"/>
      <c r="BE297" s="227"/>
      <c r="BF297" s="227"/>
      <c r="BG297" s="227"/>
      <c r="BH297" s="227"/>
      <c r="BI297" s="227"/>
    </row>
    <row r="298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  <c r="AB298" s="227"/>
      <c r="AC298" s="227"/>
      <c r="AD298" s="227"/>
      <c r="AE298" s="227"/>
      <c r="AF298" s="227"/>
      <c r="AG298" s="227"/>
      <c r="AH298" s="227"/>
      <c r="AI298" s="227"/>
      <c r="AJ298" s="227"/>
      <c r="AK298" s="227"/>
      <c r="AL298" s="227"/>
      <c r="AM298" s="227"/>
      <c r="AN298" s="227"/>
      <c r="AO298" s="227"/>
      <c r="AP298" s="227"/>
      <c r="AQ298" s="227"/>
      <c r="AR298" s="227"/>
      <c r="AS298" s="227"/>
      <c r="AT298" s="227"/>
      <c r="AU298" s="227"/>
      <c r="AV298" s="227"/>
      <c r="AW298" s="227"/>
      <c r="AX298" s="227"/>
      <c r="AY298" s="227"/>
      <c r="AZ298" s="227"/>
      <c r="BA298" s="227"/>
      <c r="BB298" s="227"/>
      <c r="BC298" s="227"/>
      <c r="BD298" s="227"/>
      <c r="BE298" s="227"/>
      <c r="BF298" s="227"/>
      <c r="BG298" s="227"/>
      <c r="BH298" s="227"/>
      <c r="BI298" s="227"/>
    </row>
    <row r="299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  <c r="AB299" s="227"/>
      <c r="AC299" s="227"/>
      <c r="AD299" s="227"/>
      <c r="AE299" s="227"/>
      <c r="AF299" s="227"/>
      <c r="AG299" s="227"/>
      <c r="AH299" s="227"/>
      <c r="AI299" s="227"/>
      <c r="AJ299" s="227"/>
      <c r="AK299" s="227"/>
      <c r="AL299" s="227"/>
      <c r="AM299" s="227"/>
      <c r="AN299" s="227"/>
      <c r="AO299" s="227"/>
      <c r="AP299" s="227"/>
      <c r="AQ299" s="227"/>
      <c r="AR299" s="227"/>
      <c r="AS299" s="227"/>
      <c r="AT299" s="227"/>
      <c r="AU299" s="227"/>
      <c r="AV299" s="227"/>
      <c r="AW299" s="227"/>
      <c r="AX299" s="227"/>
      <c r="AY299" s="227"/>
      <c r="AZ299" s="227"/>
      <c r="BA299" s="227"/>
      <c r="BB299" s="227"/>
      <c r="BC299" s="227"/>
      <c r="BD299" s="227"/>
      <c r="BE299" s="227"/>
      <c r="BF299" s="227"/>
      <c r="BG299" s="227"/>
      <c r="BH299" s="227"/>
      <c r="BI299" s="227"/>
    </row>
    <row r="300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  <c r="AB300" s="227"/>
      <c r="AC300" s="227"/>
      <c r="AD300" s="227"/>
      <c r="AE300" s="227"/>
      <c r="AF300" s="227"/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27"/>
      <c r="BC300" s="227"/>
      <c r="BD300" s="227"/>
      <c r="BE300" s="227"/>
      <c r="BF300" s="227"/>
      <c r="BG300" s="227"/>
      <c r="BH300" s="227"/>
      <c r="BI300" s="227"/>
    </row>
    <row r="30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  <c r="AB301" s="227"/>
      <c r="AC301" s="227"/>
      <c r="AD301" s="227"/>
      <c r="AE301" s="227"/>
      <c r="AF301" s="227"/>
      <c r="AG301" s="227"/>
      <c r="AH301" s="227"/>
      <c r="AI301" s="227"/>
      <c r="AJ301" s="227"/>
      <c r="AK301" s="227"/>
      <c r="AL301" s="227"/>
      <c r="AM301" s="227"/>
      <c r="AN301" s="227"/>
      <c r="AO301" s="227"/>
      <c r="AP301" s="227"/>
      <c r="AQ301" s="227"/>
      <c r="AR301" s="227"/>
      <c r="AS301" s="227"/>
      <c r="AT301" s="227"/>
      <c r="AU301" s="227"/>
      <c r="AV301" s="227"/>
      <c r="AW301" s="227"/>
      <c r="AX301" s="227"/>
      <c r="AY301" s="227"/>
      <c r="AZ301" s="227"/>
      <c r="BA301" s="227"/>
      <c r="BB301" s="227"/>
      <c r="BC301" s="227"/>
      <c r="BD301" s="227"/>
      <c r="BE301" s="227"/>
      <c r="BF301" s="227"/>
      <c r="BG301" s="227"/>
      <c r="BH301" s="227"/>
      <c r="BI301" s="227"/>
    </row>
    <row r="302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  <c r="AB302" s="227"/>
      <c r="AC302" s="227"/>
      <c r="AD302" s="227"/>
      <c r="AE302" s="227"/>
      <c r="AF302" s="227"/>
      <c r="AG302" s="227"/>
      <c r="AH302" s="227"/>
      <c r="AI302" s="227"/>
      <c r="AJ302" s="227"/>
      <c r="AK302" s="227"/>
      <c r="AL302" s="227"/>
      <c r="AM302" s="227"/>
      <c r="AN302" s="227"/>
      <c r="AO302" s="227"/>
      <c r="AP302" s="227"/>
      <c r="AQ302" s="227"/>
      <c r="AR302" s="227"/>
      <c r="AS302" s="227"/>
      <c r="AT302" s="227"/>
      <c r="AU302" s="227"/>
      <c r="AV302" s="227"/>
      <c r="AW302" s="227"/>
      <c r="AX302" s="227"/>
      <c r="AY302" s="227"/>
      <c r="AZ302" s="227"/>
      <c r="BA302" s="227"/>
      <c r="BB302" s="227"/>
      <c r="BC302" s="227"/>
      <c r="BD302" s="227"/>
      <c r="BE302" s="227"/>
      <c r="BF302" s="227"/>
      <c r="BG302" s="227"/>
      <c r="BH302" s="227"/>
      <c r="BI302" s="227"/>
    </row>
    <row r="303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  <c r="AB303" s="227"/>
      <c r="AC303" s="227"/>
      <c r="AD303" s="227"/>
      <c r="AE303" s="227"/>
      <c r="AF303" s="227"/>
      <c r="AG303" s="227"/>
      <c r="AH303" s="227"/>
      <c r="AI303" s="227"/>
      <c r="AJ303" s="227"/>
      <c r="AK303" s="227"/>
      <c r="AL303" s="227"/>
      <c r="AM303" s="227"/>
      <c r="AN303" s="227"/>
      <c r="AO303" s="227"/>
      <c r="AP303" s="227"/>
      <c r="AQ303" s="227"/>
      <c r="AR303" s="227"/>
      <c r="AS303" s="227"/>
      <c r="AT303" s="227"/>
      <c r="AU303" s="227"/>
      <c r="AV303" s="227"/>
      <c r="AW303" s="227"/>
      <c r="AX303" s="227"/>
      <c r="AY303" s="227"/>
      <c r="AZ303" s="227"/>
      <c r="BA303" s="227"/>
      <c r="BB303" s="227"/>
      <c r="BC303" s="227"/>
      <c r="BD303" s="227"/>
      <c r="BE303" s="227"/>
      <c r="BF303" s="227"/>
      <c r="BG303" s="227"/>
      <c r="BH303" s="227"/>
      <c r="BI303" s="227"/>
    </row>
    <row r="304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  <c r="AB304" s="227"/>
      <c r="AC304" s="227"/>
      <c r="AD304" s="227"/>
      <c r="AE304" s="227"/>
      <c r="AF304" s="227"/>
      <c r="AG304" s="227"/>
      <c r="AH304" s="227"/>
      <c r="AI304" s="227"/>
      <c r="AJ304" s="227"/>
      <c r="AK304" s="227"/>
      <c r="AL304" s="227"/>
      <c r="AM304" s="227"/>
      <c r="AN304" s="227"/>
      <c r="AO304" s="227"/>
      <c r="AP304" s="227"/>
      <c r="AQ304" s="227"/>
      <c r="AR304" s="227"/>
      <c r="AS304" s="227"/>
      <c r="AT304" s="227"/>
      <c r="AU304" s="227"/>
      <c r="AV304" s="227"/>
      <c r="AW304" s="227"/>
      <c r="AX304" s="227"/>
      <c r="AY304" s="227"/>
      <c r="AZ304" s="227"/>
      <c r="BA304" s="227"/>
      <c r="BB304" s="227"/>
      <c r="BC304" s="227"/>
      <c r="BD304" s="227"/>
      <c r="BE304" s="227"/>
      <c r="BF304" s="227"/>
      <c r="BG304" s="227"/>
      <c r="BH304" s="227"/>
      <c r="BI304" s="227"/>
    </row>
    <row r="305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  <c r="AB305" s="227"/>
      <c r="AC305" s="227"/>
      <c r="AD305" s="227"/>
      <c r="AE305" s="227"/>
      <c r="AF305" s="227"/>
      <c r="AG305" s="227"/>
      <c r="AH305" s="227"/>
      <c r="AI305" s="227"/>
      <c r="AJ305" s="227"/>
      <c r="AK305" s="227"/>
      <c r="AL305" s="227"/>
      <c r="AM305" s="227"/>
      <c r="AN305" s="227"/>
      <c r="AO305" s="227"/>
      <c r="AP305" s="227"/>
      <c r="AQ305" s="227"/>
      <c r="AR305" s="227"/>
      <c r="AS305" s="227"/>
      <c r="AT305" s="227"/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/>
      <c r="BG305" s="227"/>
      <c r="BH305" s="227"/>
      <c r="BI305" s="227"/>
    </row>
    <row r="30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  <c r="AB306" s="227"/>
      <c r="AC306" s="227"/>
      <c r="AD306" s="227"/>
      <c r="AE306" s="227"/>
      <c r="AF306" s="227"/>
      <c r="AG306" s="227"/>
      <c r="AH306" s="227"/>
      <c r="AI306" s="227"/>
      <c r="AJ306" s="227"/>
      <c r="AK306" s="227"/>
      <c r="AL306" s="227"/>
      <c r="AM306" s="227"/>
      <c r="AN306" s="227"/>
      <c r="AO306" s="227"/>
      <c r="AP306" s="227"/>
      <c r="AQ306" s="227"/>
      <c r="AR306" s="227"/>
      <c r="AS306" s="227"/>
      <c r="AT306" s="227"/>
      <c r="AU306" s="227"/>
      <c r="AV306" s="227"/>
      <c r="AW306" s="227"/>
      <c r="AX306" s="227"/>
      <c r="AY306" s="227"/>
      <c r="AZ306" s="227"/>
      <c r="BA306" s="227"/>
      <c r="BB306" s="227"/>
      <c r="BC306" s="227"/>
      <c r="BD306" s="227"/>
      <c r="BE306" s="227"/>
      <c r="BF306" s="227"/>
      <c r="BG306" s="227"/>
      <c r="BH306" s="227"/>
      <c r="BI306" s="227"/>
    </row>
    <row r="307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  <c r="AB307" s="227"/>
      <c r="AC307" s="227"/>
      <c r="AD307" s="227"/>
      <c r="AE307" s="227"/>
      <c r="AF307" s="227"/>
      <c r="AG307" s="227"/>
      <c r="AH307" s="227"/>
      <c r="AI307" s="227"/>
      <c r="AJ307" s="227"/>
      <c r="AK307" s="227"/>
      <c r="AL307" s="227"/>
      <c r="AM307" s="227"/>
      <c r="AN307" s="227"/>
      <c r="AO307" s="227"/>
      <c r="AP307" s="227"/>
      <c r="AQ307" s="227"/>
      <c r="AR307" s="227"/>
      <c r="AS307" s="227"/>
      <c r="AT307" s="227"/>
      <c r="AU307" s="227"/>
      <c r="AV307" s="227"/>
      <c r="AW307" s="227"/>
      <c r="AX307" s="227"/>
      <c r="AY307" s="227"/>
      <c r="AZ307" s="227"/>
      <c r="BA307" s="227"/>
      <c r="BB307" s="227"/>
      <c r="BC307" s="227"/>
      <c r="BD307" s="227"/>
      <c r="BE307" s="227"/>
      <c r="BF307" s="227"/>
      <c r="BG307" s="227"/>
      <c r="BH307" s="227"/>
      <c r="BI307" s="227"/>
    </row>
    <row r="308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  <c r="AB308" s="227"/>
      <c r="AC308" s="227"/>
      <c r="AD308" s="227"/>
      <c r="AE308" s="227"/>
      <c r="AF308" s="227"/>
      <c r="AG308" s="227"/>
      <c r="AH308" s="227"/>
      <c r="AI308" s="227"/>
      <c r="AJ308" s="227"/>
      <c r="AK308" s="227"/>
      <c r="AL308" s="227"/>
      <c r="AM308" s="227"/>
      <c r="AN308" s="227"/>
      <c r="AO308" s="227"/>
      <c r="AP308" s="227"/>
      <c r="AQ308" s="227"/>
      <c r="AR308" s="227"/>
      <c r="AS308" s="227"/>
      <c r="AT308" s="227"/>
      <c r="AU308" s="227"/>
      <c r="AV308" s="227"/>
      <c r="AW308" s="227"/>
      <c r="AX308" s="227"/>
      <c r="AY308" s="227"/>
      <c r="AZ308" s="227"/>
      <c r="BA308" s="227"/>
      <c r="BB308" s="227"/>
      <c r="BC308" s="227"/>
      <c r="BD308" s="227"/>
      <c r="BE308" s="227"/>
      <c r="BF308" s="227"/>
      <c r="BG308" s="227"/>
      <c r="BH308" s="227"/>
      <c r="BI308" s="227"/>
    </row>
    <row r="309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  <c r="AB309" s="227"/>
      <c r="AC309" s="227"/>
      <c r="AD309" s="227"/>
      <c r="AE309" s="227"/>
      <c r="AF309" s="227"/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27"/>
      <c r="BC309" s="227"/>
      <c r="BD309" s="227"/>
      <c r="BE309" s="227"/>
      <c r="BF309" s="227"/>
      <c r="BG309" s="227"/>
      <c r="BH309" s="227"/>
      <c r="BI309" s="227"/>
    </row>
    <row r="310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  <c r="AB310" s="227"/>
      <c r="AC310" s="227"/>
      <c r="AD310" s="227"/>
      <c r="AE310" s="227"/>
      <c r="AF310" s="227"/>
      <c r="AG310" s="227"/>
      <c r="AH310" s="227"/>
      <c r="AI310" s="227"/>
      <c r="AJ310" s="227"/>
      <c r="AK310" s="227"/>
      <c r="AL310" s="227"/>
      <c r="AM310" s="227"/>
      <c r="AN310" s="227"/>
      <c r="AO310" s="227"/>
      <c r="AP310" s="227"/>
      <c r="AQ310" s="227"/>
      <c r="AR310" s="227"/>
      <c r="AS310" s="227"/>
      <c r="AT310" s="227"/>
      <c r="AU310" s="227"/>
      <c r="AV310" s="227"/>
      <c r="AW310" s="227"/>
      <c r="AX310" s="227"/>
      <c r="AY310" s="227"/>
      <c r="AZ310" s="227"/>
      <c r="BA310" s="227"/>
      <c r="BB310" s="227"/>
      <c r="BC310" s="227"/>
      <c r="BD310" s="227"/>
      <c r="BE310" s="227"/>
      <c r="BF310" s="227"/>
      <c r="BG310" s="227"/>
      <c r="BH310" s="227"/>
      <c r="BI310" s="227"/>
    </row>
    <row r="31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  <c r="AB311" s="227"/>
      <c r="AC311" s="227"/>
      <c r="AD311" s="227"/>
      <c r="AE311" s="227"/>
      <c r="AF311" s="227"/>
      <c r="AG311" s="227"/>
      <c r="AH311" s="227"/>
      <c r="AI311" s="227"/>
      <c r="AJ311" s="227"/>
      <c r="AK311" s="227"/>
      <c r="AL311" s="227"/>
      <c r="AM311" s="227"/>
      <c r="AN311" s="227"/>
      <c r="AO311" s="227"/>
      <c r="AP311" s="227"/>
      <c r="AQ311" s="227"/>
      <c r="AR311" s="227"/>
      <c r="AS311" s="227"/>
      <c r="AT311" s="227"/>
      <c r="AU311" s="227"/>
      <c r="AV311" s="227"/>
      <c r="AW311" s="227"/>
      <c r="AX311" s="227"/>
      <c r="AY311" s="227"/>
      <c r="AZ311" s="227"/>
      <c r="BA311" s="227"/>
      <c r="BB311" s="227"/>
      <c r="BC311" s="227"/>
      <c r="BD311" s="227"/>
      <c r="BE311" s="227"/>
      <c r="BF311" s="227"/>
      <c r="BG311" s="227"/>
      <c r="BH311" s="227"/>
      <c r="BI311" s="227"/>
    </row>
    <row r="312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  <c r="AB312" s="227"/>
      <c r="AC312" s="227"/>
      <c r="AD312" s="227"/>
      <c r="AE312" s="227"/>
      <c r="AF312" s="227"/>
      <c r="AG312" s="227"/>
      <c r="AH312" s="227"/>
      <c r="AI312" s="227"/>
      <c r="AJ312" s="227"/>
      <c r="AK312" s="227"/>
      <c r="AL312" s="227"/>
      <c r="AM312" s="227"/>
      <c r="AN312" s="227"/>
      <c r="AO312" s="227"/>
      <c r="AP312" s="227"/>
      <c r="AQ312" s="227"/>
      <c r="AR312" s="227"/>
      <c r="AS312" s="227"/>
      <c r="AT312" s="227"/>
      <c r="AU312" s="227"/>
      <c r="AV312" s="227"/>
      <c r="AW312" s="227"/>
      <c r="AX312" s="227"/>
      <c r="AY312" s="227"/>
      <c r="AZ312" s="227"/>
      <c r="BA312" s="227"/>
      <c r="BB312" s="227"/>
      <c r="BC312" s="227"/>
      <c r="BD312" s="227"/>
      <c r="BE312" s="227"/>
      <c r="BF312" s="227"/>
      <c r="BG312" s="227"/>
      <c r="BH312" s="227"/>
      <c r="BI312" s="227"/>
    </row>
    <row r="313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  <c r="AB313" s="227"/>
      <c r="AC313" s="227"/>
      <c r="AD313" s="227"/>
      <c r="AE313" s="227"/>
      <c r="AF313" s="227"/>
      <c r="AG313" s="227"/>
      <c r="AH313" s="227"/>
      <c r="AI313" s="227"/>
      <c r="AJ313" s="227"/>
      <c r="AK313" s="227"/>
      <c r="AL313" s="227"/>
      <c r="AM313" s="227"/>
      <c r="AN313" s="227"/>
      <c r="AO313" s="227"/>
      <c r="AP313" s="227"/>
      <c r="AQ313" s="227"/>
      <c r="AR313" s="227"/>
      <c r="AS313" s="227"/>
      <c r="AT313" s="227"/>
      <c r="AU313" s="227"/>
      <c r="AV313" s="227"/>
      <c r="AW313" s="227"/>
      <c r="AX313" s="227"/>
      <c r="AY313" s="227"/>
      <c r="AZ313" s="227"/>
      <c r="BA313" s="227"/>
      <c r="BB313" s="227"/>
      <c r="BC313" s="227"/>
      <c r="BD313" s="227"/>
      <c r="BE313" s="227"/>
      <c r="BF313" s="227"/>
      <c r="BG313" s="227"/>
      <c r="BH313" s="227"/>
      <c r="BI313" s="227"/>
    </row>
    <row r="314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  <c r="AB314" s="227"/>
      <c r="AC314" s="227"/>
      <c r="AD314" s="227"/>
      <c r="AE314" s="227"/>
      <c r="AF314" s="227"/>
      <c r="AG314" s="227"/>
      <c r="AH314" s="227"/>
      <c r="AI314" s="227"/>
      <c r="AJ314" s="227"/>
      <c r="AK314" s="227"/>
      <c r="AL314" s="227"/>
      <c r="AM314" s="227"/>
      <c r="AN314" s="227"/>
      <c r="AO314" s="227"/>
      <c r="AP314" s="227"/>
      <c r="AQ314" s="227"/>
      <c r="AR314" s="227"/>
      <c r="AS314" s="227"/>
      <c r="AT314" s="227"/>
      <c r="AU314" s="227"/>
      <c r="AV314" s="227"/>
      <c r="AW314" s="227"/>
      <c r="AX314" s="227"/>
      <c r="AY314" s="227"/>
      <c r="AZ314" s="227"/>
      <c r="BA314" s="227"/>
      <c r="BB314" s="227"/>
      <c r="BC314" s="227"/>
      <c r="BD314" s="227"/>
      <c r="BE314" s="227"/>
      <c r="BF314" s="227"/>
      <c r="BG314" s="227"/>
      <c r="BH314" s="227"/>
      <c r="BI314" s="227"/>
    </row>
    <row r="315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  <c r="AB315" s="227"/>
      <c r="AC315" s="227"/>
      <c r="AD315" s="227"/>
      <c r="AE315" s="227"/>
      <c r="AF315" s="227"/>
      <c r="AG315" s="227"/>
      <c r="AH315" s="227"/>
      <c r="AI315" s="227"/>
      <c r="AJ315" s="227"/>
      <c r="AK315" s="227"/>
      <c r="AL315" s="227"/>
      <c r="AM315" s="227"/>
      <c r="AN315" s="227"/>
      <c r="AO315" s="227"/>
      <c r="AP315" s="227"/>
      <c r="AQ315" s="227"/>
      <c r="AR315" s="227"/>
      <c r="AS315" s="227"/>
      <c r="AT315" s="227"/>
      <c r="AU315" s="227"/>
      <c r="AV315" s="227"/>
      <c r="AW315" s="227"/>
      <c r="AX315" s="227"/>
      <c r="AY315" s="227"/>
      <c r="AZ315" s="227"/>
      <c r="BA315" s="227"/>
      <c r="BB315" s="227"/>
      <c r="BC315" s="227"/>
      <c r="BD315" s="227"/>
      <c r="BE315" s="227"/>
      <c r="BF315" s="227"/>
      <c r="BG315" s="227"/>
      <c r="BH315" s="227"/>
      <c r="BI315" s="227"/>
    </row>
    <row r="31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  <c r="AB316" s="227"/>
      <c r="AC316" s="227"/>
      <c r="AD316" s="227"/>
      <c r="AE316" s="227"/>
      <c r="AF316" s="227"/>
      <c r="AG316" s="227"/>
      <c r="AH316" s="227"/>
      <c r="AI316" s="227"/>
      <c r="AJ316" s="227"/>
      <c r="AK316" s="227"/>
      <c r="AL316" s="227"/>
      <c r="AM316" s="227"/>
      <c r="AN316" s="227"/>
      <c r="AO316" s="227"/>
      <c r="AP316" s="227"/>
      <c r="AQ316" s="227"/>
      <c r="AR316" s="227"/>
      <c r="AS316" s="227"/>
      <c r="AT316" s="227"/>
      <c r="AU316" s="227"/>
      <c r="AV316" s="227"/>
      <c r="AW316" s="227"/>
      <c r="AX316" s="227"/>
      <c r="AY316" s="227"/>
      <c r="AZ316" s="227"/>
      <c r="BA316" s="227"/>
      <c r="BB316" s="227"/>
      <c r="BC316" s="227"/>
      <c r="BD316" s="227"/>
      <c r="BE316" s="227"/>
      <c r="BF316" s="227"/>
      <c r="BG316" s="227"/>
      <c r="BH316" s="227"/>
      <c r="BI316" s="227"/>
    </row>
    <row r="317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27"/>
      <c r="BC317" s="227"/>
      <c r="BD317" s="227"/>
      <c r="BE317" s="227"/>
      <c r="BF317" s="227"/>
      <c r="BG317" s="227"/>
      <c r="BH317" s="227"/>
      <c r="BI317" s="227"/>
    </row>
    <row r="318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  <c r="AB318" s="227"/>
      <c r="AC318" s="227"/>
      <c r="AD318" s="227"/>
      <c r="AE318" s="227"/>
      <c r="AF318" s="227"/>
      <c r="AG318" s="227"/>
      <c r="AH318" s="227"/>
      <c r="AI318" s="227"/>
      <c r="AJ318" s="227"/>
      <c r="AK318" s="227"/>
      <c r="AL318" s="227"/>
      <c r="AM318" s="227"/>
      <c r="AN318" s="227"/>
      <c r="AO318" s="227"/>
      <c r="AP318" s="227"/>
      <c r="AQ318" s="227"/>
      <c r="AR318" s="227"/>
      <c r="AS318" s="227"/>
      <c r="AT318" s="227"/>
      <c r="AU318" s="227"/>
      <c r="AV318" s="227"/>
      <c r="AW318" s="227"/>
      <c r="AX318" s="227"/>
      <c r="AY318" s="227"/>
      <c r="AZ318" s="227"/>
      <c r="BA318" s="227"/>
      <c r="BB318" s="227"/>
      <c r="BC318" s="227"/>
      <c r="BD318" s="227"/>
      <c r="BE318" s="227"/>
      <c r="BF318" s="227"/>
      <c r="BG318" s="227"/>
      <c r="BH318" s="227"/>
      <c r="BI318" s="227"/>
    </row>
    <row r="319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  <c r="AB319" s="227"/>
      <c r="AC319" s="227"/>
      <c r="AD319" s="227"/>
      <c r="AE319" s="227"/>
      <c r="AF319" s="227"/>
      <c r="AG319" s="227"/>
      <c r="AH319" s="227"/>
      <c r="AI319" s="227"/>
      <c r="AJ319" s="227"/>
      <c r="AK319" s="227"/>
      <c r="AL319" s="227"/>
      <c r="AM319" s="227"/>
      <c r="AN319" s="227"/>
      <c r="AO319" s="227"/>
      <c r="AP319" s="227"/>
      <c r="AQ319" s="227"/>
      <c r="AR319" s="227"/>
      <c r="AS319" s="227"/>
      <c r="AT319" s="227"/>
      <c r="AU319" s="227"/>
      <c r="AV319" s="227"/>
      <c r="AW319" s="227"/>
      <c r="AX319" s="227"/>
      <c r="AY319" s="227"/>
      <c r="AZ319" s="227"/>
      <c r="BA319" s="227"/>
      <c r="BB319" s="227"/>
      <c r="BC319" s="227"/>
      <c r="BD319" s="227"/>
      <c r="BE319" s="227"/>
      <c r="BF319" s="227"/>
      <c r="BG319" s="227"/>
      <c r="BH319" s="227"/>
      <c r="BI319" s="227"/>
    </row>
    <row r="320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  <c r="AB320" s="227"/>
      <c r="AC320" s="227"/>
      <c r="AD320" s="227"/>
      <c r="AE320" s="227"/>
      <c r="AF320" s="227"/>
      <c r="AG320" s="227"/>
      <c r="AH320" s="227"/>
      <c r="AI320" s="227"/>
      <c r="AJ320" s="227"/>
      <c r="AK320" s="227"/>
      <c r="AL320" s="227"/>
      <c r="AM320" s="227"/>
      <c r="AN320" s="227"/>
      <c r="AO320" s="227"/>
      <c r="AP320" s="227"/>
      <c r="AQ320" s="227"/>
      <c r="AR320" s="227"/>
      <c r="AS320" s="227"/>
      <c r="AT320" s="227"/>
      <c r="AU320" s="227"/>
      <c r="AV320" s="227"/>
      <c r="AW320" s="227"/>
      <c r="AX320" s="227"/>
      <c r="AY320" s="227"/>
      <c r="AZ320" s="227"/>
      <c r="BA320" s="227"/>
      <c r="BB320" s="227"/>
      <c r="BC320" s="227"/>
      <c r="BD320" s="227"/>
      <c r="BE320" s="227"/>
      <c r="BF320" s="227"/>
      <c r="BG320" s="227"/>
      <c r="BH320" s="227"/>
      <c r="BI320" s="227"/>
    </row>
    <row r="32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7"/>
      <c r="AG321" s="227"/>
      <c r="AH321" s="227"/>
      <c r="AI321" s="227"/>
      <c r="AJ321" s="227"/>
      <c r="AK321" s="227"/>
      <c r="AL321" s="227"/>
      <c r="AM321" s="227"/>
      <c r="AN321" s="227"/>
      <c r="AO321" s="227"/>
      <c r="AP321" s="227"/>
      <c r="AQ321" s="227"/>
      <c r="AR321" s="227"/>
      <c r="AS321" s="227"/>
      <c r="AT321" s="227"/>
      <c r="AU321" s="227"/>
      <c r="AV321" s="227"/>
      <c r="AW321" s="227"/>
      <c r="AX321" s="227"/>
      <c r="AY321" s="227"/>
      <c r="AZ321" s="227"/>
      <c r="BA321" s="227"/>
      <c r="BB321" s="227"/>
      <c r="BC321" s="227"/>
      <c r="BD321" s="227"/>
      <c r="BE321" s="227"/>
      <c r="BF321" s="227"/>
      <c r="BG321" s="227"/>
      <c r="BH321" s="227"/>
      <c r="BI321" s="227"/>
    </row>
    <row r="322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  <c r="AB322" s="227"/>
      <c r="AC322" s="227"/>
      <c r="AD322" s="227"/>
      <c r="AE322" s="227"/>
      <c r="AF322" s="227"/>
      <c r="AG322" s="227"/>
      <c r="AH322" s="227"/>
      <c r="AI322" s="227"/>
      <c r="AJ322" s="227"/>
      <c r="AK322" s="227"/>
      <c r="AL322" s="227"/>
      <c r="AM322" s="227"/>
      <c r="AN322" s="227"/>
      <c r="AO322" s="227"/>
      <c r="AP322" s="227"/>
      <c r="AQ322" s="227"/>
      <c r="AR322" s="227"/>
      <c r="AS322" s="227"/>
      <c r="AT322" s="227"/>
      <c r="AU322" s="227"/>
      <c r="AV322" s="227"/>
      <c r="AW322" s="227"/>
      <c r="AX322" s="227"/>
      <c r="AY322" s="227"/>
      <c r="AZ322" s="227"/>
      <c r="BA322" s="227"/>
      <c r="BB322" s="227"/>
      <c r="BC322" s="227"/>
      <c r="BD322" s="227"/>
      <c r="BE322" s="227"/>
      <c r="BF322" s="227"/>
      <c r="BG322" s="227"/>
      <c r="BH322" s="227"/>
      <c r="BI322" s="227"/>
    </row>
    <row r="323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  <c r="AB323" s="227"/>
      <c r="AC323" s="227"/>
      <c r="AD323" s="227"/>
      <c r="AE323" s="227"/>
      <c r="AF323" s="227"/>
      <c r="AG323" s="227"/>
      <c r="AH323" s="227"/>
      <c r="AI323" s="227"/>
      <c r="AJ323" s="227"/>
      <c r="AK323" s="227"/>
      <c r="AL323" s="227"/>
      <c r="AM323" s="227"/>
      <c r="AN323" s="227"/>
      <c r="AO323" s="227"/>
      <c r="AP323" s="227"/>
      <c r="AQ323" s="227"/>
      <c r="AR323" s="227"/>
      <c r="AS323" s="227"/>
      <c r="AT323" s="227"/>
      <c r="AU323" s="227"/>
      <c r="AV323" s="227"/>
      <c r="AW323" s="227"/>
      <c r="AX323" s="227"/>
      <c r="AY323" s="227"/>
      <c r="AZ323" s="227"/>
      <c r="BA323" s="227"/>
      <c r="BB323" s="227"/>
      <c r="BC323" s="227"/>
      <c r="BD323" s="227"/>
      <c r="BE323" s="227"/>
      <c r="BF323" s="227"/>
      <c r="BG323" s="227"/>
      <c r="BH323" s="227"/>
      <c r="BI323" s="227"/>
    </row>
    <row r="324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  <c r="AB324" s="227"/>
      <c r="AC324" s="227"/>
      <c r="AD324" s="227"/>
      <c r="AE324" s="227"/>
      <c r="AF324" s="227"/>
      <c r="AG324" s="227"/>
      <c r="AH324" s="227"/>
      <c r="AI324" s="227"/>
      <c r="AJ324" s="227"/>
      <c r="AK324" s="227"/>
      <c r="AL324" s="227"/>
      <c r="AM324" s="227"/>
      <c r="AN324" s="227"/>
      <c r="AO324" s="227"/>
      <c r="AP324" s="227"/>
      <c r="AQ324" s="227"/>
      <c r="AR324" s="227"/>
      <c r="AS324" s="227"/>
      <c r="AT324" s="227"/>
      <c r="AU324" s="227"/>
      <c r="AV324" s="227"/>
      <c r="AW324" s="227"/>
      <c r="AX324" s="227"/>
      <c r="AY324" s="227"/>
      <c r="AZ324" s="227"/>
      <c r="BA324" s="227"/>
      <c r="BB324" s="227"/>
      <c r="BC324" s="227"/>
      <c r="BD324" s="227"/>
      <c r="BE324" s="227"/>
      <c r="BF324" s="227"/>
      <c r="BG324" s="227"/>
      <c r="BH324" s="227"/>
      <c r="BI324" s="227"/>
    </row>
    <row r="325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  <c r="AB325" s="227"/>
      <c r="AC325" s="227"/>
      <c r="AD325" s="227"/>
      <c r="AE325" s="227"/>
      <c r="AF325" s="227"/>
      <c r="AG325" s="227"/>
      <c r="AH325" s="227"/>
      <c r="AI325" s="227"/>
      <c r="AJ325" s="227"/>
      <c r="AK325" s="227"/>
      <c r="AL325" s="227"/>
      <c r="AM325" s="227"/>
      <c r="AN325" s="227"/>
      <c r="AO325" s="227"/>
      <c r="AP325" s="227"/>
      <c r="AQ325" s="227"/>
      <c r="AR325" s="227"/>
      <c r="AS325" s="227"/>
      <c r="AT325" s="227"/>
      <c r="AU325" s="227"/>
      <c r="AV325" s="227"/>
      <c r="AW325" s="227"/>
      <c r="AX325" s="227"/>
      <c r="AY325" s="227"/>
      <c r="AZ325" s="227"/>
      <c r="BA325" s="227"/>
      <c r="BB325" s="227"/>
      <c r="BC325" s="227"/>
      <c r="BD325" s="227"/>
      <c r="BE325" s="227"/>
      <c r="BF325" s="227"/>
      <c r="BG325" s="227"/>
      <c r="BH325" s="227"/>
      <c r="BI325" s="227"/>
    </row>
    <row r="3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  <c r="AB326" s="227"/>
      <c r="AC326" s="227"/>
      <c r="AD326" s="227"/>
      <c r="AE326" s="227"/>
      <c r="AF326" s="227"/>
      <c r="AG326" s="227"/>
      <c r="AH326" s="227"/>
      <c r="AI326" s="227"/>
      <c r="AJ326" s="227"/>
      <c r="AK326" s="227"/>
      <c r="AL326" s="227"/>
      <c r="AM326" s="227"/>
      <c r="AN326" s="227"/>
      <c r="AO326" s="227"/>
      <c r="AP326" s="227"/>
      <c r="AQ326" s="227"/>
      <c r="AR326" s="227"/>
      <c r="AS326" s="227"/>
      <c r="AT326" s="227"/>
      <c r="AU326" s="227"/>
      <c r="AV326" s="227"/>
      <c r="AW326" s="227"/>
      <c r="AX326" s="227"/>
      <c r="AY326" s="227"/>
      <c r="AZ326" s="227"/>
      <c r="BA326" s="227"/>
      <c r="BB326" s="227"/>
      <c r="BC326" s="227"/>
      <c r="BD326" s="227"/>
      <c r="BE326" s="227"/>
      <c r="BF326" s="227"/>
      <c r="BG326" s="227"/>
      <c r="BH326" s="227"/>
      <c r="BI326" s="227"/>
    </row>
    <row r="327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  <c r="AB327" s="227"/>
      <c r="AC327" s="227"/>
      <c r="AD327" s="227"/>
      <c r="AE327" s="227"/>
      <c r="AF327" s="227"/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27"/>
      <c r="BC327" s="227"/>
      <c r="BD327" s="227"/>
      <c r="BE327" s="227"/>
      <c r="BF327" s="227"/>
      <c r="BG327" s="227"/>
      <c r="BH327" s="227"/>
      <c r="BI327" s="227"/>
    </row>
    <row r="328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  <c r="AB328" s="227"/>
      <c r="AC328" s="227"/>
      <c r="AD328" s="227"/>
      <c r="AE328" s="227"/>
      <c r="AF328" s="227"/>
      <c r="AG328" s="227"/>
      <c r="AH328" s="227"/>
      <c r="AI328" s="227"/>
      <c r="AJ328" s="227"/>
      <c r="AK328" s="227"/>
      <c r="AL328" s="227"/>
      <c r="AM328" s="227"/>
      <c r="AN328" s="227"/>
      <c r="AO328" s="227"/>
      <c r="AP328" s="227"/>
      <c r="AQ328" s="227"/>
      <c r="AR328" s="227"/>
      <c r="AS328" s="227"/>
      <c r="AT328" s="227"/>
      <c r="AU328" s="227"/>
      <c r="AV328" s="227"/>
      <c r="AW328" s="227"/>
      <c r="AX328" s="227"/>
      <c r="AY328" s="227"/>
      <c r="AZ328" s="227"/>
      <c r="BA328" s="227"/>
      <c r="BB328" s="227"/>
      <c r="BC328" s="227"/>
      <c r="BD328" s="227"/>
      <c r="BE328" s="227"/>
      <c r="BF328" s="227"/>
      <c r="BG328" s="227"/>
      <c r="BH328" s="227"/>
      <c r="BI328" s="227"/>
    </row>
    <row r="329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  <c r="AB329" s="227"/>
      <c r="AC329" s="227"/>
      <c r="AD329" s="227"/>
      <c r="AE329" s="227"/>
      <c r="AF329" s="227"/>
      <c r="AG329" s="227"/>
      <c r="AH329" s="227"/>
      <c r="AI329" s="227"/>
      <c r="AJ329" s="227"/>
      <c r="AK329" s="227"/>
      <c r="AL329" s="227"/>
      <c r="AM329" s="227"/>
      <c r="AN329" s="227"/>
      <c r="AO329" s="227"/>
      <c r="AP329" s="227"/>
      <c r="AQ329" s="227"/>
      <c r="AR329" s="227"/>
      <c r="AS329" s="227"/>
      <c r="AT329" s="227"/>
      <c r="AU329" s="227"/>
      <c r="AV329" s="227"/>
      <c r="AW329" s="227"/>
      <c r="AX329" s="227"/>
      <c r="AY329" s="227"/>
      <c r="AZ329" s="227"/>
      <c r="BA329" s="227"/>
      <c r="BB329" s="227"/>
      <c r="BC329" s="227"/>
      <c r="BD329" s="227"/>
      <c r="BE329" s="227"/>
      <c r="BF329" s="227"/>
      <c r="BG329" s="227"/>
      <c r="BH329" s="227"/>
      <c r="BI329" s="227"/>
    </row>
    <row r="330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  <c r="AB330" s="227"/>
      <c r="AC330" s="227"/>
      <c r="AD330" s="227"/>
      <c r="AE330" s="227"/>
      <c r="AF330" s="227"/>
      <c r="AG330" s="227"/>
      <c r="AH330" s="227"/>
      <c r="AI330" s="227"/>
      <c r="AJ330" s="227"/>
      <c r="AK330" s="227"/>
      <c r="AL330" s="227"/>
      <c r="AM330" s="227"/>
      <c r="AN330" s="227"/>
      <c r="AO330" s="227"/>
      <c r="AP330" s="227"/>
      <c r="AQ330" s="227"/>
      <c r="AR330" s="227"/>
      <c r="AS330" s="227"/>
      <c r="AT330" s="227"/>
      <c r="AU330" s="227"/>
      <c r="AV330" s="227"/>
      <c r="AW330" s="227"/>
      <c r="AX330" s="227"/>
      <c r="AY330" s="227"/>
      <c r="AZ330" s="227"/>
      <c r="BA330" s="227"/>
      <c r="BB330" s="227"/>
      <c r="BC330" s="227"/>
      <c r="BD330" s="227"/>
      <c r="BE330" s="227"/>
      <c r="BF330" s="227"/>
      <c r="BG330" s="227"/>
      <c r="BH330" s="227"/>
      <c r="BI330" s="227"/>
    </row>
    <row r="33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  <c r="AB331" s="227"/>
      <c r="AC331" s="227"/>
      <c r="AD331" s="227"/>
      <c r="AE331" s="227"/>
      <c r="AF331" s="227"/>
      <c r="AG331" s="227"/>
      <c r="AH331" s="227"/>
      <c r="AI331" s="227"/>
      <c r="AJ331" s="227"/>
      <c r="AK331" s="227"/>
      <c r="AL331" s="227"/>
      <c r="AM331" s="227"/>
      <c r="AN331" s="227"/>
      <c r="AO331" s="227"/>
      <c r="AP331" s="227"/>
      <c r="AQ331" s="227"/>
      <c r="AR331" s="227"/>
      <c r="AS331" s="227"/>
      <c r="AT331" s="227"/>
      <c r="AU331" s="227"/>
      <c r="AV331" s="227"/>
      <c r="AW331" s="227"/>
      <c r="AX331" s="227"/>
      <c r="AY331" s="227"/>
      <c r="AZ331" s="227"/>
      <c r="BA331" s="227"/>
      <c r="BB331" s="227"/>
      <c r="BC331" s="227"/>
      <c r="BD331" s="227"/>
      <c r="BE331" s="227"/>
      <c r="BF331" s="227"/>
      <c r="BG331" s="227"/>
      <c r="BH331" s="227"/>
      <c r="BI331" s="227"/>
    </row>
    <row r="332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  <c r="AB332" s="227"/>
      <c r="AC332" s="227"/>
      <c r="AD332" s="227"/>
      <c r="AE332" s="227"/>
      <c r="AF332" s="227"/>
      <c r="AG332" s="227"/>
      <c r="AH332" s="227"/>
      <c r="AI332" s="227"/>
      <c r="AJ332" s="227"/>
      <c r="AK332" s="227"/>
      <c r="AL332" s="227"/>
      <c r="AM332" s="227"/>
      <c r="AN332" s="227"/>
      <c r="AO332" s="227"/>
      <c r="AP332" s="227"/>
      <c r="AQ332" s="227"/>
      <c r="AR332" s="227"/>
      <c r="AS332" s="227"/>
      <c r="AT332" s="227"/>
      <c r="AU332" s="227"/>
      <c r="AV332" s="227"/>
      <c r="AW332" s="227"/>
      <c r="AX332" s="227"/>
      <c r="AY332" s="227"/>
      <c r="AZ332" s="227"/>
      <c r="BA332" s="227"/>
      <c r="BB332" s="227"/>
      <c r="BC332" s="227"/>
      <c r="BD332" s="227"/>
      <c r="BE332" s="227"/>
      <c r="BF332" s="227"/>
      <c r="BG332" s="227"/>
      <c r="BH332" s="227"/>
      <c r="BI332" s="227"/>
    </row>
    <row r="333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  <c r="AB333" s="227"/>
      <c r="AC333" s="227"/>
      <c r="AD333" s="227"/>
      <c r="AE333" s="227"/>
      <c r="AF333" s="227"/>
      <c r="AG333" s="227"/>
      <c r="AH333" s="227"/>
      <c r="AI333" s="227"/>
      <c r="AJ333" s="227"/>
      <c r="AK333" s="227"/>
      <c r="AL333" s="227"/>
      <c r="AM333" s="227"/>
      <c r="AN333" s="227"/>
      <c r="AO333" s="227"/>
      <c r="AP333" s="227"/>
      <c r="AQ333" s="227"/>
      <c r="AR333" s="227"/>
      <c r="AS333" s="227"/>
      <c r="AT333" s="227"/>
      <c r="AU333" s="227"/>
      <c r="AV333" s="227"/>
      <c r="AW333" s="227"/>
      <c r="AX333" s="227"/>
      <c r="AY333" s="227"/>
      <c r="AZ333" s="227"/>
      <c r="BA333" s="227"/>
      <c r="BB333" s="227"/>
      <c r="BC333" s="227"/>
      <c r="BD333" s="227"/>
      <c r="BE333" s="227"/>
      <c r="BF333" s="227"/>
      <c r="BG333" s="227"/>
      <c r="BH333" s="227"/>
      <c r="BI333" s="227"/>
    </row>
    <row r="334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  <c r="AB334" s="227"/>
      <c r="AC334" s="227"/>
      <c r="AD334" s="227"/>
      <c r="AE334" s="227"/>
      <c r="AF334" s="227"/>
      <c r="AG334" s="227"/>
      <c r="AH334" s="227"/>
      <c r="AI334" s="227"/>
      <c r="AJ334" s="227"/>
      <c r="AK334" s="227"/>
      <c r="AL334" s="227"/>
      <c r="AM334" s="227"/>
      <c r="AN334" s="227"/>
      <c r="AO334" s="227"/>
      <c r="AP334" s="227"/>
      <c r="AQ334" s="227"/>
      <c r="AR334" s="227"/>
      <c r="AS334" s="227"/>
      <c r="AT334" s="227"/>
      <c r="AU334" s="227"/>
      <c r="AV334" s="227"/>
      <c r="AW334" s="227"/>
      <c r="AX334" s="227"/>
      <c r="AY334" s="227"/>
      <c r="AZ334" s="227"/>
      <c r="BA334" s="227"/>
      <c r="BB334" s="227"/>
      <c r="BC334" s="227"/>
      <c r="BD334" s="227"/>
      <c r="BE334" s="227"/>
      <c r="BF334" s="227"/>
      <c r="BG334" s="227"/>
      <c r="BH334" s="227"/>
      <c r="BI334" s="227"/>
    </row>
    <row r="335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  <c r="AB335" s="227"/>
      <c r="AC335" s="227"/>
      <c r="AD335" s="227"/>
      <c r="AE335" s="227"/>
      <c r="AF335" s="227"/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  <c r="AT335" s="227"/>
      <c r="AU335" s="227"/>
      <c r="AV335" s="227"/>
      <c r="AW335" s="227"/>
      <c r="AX335" s="227"/>
      <c r="AY335" s="227"/>
      <c r="AZ335" s="227"/>
      <c r="BA335" s="227"/>
      <c r="BB335" s="227"/>
      <c r="BC335" s="227"/>
      <c r="BD335" s="227"/>
      <c r="BE335" s="227"/>
      <c r="BF335" s="227"/>
      <c r="BG335" s="227"/>
      <c r="BH335" s="227"/>
      <c r="BI335" s="227"/>
    </row>
    <row r="33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  <c r="AB336" s="227"/>
      <c r="AC336" s="227"/>
      <c r="AD336" s="227"/>
      <c r="AE336" s="227"/>
      <c r="AF336" s="227"/>
      <c r="AG336" s="227"/>
      <c r="AH336" s="227"/>
      <c r="AI336" s="227"/>
      <c r="AJ336" s="227"/>
      <c r="AK336" s="227"/>
      <c r="AL336" s="227"/>
      <c r="AM336" s="227"/>
      <c r="AN336" s="227"/>
      <c r="AO336" s="227"/>
      <c r="AP336" s="227"/>
      <c r="AQ336" s="227"/>
      <c r="AR336" s="227"/>
      <c r="AS336" s="227"/>
      <c r="AT336" s="227"/>
      <c r="AU336" s="227"/>
      <c r="AV336" s="227"/>
      <c r="AW336" s="227"/>
      <c r="AX336" s="227"/>
      <c r="AY336" s="227"/>
      <c r="AZ336" s="227"/>
      <c r="BA336" s="227"/>
      <c r="BB336" s="227"/>
      <c r="BC336" s="227"/>
      <c r="BD336" s="227"/>
      <c r="BE336" s="227"/>
      <c r="BF336" s="227"/>
      <c r="BG336" s="227"/>
      <c r="BH336" s="227"/>
      <c r="BI336" s="227"/>
    </row>
    <row r="337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  <c r="AB337" s="227"/>
      <c r="AC337" s="227"/>
      <c r="AD337" s="227"/>
      <c r="AE337" s="227"/>
      <c r="AF337" s="227"/>
      <c r="AG337" s="227"/>
      <c r="AH337" s="227"/>
      <c r="AI337" s="227"/>
      <c r="AJ337" s="227"/>
      <c r="AK337" s="227"/>
      <c r="AL337" s="227"/>
      <c r="AM337" s="227"/>
      <c r="AN337" s="227"/>
      <c r="AO337" s="227"/>
      <c r="AP337" s="227"/>
      <c r="AQ337" s="227"/>
      <c r="AR337" s="227"/>
      <c r="AS337" s="227"/>
      <c r="AT337" s="227"/>
      <c r="AU337" s="227"/>
      <c r="AV337" s="227"/>
      <c r="AW337" s="227"/>
      <c r="AX337" s="227"/>
      <c r="AY337" s="227"/>
      <c r="AZ337" s="227"/>
      <c r="BA337" s="227"/>
      <c r="BB337" s="227"/>
      <c r="BC337" s="227"/>
      <c r="BD337" s="227"/>
      <c r="BE337" s="227"/>
      <c r="BF337" s="227"/>
      <c r="BG337" s="227"/>
      <c r="BH337" s="227"/>
      <c r="BI337" s="227"/>
    </row>
    <row r="338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  <c r="AB338" s="227"/>
      <c r="AC338" s="227"/>
      <c r="AD338" s="227"/>
      <c r="AE338" s="227"/>
      <c r="AF338" s="227"/>
      <c r="AG338" s="227"/>
      <c r="AH338" s="227"/>
      <c r="AI338" s="227"/>
      <c r="AJ338" s="227"/>
      <c r="AK338" s="227"/>
      <c r="AL338" s="227"/>
      <c r="AM338" s="227"/>
      <c r="AN338" s="227"/>
      <c r="AO338" s="227"/>
      <c r="AP338" s="227"/>
      <c r="AQ338" s="227"/>
      <c r="AR338" s="227"/>
      <c r="AS338" s="227"/>
      <c r="AT338" s="227"/>
      <c r="AU338" s="227"/>
      <c r="AV338" s="227"/>
      <c r="AW338" s="227"/>
      <c r="AX338" s="227"/>
      <c r="AY338" s="227"/>
      <c r="AZ338" s="227"/>
      <c r="BA338" s="227"/>
      <c r="BB338" s="227"/>
      <c r="BC338" s="227"/>
      <c r="BD338" s="227"/>
      <c r="BE338" s="227"/>
      <c r="BF338" s="227"/>
      <c r="BG338" s="227"/>
      <c r="BH338" s="227"/>
      <c r="BI338" s="227"/>
    </row>
    <row r="339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  <c r="AB339" s="227"/>
      <c r="AC339" s="227"/>
      <c r="AD339" s="227"/>
      <c r="AE339" s="227"/>
      <c r="AF339" s="227"/>
      <c r="AG339" s="227"/>
      <c r="AH339" s="227"/>
      <c r="AI339" s="227"/>
      <c r="AJ339" s="227"/>
      <c r="AK339" s="227"/>
      <c r="AL339" s="227"/>
      <c r="AM339" s="227"/>
      <c r="AN339" s="227"/>
      <c r="AO339" s="227"/>
      <c r="AP339" s="227"/>
      <c r="AQ339" s="227"/>
      <c r="AR339" s="227"/>
      <c r="AS339" s="227"/>
      <c r="AT339" s="227"/>
      <c r="AU339" s="227"/>
      <c r="AV339" s="227"/>
      <c r="AW339" s="227"/>
      <c r="AX339" s="227"/>
      <c r="AY339" s="227"/>
      <c r="AZ339" s="227"/>
      <c r="BA339" s="227"/>
      <c r="BB339" s="227"/>
      <c r="BC339" s="227"/>
      <c r="BD339" s="227"/>
      <c r="BE339" s="227"/>
      <c r="BF339" s="227"/>
      <c r="BG339" s="227"/>
      <c r="BH339" s="227"/>
      <c r="BI339" s="227"/>
    </row>
    <row r="340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  <c r="AB340" s="227"/>
      <c r="AC340" s="227"/>
      <c r="AD340" s="227"/>
      <c r="AE340" s="227"/>
      <c r="AF340" s="227"/>
      <c r="AG340" s="227"/>
      <c r="AH340" s="227"/>
      <c r="AI340" s="227"/>
      <c r="AJ340" s="227"/>
      <c r="AK340" s="227"/>
      <c r="AL340" s="227"/>
      <c r="AM340" s="227"/>
      <c r="AN340" s="227"/>
      <c r="AO340" s="227"/>
      <c r="AP340" s="227"/>
      <c r="AQ340" s="227"/>
      <c r="AR340" s="227"/>
      <c r="AS340" s="227"/>
      <c r="AT340" s="227"/>
      <c r="AU340" s="227"/>
      <c r="AV340" s="227"/>
      <c r="AW340" s="227"/>
      <c r="AX340" s="227"/>
      <c r="AY340" s="227"/>
      <c r="AZ340" s="227"/>
      <c r="BA340" s="227"/>
      <c r="BB340" s="227"/>
      <c r="BC340" s="227"/>
      <c r="BD340" s="227"/>
      <c r="BE340" s="227"/>
      <c r="BF340" s="227"/>
      <c r="BG340" s="227"/>
      <c r="BH340" s="227"/>
      <c r="BI340" s="227"/>
    </row>
    <row r="34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  <c r="AB341" s="227"/>
      <c r="AC341" s="227"/>
      <c r="AD341" s="227"/>
      <c r="AE341" s="227"/>
      <c r="AF341" s="227"/>
      <c r="AG341" s="227"/>
      <c r="AH341" s="227"/>
      <c r="AI341" s="227"/>
      <c r="AJ341" s="227"/>
      <c r="AK341" s="227"/>
      <c r="AL341" s="227"/>
      <c r="AM341" s="227"/>
      <c r="AN341" s="227"/>
      <c r="AO341" s="227"/>
      <c r="AP341" s="227"/>
      <c r="AQ341" s="227"/>
      <c r="AR341" s="227"/>
      <c r="AS341" s="227"/>
      <c r="AT341" s="227"/>
      <c r="AU341" s="227"/>
      <c r="AV341" s="227"/>
      <c r="AW341" s="227"/>
      <c r="AX341" s="227"/>
      <c r="AY341" s="227"/>
      <c r="AZ341" s="227"/>
      <c r="BA341" s="227"/>
      <c r="BB341" s="227"/>
      <c r="BC341" s="227"/>
      <c r="BD341" s="227"/>
      <c r="BE341" s="227"/>
      <c r="BF341" s="227"/>
      <c r="BG341" s="227"/>
      <c r="BH341" s="227"/>
      <c r="BI341" s="227"/>
    </row>
    <row r="342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  <c r="AB342" s="227"/>
      <c r="AC342" s="227"/>
      <c r="AD342" s="227"/>
      <c r="AE342" s="227"/>
      <c r="AF342" s="227"/>
      <c r="AG342" s="227"/>
      <c r="AH342" s="227"/>
      <c r="AI342" s="227"/>
      <c r="AJ342" s="227"/>
      <c r="AK342" s="227"/>
      <c r="AL342" s="227"/>
      <c r="AM342" s="227"/>
      <c r="AN342" s="227"/>
      <c r="AO342" s="227"/>
      <c r="AP342" s="227"/>
      <c r="AQ342" s="227"/>
      <c r="AR342" s="227"/>
      <c r="AS342" s="227"/>
      <c r="AT342" s="227"/>
      <c r="AU342" s="227"/>
      <c r="AV342" s="227"/>
      <c r="AW342" s="227"/>
      <c r="AX342" s="227"/>
      <c r="AY342" s="227"/>
      <c r="AZ342" s="227"/>
      <c r="BA342" s="227"/>
      <c r="BB342" s="227"/>
      <c r="BC342" s="227"/>
      <c r="BD342" s="227"/>
      <c r="BE342" s="227"/>
      <c r="BF342" s="227"/>
      <c r="BG342" s="227"/>
      <c r="BH342" s="227"/>
      <c r="BI342" s="227"/>
    </row>
    <row r="343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  <c r="AB343" s="227"/>
      <c r="AC343" s="227"/>
      <c r="AD343" s="227"/>
      <c r="AE343" s="227"/>
      <c r="AF343" s="227"/>
      <c r="AG343" s="227"/>
      <c r="AH343" s="227"/>
      <c r="AI343" s="227"/>
      <c r="AJ343" s="227"/>
      <c r="AK343" s="227"/>
      <c r="AL343" s="227"/>
      <c r="AM343" s="227"/>
      <c r="AN343" s="227"/>
      <c r="AO343" s="227"/>
      <c r="AP343" s="227"/>
      <c r="AQ343" s="227"/>
      <c r="AR343" s="227"/>
      <c r="AS343" s="227"/>
      <c r="AT343" s="227"/>
      <c r="AU343" s="227"/>
      <c r="AV343" s="227"/>
      <c r="AW343" s="227"/>
      <c r="AX343" s="227"/>
      <c r="AY343" s="227"/>
      <c r="AZ343" s="227"/>
      <c r="BA343" s="227"/>
      <c r="BB343" s="227"/>
      <c r="BC343" s="227"/>
      <c r="BD343" s="227"/>
      <c r="BE343" s="227"/>
      <c r="BF343" s="227"/>
      <c r="BG343" s="227"/>
      <c r="BH343" s="227"/>
      <c r="BI343" s="227"/>
    </row>
    <row r="344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  <c r="AB344" s="227"/>
      <c r="AC344" s="227"/>
      <c r="AD344" s="227"/>
      <c r="AE344" s="227"/>
      <c r="AF344" s="227"/>
      <c r="AG344" s="227"/>
      <c r="AH344" s="227"/>
      <c r="AI344" s="227"/>
      <c r="AJ344" s="227"/>
      <c r="AK344" s="227"/>
      <c r="AL344" s="227"/>
      <c r="AM344" s="227"/>
      <c r="AN344" s="227"/>
      <c r="AO344" s="227"/>
      <c r="AP344" s="227"/>
      <c r="AQ344" s="227"/>
      <c r="AR344" s="227"/>
      <c r="AS344" s="227"/>
      <c r="AT344" s="227"/>
      <c r="AU344" s="227"/>
      <c r="AV344" s="227"/>
      <c r="AW344" s="227"/>
      <c r="AX344" s="227"/>
      <c r="AY344" s="227"/>
      <c r="AZ344" s="227"/>
      <c r="BA344" s="227"/>
      <c r="BB344" s="227"/>
      <c r="BC344" s="227"/>
      <c r="BD344" s="227"/>
      <c r="BE344" s="227"/>
      <c r="BF344" s="227"/>
      <c r="BG344" s="227"/>
      <c r="BH344" s="227"/>
      <c r="BI344" s="227"/>
    </row>
    <row r="345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  <c r="AB345" s="227"/>
      <c r="AC345" s="227"/>
      <c r="AD345" s="227"/>
      <c r="AE345" s="227"/>
      <c r="AF345" s="227"/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27"/>
      <c r="BC345" s="227"/>
      <c r="BD345" s="227"/>
      <c r="BE345" s="227"/>
      <c r="BF345" s="227"/>
      <c r="BG345" s="227"/>
      <c r="BH345" s="227"/>
      <c r="BI345" s="227"/>
    </row>
    <row r="34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  <c r="AB346" s="227"/>
      <c r="AC346" s="227"/>
      <c r="AD346" s="227"/>
      <c r="AE346" s="227"/>
      <c r="AF346" s="227"/>
      <c r="AG346" s="227"/>
      <c r="AH346" s="227"/>
      <c r="AI346" s="227"/>
      <c r="AJ346" s="227"/>
      <c r="AK346" s="227"/>
      <c r="AL346" s="227"/>
      <c r="AM346" s="227"/>
      <c r="AN346" s="227"/>
      <c r="AO346" s="227"/>
      <c r="AP346" s="227"/>
      <c r="AQ346" s="227"/>
      <c r="AR346" s="227"/>
      <c r="AS346" s="227"/>
      <c r="AT346" s="227"/>
      <c r="AU346" s="227"/>
      <c r="AV346" s="227"/>
      <c r="AW346" s="227"/>
      <c r="AX346" s="227"/>
      <c r="AY346" s="227"/>
      <c r="AZ346" s="227"/>
      <c r="BA346" s="227"/>
      <c r="BB346" s="227"/>
      <c r="BC346" s="227"/>
      <c r="BD346" s="227"/>
      <c r="BE346" s="227"/>
      <c r="BF346" s="227"/>
      <c r="BG346" s="227"/>
      <c r="BH346" s="227"/>
      <c r="BI346" s="227"/>
    </row>
    <row r="347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  <c r="AB347" s="227"/>
      <c r="AC347" s="227"/>
      <c r="AD347" s="227"/>
      <c r="AE347" s="227"/>
      <c r="AF347" s="227"/>
      <c r="AG347" s="227"/>
      <c r="AH347" s="227"/>
      <c r="AI347" s="227"/>
      <c r="AJ347" s="227"/>
      <c r="AK347" s="227"/>
      <c r="AL347" s="227"/>
      <c r="AM347" s="227"/>
      <c r="AN347" s="227"/>
      <c r="AO347" s="227"/>
      <c r="AP347" s="227"/>
      <c r="AQ347" s="227"/>
      <c r="AR347" s="227"/>
      <c r="AS347" s="227"/>
      <c r="AT347" s="227"/>
      <c r="AU347" s="227"/>
      <c r="AV347" s="227"/>
      <c r="AW347" s="227"/>
      <c r="AX347" s="227"/>
      <c r="AY347" s="227"/>
      <c r="AZ347" s="227"/>
      <c r="BA347" s="227"/>
      <c r="BB347" s="227"/>
      <c r="BC347" s="227"/>
      <c r="BD347" s="227"/>
      <c r="BE347" s="227"/>
      <c r="BF347" s="227"/>
      <c r="BG347" s="227"/>
      <c r="BH347" s="227"/>
      <c r="BI347" s="227"/>
    </row>
    <row r="348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  <c r="AB348" s="227"/>
      <c r="AC348" s="227"/>
      <c r="AD348" s="227"/>
      <c r="AE348" s="227"/>
      <c r="AF348" s="227"/>
      <c r="AG348" s="227"/>
      <c r="AH348" s="227"/>
      <c r="AI348" s="227"/>
      <c r="AJ348" s="227"/>
      <c r="AK348" s="227"/>
      <c r="AL348" s="227"/>
      <c r="AM348" s="227"/>
      <c r="AN348" s="227"/>
      <c r="AO348" s="227"/>
      <c r="AP348" s="227"/>
      <c r="AQ348" s="227"/>
      <c r="AR348" s="227"/>
      <c r="AS348" s="227"/>
      <c r="AT348" s="227"/>
      <c r="AU348" s="227"/>
      <c r="AV348" s="227"/>
      <c r="AW348" s="227"/>
      <c r="AX348" s="227"/>
      <c r="AY348" s="227"/>
      <c r="AZ348" s="227"/>
      <c r="BA348" s="227"/>
      <c r="BB348" s="227"/>
      <c r="BC348" s="227"/>
      <c r="BD348" s="227"/>
      <c r="BE348" s="227"/>
      <c r="BF348" s="227"/>
      <c r="BG348" s="227"/>
      <c r="BH348" s="227"/>
      <c r="BI348" s="227"/>
    </row>
    <row r="349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  <c r="AB349" s="227"/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  <c r="AT349" s="227"/>
      <c r="AU349" s="227"/>
      <c r="AV349" s="227"/>
      <c r="AW349" s="227"/>
      <c r="AX349" s="227"/>
      <c r="AY349" s="227"/>
      <c r="AZ349" s="227"/>
      <c r="BA349" s="227"/>
      <c r="BB349" s="227"/>
      <c r="BC349" s="227"/>
      <c r="BD349" s="227"/>
      <c r="BE349" s="227"/>
      <c r="BF349" s="227"/>
      <c r="BG349" s="227"/>
      <c r="BH349" s="227"/>
      <c r="BI349" s="227"/>
    </row>
    <row r="350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  <c r="AB350" s="227"/>
      <c r="AC350" s="227"/>
      <c r="AD350" s="227"/>
      <c r="AE350" s="227"/>
      <c r="AF350" s="227"/>
      <c r="AG350" s="227"/>
      <c r="AH350" s="227"/>
      <c r="AI350" s="227"/>
      <c r="AJ350" s="227"/>
      <c r="AK350" s="227"/>
      <c r="AL350" s="227"/>
      <c r="AM350" s="227"/>
      <c r="AN350" s="227"/>
      <c r="AO350" s="227"/>
      <c r="AP350" s="227"/>
      <c r="AQ350" s="227"/>
      <c r="AR350" s="227"/>
      <c r="AS350" s="227"/>
      <c r="AT350" s="227"/>
      <c r="AU350" s="227"/>
      <c r="AV350" s="227"/>
      <c r="AW350" s="227"/>
      <c r="AX350" s="227"/>
      <c r="AY350" s="227"/>
      <c r="AZ350" s="227"/>
      <c r="BA350" s="227"/>
      <c r="BB350" s="227"/>
      <c r="BC350" s="227"/>
      <c r="BD350" s="227"/>
      <c r="BE350" s="227"/>
      <c r="BF350" s="227"/>
      <c r="BG350" s="227"/>
      <c r="BH350" s="227"/>
      <c r="BI350" s="227"/>
    </row>
    <row r="35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  <c r="AB351" s="227"/>
      <c r="AC351" s="227"/>
      <c r="AD351" s="227"/>
      <c r="AE351" s="227"/>
      <c r="AF351" s="227"/>
      <c r="AG351" s="227"/>
      <c r="AH351" s="227"/>
      <c r="AI351" s="227"/>
      <c r="AJ351" s="227"/>
      <c r="AK351" s="227"/>
      <c r="AL351" s="227"/>
      <c r="AM351" s="227"/>
      <c r="AN351" s="227"/>
      <c r="AO351" s="227"/>
      <c r="AP351" s="227"/>
      <c r="AQ351" s="227"/>
      <c r="AR351" s="227"/>
      <c r="AS351" s="227"/>
      <c r="AT351" s="227"/>
      <c r="AU351" s="227"/>
      <c r="AV351" s="227"/>
      <c r="AW351" s="227"/>
      <c r="AX351" s="227"/>
      <c r="AY351" s="227"/>
      <c r="AZ351" s="227"/>
      <c r="BA351" s="227"/>
      <c r="BB351" s="227"/>
      <c r="BC351" s="227"/>
      <c r="BD351" s="227"/>
      <c r="BE351" s="227"/>
      <c r="BF351" s="227"/>
      <c r="BG351" s="227"/>
      <c r="BH351" s="227"/>
      <c r="BI351" s="227"/>
    </row>
    <row r="352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  <c r="AB352" s="227"/>
      <c r="AC352" s="227"/>
      <c r="AD352" s="227"/>
      <c r="AE352" s="227"/>
      <c r="AF352" s="227"/>
      <c r="AG352" s="227"/>
      <c r="AH352" s="227"/>
      <c r="AI352" s="227"/>
      <c r="AJ352" s="227"/>
      <c r="AK352" s="227"/>
      <c r="AL352" s="227"/>
      <c r="AM352" s="227"/>
      <c r="AN352" s="227"/>
      <c r="AO352" s="227"/>
      <c r="AP352" s="227"/>
      <c r="AQ352" s="227"/>
      <c r="AR352" s="227"/>
      <c r="AS352" s="227"/>
      <c r="AT352" s="227"/>
      <c r="AU352" s="227"/>
      <c r="AV352" s="227"/>
      <c r="AW352" s="227"/>
      <c r="AX352" s="227"/>
      <c r="AY352" s="227"/>
      <c r="AZ352" s="227"/>
      <c r="BA352" s="227"/>
      <c r="BB352" s="227"/>
      <c r="BC352" s="227"/>
      <c r="BD352" s="227"/>
      <c r="BE352" s="227"/>
      <c r="BF352" s="227"/>
      <c r="BG352" s="227"/>
      <c r="BH352" s="227"/>
      <c r="BI352" s="227"/>
    </row>
    <row r="353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  <c r="AB353" s="227"/>
      <c r="AC353" s="227"/>
      <c r="AD353" s="227"/>
      <c r="AE353" s="227"/>
      <c r="AF353" s="227"/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27"/>
      <c r="BC353" s="227"/>
      <c r="BD353" s="227"/>
      <c r="BE353" s="227"/>
      <c r="BF353" s="227"/>
      <c r="BG353" s="227"/>
      <c r="BH353" s="227"/>
      <c r="BI353" s="227"/>
    </row>
    <row r="354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  <c r="AB354" s="227"/>
      <c r="AC354" s="227"/>
      <c r="AD354" s="227"/>
      <c r="AE354" s="227"/>
      <c r="AF354" s="227"/>
      <c r="AG354" s="227"/>
      <c r="AH354" s="227"/>
      <c r="AI354" s="227"/>
      <c r="AJ354" s="227"/>
      <c r="AK354" s="227"/>
      <c r="AL354" s="227"/>
      <c r="AM354" s="227"/>
      <c r="AN354" s="227"/>
      <c r="AO354" s="227"/>
      <c r="AP354" s="227"/>
      <c r="AQ354" s="227"/>
      <c r="AR354" s="227"/>
      <c r="AS354" s="227"/>
      <c r="AT354" s="227"/>
      <c r="AU354" s="227"/>
      <c r="AV354" s="227"/>
      <c r="AW354" s="227"/>
      <c r="AX354" s="227"/>
      <c r="AY354" s="227"/>
      <c r="AZ354" s="227"/>
      <c r="BA354" s="227"/>
      <c r="BB354" s="227"/>
      <c r="BC354" s="227"/>
      <c r="BD354" s="227"/>
      <c r="BE354" s="227"/>
      <c r="BF354" s="227"/>
      <c r="BG354" s="227"/>
      <c r="BH354" s="227"/>
      <c r="BI354" s="227"/>
    </row>
    <row r="355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  <c r="AB355" s="227"/>
      <c r="AC355" s="227"/>
      <c r="AD355" s="227"/>
      <c r="AE355" s="227"/>
      <c r="AF355" s="227"/>
      <c r="AG355" s="227"/>
      <c r="AH355" s="227"/>
      <c r="AI355" s="227"/>
      <c r="AJ355" s="227"/>
      <c r="AK355" s="227"/>
      <c r="AL355" s="227"/>
      <c r="AM355" s="227"/>
      <c r="AN355" s="227"/>
      <c r="AO355" s="227"/>
      <c r="AP355" s="227"/>
      <c r="AQ355" s="227"/>
      <c r="AR355" s="227"/>
      <c r="AS355" s="227"/>
      <c r="AT355" s="227"/>
      <c r="AU355" s="227"/>
      <c r="AV355" s="227"/>
      <c r="AW355" s="227"/>
      <c r="AX355" s="227"/>
      <c r="AY355" s="227"/>
      <c r="AZ355" s="227"/>
      <c r="BA355" s="227"/>
      <c r="BB355" s="227"/>
      <c r="BC355" s="227"/>
      <c r="BD355" s="227"/>
      <c r="BE355" s="227"/>
      <c r="BF355" s="227"/>
      <c r="BG355" s="227"/>
      <c r="BH355" s="227"/>
      <c r="BI355" s="227"/>
    </row>
    <row r="35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  <c r="AB356" s="227"/>
      <c r="AC356" s="227"/>
      <c r="AD356" s="227"/>
      <c r="AE356" s="227"/>
      <c r="AF356" s="227"/>
      <c r="AG356" s="227"/>
      <c r="AH356" s="227"/>
      <c r="AI356" s="227"/>
      <c r="AJ356" s="227"/>
      <c r="AK356" s="227"/>
      <c r="AL356" s="227"/>
      <c r="AM356" s="227"/>
      <c r="AN356" s="227"/>
      <c r="AO356" s="227"/>
      <c r="AP356" s="227"/>
      <c r="AQ356" s="227"/>
      <c r="AR356" s="227"/>
      <c r="AS356" s="227"/>
      <c r="AT356" s="227"/>
      <c r="AU356" s="227"/>
      <c r="AV356" s="227"/>
      <c r="AW356" s="227"/>
      <c r="AX356" s="227"/>
      <c r="AY356" s="227"/>
      <c r="AZ356" s="227"/>
      <c r="BA356" s="227"/>
      <c r="BB356" s="227"/>
      <c r="BC356" s="227"/>
      <c r="BD356" s="227"/>
      <c r="BE356" s="227"/>
      <c r="BF356" s="227"/>
      <c r="BG356" s="227"/>
      <c r="BH356" s="227"/>
      <c r="BI356" s="227"/>
    </row>
    <row r="357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  <c r="AB357" s="227"/>
      <c r="AC357" s="227"/>
      <c r="AD357" s="227"/>
      <c r="AE357" s="227"/>
      <c r="AF357" s="227"/>
      <c r="AG357" s="227"/>
      <c r="AH357" s="227"/>
      <c r="AI357" s="227"/>
      <c r="AJ357" s="227"/>
      <c r="AK357" s="227"/>
      <c r="AL357" s="227"/>
      <c r="AM357" s="227"/>
      <c r="AN357" s="227"/>
      <c r="AO357" s="227"/>
      <c r="AP357" s="227"/>
      <c r="AQ357" s="227"/>
      <c r="AR357" s="227"/>
      <c r="AS357" s="227"/>
      <c r="AT357" s="227"/>
      <c r="AU357" s="227"/>
      <c r="AV357" s="227"/>
      <c r="AW357" s="227"/>
      <c r="AX357" s="227"/>
      <c r="AY357" s="227"/>
      <c r="AZ357" s="227"/>
      <c r="BA357" s="227"/>
      <c r="BB357" s="227"/>
      <c r="BC357" s="227"/>
      <c r="BD357" s="227"/>
      <c r="BE357" s="227"/>
      <c r="BF357" s="227"/>
      <c r="BG357" s="227"/>
      <c r="BH357" s="227"/>
      <c r="BI357" s="227"/>
    </row>
    <row r="358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  <c r="AB358" s="227"/>
      <c r="AC358" s="227"/>
      <c r="AD358" s="227"/>
      <c r="AE358" s="227"/>
      <c r="AF358" s="227"/>
      <c r="AG358" s="227"/>
      <c r="AH358" s="227"/>
      <c r="AI358" s="227"/>
      <c r="AJ358" s="227"/>
      <c r="AK358" s="227"/>
      <c r="AL358" s="227"/>
      <c r="AM358" s="227"/>
      <c r="AN358" s="227"/>
      <c r="AO358" s="227"/>
      <c r="AP358" s="227"/>
      <c r="AQ358" s="227"/>
      <c r="AR358" s="227"/>
      <c r="AS358" s="227"/>
      <c r="AT358" s="227"/>
      <c r="AU358" s="227"/>
      <c r="AV358" s="227"/>
      <c r="AW358" s="227"/>
      <c r="AX358" s="227"/>
      <c r="AY358" s="227"/>
      <c r="AZ358" s="227"/>
      <c r="BA358" s="227"/>
      <c r="BB358" s="227"/>
      <c r="BC358" s="227"/>
      <c r="BD358" s="227"/>
      <c r="BE358" s="227"/>
      <c r="BF358" s="227"/>
      <c r="BG358" s="227"/>
      <c r="BH358" s="227"/>
      <c r="BI358" s="227"/>
    </row>
    <row r="359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  <c r="AB359" s="227"/>
      <c r="AC359" s="227"/>
      <c r="AD359" s="227"/>
      <c r="AE359" s="227"/>
      <c r="AF359" s="227"/>
      <c r="AG359" s="227"/>
      <c r="AH359" s="227"/>
      <c r="AI359" s="227"/>
      <c r="AJ359" s="227"/>
      <c r="AK359" s="227"/>
      <c r="AL359" s="227"/>
      <c r="AM359" s="227"/>
      <c r="AN359" s="227"/>
      <c r="AO359" s="227"/>
      <c r="AP359" s="227"/>
      <c r="AQ359" s="227"/>
      <c r="AR359" s="227"/>
      <c r="AS359" s="227"/>
      <c r="AT359" s="227"/>
      <c r="AU359" s="227"/>
      <c r="AV359" s="227"/>
      <c r="AW359" s="227"/>
      <c r="AX359" s="227"/>
      <c r="AY359" s="227"/>
      <c r="AZ359" s="227"/>
      <c r="BA359" s="227"/>
      <c r="BB359" s="227"/>
      <c r="BC359" s="227"/>
      <c r="BD359" s="227"/>
      <c r="BE359" s="227"/>
      <c r="BF359" s="227"/>
      <c r="BG359" s="227"/>
      <c r="BH359" s="227"/>
      <c r="BI359" s="227"/>
    </row>
    <row r="360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  <c r="AB360" s="227"/>
      <c r="AC360" s="227"/>
      <c r="AD360" s="227"/>
      <c r="AE360" s="227"/>
      <c r="AF360" s="227"/>
      <c r="AG360" s="227"/>
      <c r="AH360" s="227"/>
      <c r="AI360" s="227"/>
      <c r="AJ360" s="227"/>
      <c r="AK360" s="227"/>
      <c r="AL360" s="227"/>
      <c r="AM360" s="227"/>
      <c r="AN360" s="227"/>
      <c r="AO360" s="227"/>
      <c r="AP360" s="227"/>
      <c r="AQ360" s="227"/>
      <c r="AR360" s="227"/>
      <c r="AS360" s="227"/>
      <c r="AT360" s="227"/>
      <c r="AU360" s="227"/>
      <c r="AV360" s="227"/>
      <c r="AW360" s="227"/>
      <c r="AX360" s="227"/>
      <c r="AY360" s="227"/>
      <c r="AZ360" s="227"/>
      <c r="BA360" s="227"/>
      <c r="BB360" s="227"/>
      <c r="BC360" s="227"/>
      <c r="BD360" s="227"/>
      <c r="BE360" s="227"/>
      <c r="BF360" s="227"/>
      <c r="BG360" s="227"/>
      <c r="BH360" s="227"/>
      <c r="BI360" s="227"/>
    </row>
    <row r="36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  <c r="AB361" s="227"/>
      <c r="AC361" s="227"/>
      <c r="AD361" s="227"/>
      <c r="AE361" s="227"/>
      <c r="AF361" s="227"/>
      <c r="AG361" s="227"/>
      <c r="AH361" s="227"/>
      <c r="AI361" s="227"/>
      <c r="AJ361" s="227"/>
      <c r="AK361" s="227"/>
      <c r="AL361" s="227"/>
      <c r="AM361" s="227"/>
      <c r="AN361" s="227"/>
      <c r="AO361" s="227"/>
      <c r="AP361" s="227"/>
      <c r="AQ361" s="227"/>
      <c r="AR361" s="227"/>
      <c r="AS361" s="227"/>
      <c r="AT361" s="227"/>
      <c r="AU361" s="227"/>
      <c r="AV361" s="227"/>
      <c r="AW361" s="227"/>
      <c r="AX361" s="227"/>
      <c r="AY361" s="227"/>
      <c r="AZ361" s="227"/>
      <c r="BA361" s="227"/>
      <c r="BB361" s="227"/>
      <c r="BC361" s="227"/>
      <c r="BD361" s="227"/>
      <c r="BE361" s="227"/>
      <c r="BF361" s="227"/>
      <c r="BG361" s="227"/>
      <c r="BH361" s="227"/>
      <c r="BI361" s="227"/>
    </row>
    <row r="362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  <c r="AB362" s="227"/>
      <c r="AC362" s="227"/>
      <c r="AD362" s="227"/>
      <c r="AE362" s="227"/>
      <c r="AF362" s="227"/>
      <c r="AG362" s="227"/>
      <c r="AH362" s="227"/>
      <c r="AI362" s="227"/>
      <c r="AJ362" s="227"/>
      <c r="AK362" s="227"/>
      <c r="AL362" s="227"/>
      <c r="AM362" s="227"/>
      <c r="AN362" s="227"/>
      <c r="AO362" s="227"/>
      <c r="AP362" s="227"/>
      <c r="AQ362" s="227"/>
      <c r="AR362" s="227"/>
      <c r="AS362" s="227"/>
      <c r="AT362" s="227"/>
      <c r="AU362" s="227"/>
      <c r="AV362" s="227"/>
      <c r="AW362" s="227"/>
      <c r="AX362" s="227"/>
      <c r="AY362" s="227"/>
      <c r="AZ362" s="227"/>
      <c r="BA362" s="227"/>
      <c r="BB362" s="227"/>
      <c r="BC362" s="227"/>
      <c r="BD362" s="227"/>
      <c r="BE362" s="227"/>
      <c r="BF362" s="227"/>
      <c r="BG362" s="227"/>
      <c r="BH362" s="227"/>
      <c r="BI362" s="227"/>
    </row>
    <row r="363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  <c r="AB363" s="227"/>
      <c r="AC363" s="227"/>
      <c r="AD363" s="227"/>
      <c r="AE363" s="227"/>
      <c r="AF363" s="227"/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227"/>
      <c r="AQ363" s="227"/>
      <c r="AR363" s="227"/>
      <c r="AS363" s="227"/>
      <c r="AT363" s="227"/>
      <c r="AU363" s="227"/>
      <c r="AV363" s="227"/>
      <c r="AW363" s="227"/>
      <c r="AX363" s="227"/>
      <c r="AY363" s="227"/>
      <c r="AZ363" s="227"/>
      <c r="BA363" s="227"/>
      <c r="BB363" s="227"/>
      <c r="BC363" s="227"/>
      <c r="BD363" s="227"/>
      <c r="BE363" s="227"/>
      <c r="BF363" s="227"/>
      <c r="BG363" s="227"/>
      <c r="BH363" s="227"/>
      <c r="BI363" s="227"/>
    </row>
    <row r="364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  <c r="AB364" s="227"/>
      <c r="AC364" s="227"/>
      <c r="AD364" s="227"/>
      <c r="AE364" s="227"/>
      <c r="AF364" s="227"/>
      <c r="AG364" s="227"/>
      <c r="AH364" s="227"/>
      <c r="AI364" s="227"/>
      <c r="AJ364" s="227"/>
      <c r="AK364" s="227"/>
      <c r="AL364" s="227"/>
      <c r="AM364" s="227"/>
      <c r="AN364" s="227"/>
      <c r="AO364" s="227"/>
      <c r="AP364" s="227"/>
      <c r="AQ364" s="227"/>
      <c r="AR364" s="227"/>
      <c r="AS364" s="227"/>
      <c r="AT364" s="227"/>
      <c r="AU364" s="227"/>
      <c r="AV364" s="227"/>
      <c r="AW364" s="227"/>
      <c r="AX364" s="227"/>
      <c r="AY364" s="227"/>
      <c r="AZ364" s="227"/>
      <c r="BA364" s="227"/>
      <c r="BB364" s="227"/>
      <c r="BC364" s="227"/>
      <c r="BD364" s="227"/>
      <c r="BE364" s="227"/>
      <c r="BF364" s="227"/>
      <c r="BG364" s="227"/>
      <c r="BH364" s="227"/>
      <c r="BI364" s="227"/>
    </row>
    <row r="365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  <c r="AB365" s="227"/>
      <c r="AC365" s="227"/>
      <c r="AD365" s="227"/>
      <c r="AE365" s="227"/>
      <c r="AF365" s="227"/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  <c r="AT365" s="227"/>
      <c r="AU365" s="227"/>
      <c r="AV365" s="227"/>
      <c r="AW365" s="227"/>
      <c r="AX365" s="227"/>
      <c r="AY365" s="227"/>
      <c r="AZ365" s="227"/>
      <c r="BA365" s="227"/>
      <c r="BB365" s="227"/>
      <c r="BC365" s="227"/>
      <c r="BD365" s="227"/>
      <c r="BE365" s="227"/>
      <c r="BF365" s="227"/>
      <c r="BG365" s="227"/>
      <c r="BH365" s="227"/>
      <c r="BI365" s="227"/>
    </row>
    <row r="36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  <c r="AB366" s="227"/>
      <c r="AC366" s="227"/>
      <c r="AD366" s="227"/>
      <c r="AE366" s="227"/>
      <c r="AF366" s="227"/>
      <c r="AG366" s="227"/>
      <c r="AH366" s="227"/>
      <c r="AI366" s="227"/>
      <c r="AJ366" s="227"/>
      <c r="AK366" s="227"/>
      <c r="AL366" s="227"/>
      <c r="AM366" s="227"/>
      <c r="AN366" s="227"/>
      <c r="AO366" s="227"/>
      <c r="AP366" s="227"/>
      <c r="AQ366" s="227"/>
      <c r="AR366" s="227"/>
      <c r="AS366" s="227"/>
      <c r="AT366" s="227"/>
      <c r="AU366" s="227"/>
      <c r="AV366" s="227"/>
      <c r="AW366" s="227"/>
      <c r="AX366" s="227"/>
      <c r="AY366" s="227"/>
      <c r="AZ366" s="227"/>
      <c r="BA366" s="227"/>
      <c r="BB366" s="227"/>
      <c r="BC366" s="227"/>
      <c r="BD366" s="227"/>
      <c r="BE366" s="227"/>
      <c r="BF366" s="227"/>
      <c r="BG366" s="227"/>
      <c r="BH366" s="227"/>
      <c r="BI366" s="227"/>
    </row>
    <row r="367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  <c r="AB367" s="227"/>
      <c r="AC367" s="227"/>
      <c r="AD367" s="227"/>
      <c r="AE367" s="227"/>
      <c r="AF367" s="227"/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227"/>
      <c r="AQ367" s="227"/>
      <c r="AR367" s="227"/>
      <c r="AS367" s="227"/>
      <c r="AT367" s="227"/>
      <c r="AU367" s="227"/>
      <c r="AV367" s="227"/>
      <c r="AW367" s="227"/>
      <c r="AX367" s="227"/>
      <c r="AY367" s="227"/>
      <c r="AZ367" s="227"/>
      <c r="BA367" s="227"/>
      <c r="BB367" s="227"/>
      <c r="BC367" s="227"/>
      <c r="BD367" s="227"/>
      <c r="BE367" s="227"/>
      <c r="BF367" s="227"/>
      <c r="BG367" s="227"/>
      <c r="BH367" s="227"/>
      <c r="BI367" s="227"/>
    </row>
    <row r="368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  <c r="AB368" s="227"/>
      <c r="AC368" s="227"/>
      <c r="AD368" s="227"/>
      <c r="AE368" s="227"/>
      <c r="AF368" s="227"/>
      <c r="AG368" s="227"/>
      <c r="AH368" s="227"/>
      <c r="AI368" s="227"/>
      <c r="AJ368" s="227"/>
      <c r="AK368" s="227"/>
      <c r="AL368" s="227"/>
      <c r="AM368" s="227"/>
      <c r="AN368" s="227"/>
      <c r="AO368" s="227"/>
      <c r="AP368" s="227"/>
      <c r="AQ368" s="227"/>
      <c r="AR368" s="227"/>
      <c r="AS368" s="227"/>
      <c r="AT368" s="227"/>
      <c r="AU368" s="227"/>
      <c r="AV368" s="227"/>
      <c r="AW368" s="227"/>
      <c r="AX368" s="227"/>
      <c r="AY368" s="227"/>
      <c r="AZ368" s="227"/>
      <c r="BA368" s="227"/>
      <c r="BB368" s="227"/>
      <c r="BC368" s="227"/>
      <c r="BD368" s="227"/>
      <c r="BE368" s="227"/>
      <c r="BF368" s="227"/>
      <c r="BG368" s="227"/>
      <c r="BH368" s="227"/>
      <c r="BI368" s="227"/>
    </row>
    <row r="369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  <c r="AB369" s="227"/>
      <c r="AC369" s="227"/>
      <c r="AD369" s="227"/>
      <c r="AE369" s="227"/>
      <c r="AF369" s="227"/>
      <c r="AG369" s="227"/>
      <c r="AH369" s="227"/>
      <c r="AI369" s="227"/>
      <c r="AJ369" s="227"/>
      <c r="AK369" s="227"/>
      <c r="AL369" s="227"/>
      <c r="AM369" s="227"/>
      <c r="AN369" s="227"/>
      <c r="AO369" s="227"/>
      <c r="AP369" s="227"/>
      <c r="AQ369" s="227"/>
      <c r="AR369" s="227"/>
      <c r="AS369" s="227"/>
      <c r="AT369" s="227"/>
      <c r="AU369" s="227"/>
      <c r="AV369" s="227"/>
      <c r="AW369" s="227"/>
      <c r="AX369" s="227"/>
      <c r="AY369" s="227"/>
      <c r="AZ369" s="227"/>
      <c r="BA369" s="227"/>
      <c r="BB369" s="227"/>
      <c r="BC369" s="227"/>
      <c r="BD369" s="227"/>
      <c r="BE369" s="227"/>
      <c r="BF369" s="227"/>
      <c r="BG369" s="227"/>
      <c r="BH369" s="227"/>
      <c r="BI369" s="227"/>
    </row>
    <row r="370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  <c r="AB370" s="227"/>
      <c r="AC370" s="227"/>
      <c r="AD370" s="227"/>
      <c r="AE370" s="227"/>
      <c r="AF370" s="227"/>
      <c r="AG370" s="227"/>
      <c r="AH370" s="227"/>
      <c r="AI370" s="227"/>
      <c r="AJ370" s="227"/>
      <c r="AK370" s="227"/>
      <c r="AL370" s="227"/>
      <c r="AM370" s="227"/>
      <c r="AN370" s="227"/>
      <c r="AO370" s="227"/>
      <c r="AP370" s="227"/>
      <c r="AQ370" s="227"/>
      <c r="AR370" s="227"/>
      <c r="AS370" s="227"/>
      <c r="AT370" s="227"/>
      <c r="AU370" s="227"/>
      <c r="AV370" s="227"/>
      <c r="AW370" s="227"/>
      <c r="AX370" s="227"/>
      <c r="AY370" s="227"/>
      <c r="AZ370" s="227"/>
      <c r="BA370" s="227"/>
      <c r="BB370" s="227"/>
      <c r="BC370" s="227"/>
      <c r="BD370" s="227"/>
      <c r="BE370" s="227"/>
      <c r="BF370" s="227"/>
      <c r="BG370" s="227"/>
      <c r="BH370" s="227"/>
      <c r="BI370" s="227"/>
    </row>
    <row r="37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  <c r="AB371" s="227"/>
      <c r="AC371" s="227"/>
      <c r="AD371" s="227"/>
      <c r="AE371" s="227"/>
      <c r="AF371" s="227"/>
      <c r="AG371" s="227"/>
      <c r="AH371" s="227"/>
      <c r="AI371" s="227"/>
      <c r="AJ371" s="227"/>
      <c r="AK371" s="227"/>
      <c r="AL371" s="227"/>
      <c r="AM371" s="227"/>
      <c r="AN371" s="227"/>
      <c r="AO371" s="227"/>
      <c r="AP371" s="227"/>
      <c r="AQ371" s="227"/>
      <c r="AR371" s="227"/>
      <c r="AS371" s="227"/>
      <c r="AT371" s="227"/>
      <c r="AU371" s="227"/>
      <c r="AV371" s="227"/>
      <c r="AW371" s="227"/>
      <c r="AX371" s="227"/>
      <c r="AY371" s="227"/>
      <c r="AZ371" s="227"/>
      <c r="BA371" s="227"/>
      <c r="BB371" s="227"/>
      <c r="BC371" s="227"/>
      <c r="BD371" s="227"/>
      <c r="BE371" s="227"/>
      <c r="BF371" s="227"/>
      <c r="BG371" s="227"/>
      <c r="BH371" s="227"/>
      <c r="BI371" s="227"/>
    </row>
    <row r="372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  <c r="AB372" s="227"/>
      <c r="AC372" s="227"/>
      <c r="AD372" s="227"/>
      <c r="AE372" s="227"/>
      <c r="AF372" s="227"/>
      <c r="AG372" s="227"/>
      <c r="AH372" s="227"/>
      <c r="AI372" s="227"/>
      <c r="AJ372" s="227"/>
      <c r="AK372" s="227"/>
      <c r="AL372" s="227"/>
      <c r="AM372" s="227"/>
      <c r="AN372" s="227"/>
      <c r="AO372" s="227"/>
      <c r="AP372" s="227"/>
      <c r="AQ372" s="227"/>
      <c r="AR372" s="227"/>
      <c r="AS372" s="227"/>
      <c r="AT372" s="227"/>
      <c r="AU372" s="227"/>
      <c r="AV372" s="227"/>
      <c r="AW372" s="227"/>
      <c r="AX372" s="227"/>
      <c r="AY372" s="227"/>
      <c r="AZ372" s="227"/>
      <c r="BA372" s="227"/>
      <c r="BB372" s="227"/>
      <c r="BC372" s="227"/>
      <c r="BD372" s="227"/>
      <c r="BE372" s="227"/>
      <c r="BF372" s="227"/>
      <c r="BG372" s="227"/>
      <c r="BH372" s="227"/>
      <c r="BI372" s="227"/>
    </row>
    <row r="373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  <c r="AB373" s="227"/>
      <c r="AC373" s="227"/>
      <c r="AD373" s="227"/>
      <c r="AE373" s="227"/>
      <c r="AF373" s="227"/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27"/>
      <c r="BC373" s="227"/>
      <c r="BD373" s="227"/>
      <c r="BE373" s="227"/>
      <c r="BF373" s="227"/>
      <c r="BG373" s="227"/>
      <c r="BH373" s="227"/>
      <c r="BI373" s="227"/>
    </row>
    <row r="374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7"/>
      <c r="AG374" s="227"/>
      <c r="AH374" s="227"/>
      <c r="AI374" s="227"/>
      <c r="AJ374" s="227"/>
      <c r="AK374" s="227"/>
      <c r="AL374" s="227"/>
      <c r="AM374" s="227"/>
      <c r="AN374" s="227"/>
      <c r="AO374" s="227"/>
      <c r="AP374" s="227"/>
      <c r="AQ374" s="227"/>
      <c r="AR374" s="227"/>
      <c r="AS374" s="227"/>
      <c r="AT374" s="227"/>
      <c r="AU374" s="227"/>
      <c r="AV374" s="227"/>
      <c r="AW374" s="227"/>
      <c r="AX374" s="227"/>
      <c r="AY374" s="227"/>
      <c r="AZ374" s="227"/>
      <c r="BA374" s="227"/>
      <c r="BB374" s="227"/>
      <c r="BC374" s="227"/>
      <c r="BD374" s="227"/>
      <c r="BE374" s="227"/>
      <c r="BF374" s="227"/>
      <c r="BG374" s="227"/>
      <c r="BH374" s="227"/>
      <c r="BI374" s="227"/>
    </row>
    <row r="375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  <c r="AB375" s="227"/>
      <c r="AC375" s="227"/>
      <c r="AD375" s="227"/>
      <c r="AE375" s="227"/>
      <c r="AF375" s="227"/>
      <c r="AG375" s="227"/>
      <c r="AH375" s="227"/>
      <c r="AI375" s="227"/>
      <c r="AJ375" s="227"/>
      <c r="AK375" s="227"/>
      <c r="AL375" s="227"/>
      <c r="AM375" s="227"/>
      <c r="AN375" s="227"/>
      <c r="AO375" s="227"/>
      <c r="AP375" s="227"/>
      <c r="AQ375" s="227"/>
      <c r="AR375" s="227"/>
      <c r="AS375" s="227"/>
      <c r="AT375" s="227"/>
      <c r="AU375" s="227"/>
      <c r="AV375" s="227"/>
      <c r="AW375" s="227"/>
      <c r="AX375" s="227"/>
      <c r="AY375" s="227"/>
      <c r="AZ375" s="227"/>
      <c r="BA375" s="227"/>
      <c r="BB375" s="227"/>
      <c r="BC375" s="227"/>
      <c r="BD375" s="227"/>
      <c r="BE375" s="227"/>
      <c r="BF375" s="227"/>
      <c r="BG375" s="227"/>
      <c r="BH375" s="227"/>
      <c r="BI375" s="227"/>
    </row>
    <row r="37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  <c r="AB376" s="227"/>
      <c r="AC376" s="227"/>
      <c r="AD376" s="227"/>
      <c r="AE376" s="227"/>
      <c r="AF376" s="227"/>
      <c r="AG376" s="227"/>
      <c r="AH376" s="227"/>
      <c r="AI376" s="227"/>
      <c r="AJ376" s="227"/>
      <c r="AK376" s="227"/>
      <c r="AL376" s="227"/>
      <c r="AM376" s="227"/>
      <c r="AN376" s="227"/>
      <c r="AO376" s="227"/>
      <c r="AP376" s="227"/>
      <c r="AQ376" s="227"/>
      <c r="AR376" s="227"/>
      <c r="AS376" s="227"/>
      <c r="AT376" s="227"/>
      <c r="AU376" s="227"/>
      <c r="AV376" s="227"/>
      <c r="AW376" s="227"/>
      <c r="AX376" s="227"/>
      <c r="AY376" s="227"/>
      <c r="AZ376" s="227"/>
      <c r="BA376" s="227"/>
      <c r="BB376" s="227"/>
      <c r="BC376" s="227"/>
      <c r="BD376" s="227"/>
      <c r="BE376" s="227"/>
      <c r="BF376" s="227"/>
      <c r="BG376" s="227"/>
      <c r="BH376" s="227"/>
      <c r="BI376" s="227"/>
    </row>
    <row r="377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  <c r="AB377" s="227"/>
      <c r="AC377" s="227"/>
      <c r="AD377" s="227"/>
      <c r="AE377" s="227"/>
      <c r="AF377" s="227"/>
      <c r="AG377" s="227"/>
      <c r="AH377" s="227"/>
      <c r="AI377" s="227"/>
      <c r="AJ377" s="227"/>
      <c r="AK377" s="227"/>
      <c r="AL377" s="227"/>
      <c r="AM377" s="227"/>
      <c r="AN377" s="227"/>
      <c r="AO377" s="227"/>
      <c r="AP377" s="227"/>
      <c r="AQ377" s="227"/>
      <c r="AR377" s="227"/>
      <c r="AS377" s="227"/>
      <c r="AT377" s="227"/>
      <c r="AU377" s="227"/>
      <c r="AV377" s="227"/>
      <c r="AW377" s="227"/>
      <c r="AX377" s="227"/>
      <c r="AY377" s="227"/>
      <c r="AZ377" s="227"/>
      <c r="BA377" s="227"/>
      <c r="BB377" s="227"/>
      <c r="BC377" s="227"/>
      <c r="BD377" s="227"/>
      <c r="BE377" s="227"/>
      <c r="BF377" s="227"/>
      <c r="BG377" s="227"/>
      <c r="BH377" s="227"/>
      <c r="BI377" s="227"/>
    </row>
    <row r="378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  <c r="AB378" s="227"/>
      <c r="AC378" s="227"/>
      <c r="AD378" s="227"/>
      <c r="AE378" s="227"/>
      <c r="AF378" s="227"/>
      <c r="AG378" s="227"/>
      <c r="AH378" s="227"/>
      <c r="AI378" s="227"/>
      <c r="AJ378" s="227"/>
      <c r="AK378" s="227"/>
      <c r="AL378" s="227"/>
      <c r="AM378" s="227"/>
      <c r="AN378" s="227"/>
      <c r="AO378" s="227"/>
      <c r="AP378" s="227"/>
      <c r="AQ378" s="227"/>
      <c r="AR378" s="227"/>
      <c r="AS378" s="227"/>
      <c r="AT378" s="227"/>
      <c r="AU378" s="227"/>
      <c r="AV378" s="227"/>
      <c r="AW378" s="227"/>
      <c r="AX378" s="227"/>
      <c r="AY378" s="227"/>
      <c r="AZ378" s="227"/>
      <c r="BA378" s="227"/>
      <c r="BB378" s="227"/>
      <c r="BC378" s="227"/>
      <c r="BD378" s="227"/>
      <c r="BE378" s="227"/>
      <c r="BF378" s="227"/>
      <c r="BG378" s="227"/>
      <c r="BH378" s="227"/>
      <c r="BI378" s="227"/>
    </row>
    <row r="379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  <c r="AB379" s="227"/>
      <c r="AC379" s="227"/>
      <c r="AD379" s="227"/>
      <c r="AE379" s="227"/>
      <c r="AF379" s="227"/>
      <c r="AG379" s="227"/>
      <c r="AH379" s="227"/>
      <c r="AI379" s="227"/>
      <c r="AJ379" s="227"/>
      <c r="AK379" s="227"/>
      <c r="AL379" s="227"/>
      <c r="AM379" s="227"/>
      <c r="AN379" s="227"/>
      <c r="AO379" s="227"/>
      <c r="AP379" s="227"/>
      <c r="AQ379" s="227"/>
      <c r="AR379" s="227"/>
      <c r="AS379" s="227"/>
      <c r="AT379" s="227"/>
      <c r="AU379" s="227"/>
      <c r="AV379" s="227"/>
      <c r="AW379" s="227"/>
      <c r="AX379" s="227"/>
      <c r="AY379" s="227"/>
      <c r="AZ379" s="227"/>
      <c r="BA379" s="227"/>
      <c r="BB379" s="227"/>
      <c r="BC379" s="227"/>
      <c r="BD379" s="227"/>
      <c r="BE379" s="227"/>
      <c r="BF379" s="227"/>
      <c r="BG379" s="227"/>
      <c r="BH379" s="227"/>
      <c r="BI379" s="227"/>
    </row>
    <row r="380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  <c r="AB380" s="227"/>
      <c r="AC380" s="227"/>
      <c r="AD380" s="227"/>
      <c r="AE380" s="227"/>
      <c r="AF380" s="227"/>
      <c r="AG380" s="227"/>
      <c r="AH380" s="227"/>
      <c r="AI380" s="227"/>
      <c r="AJ380" s="227"/>
      <c r="AK380" s="227"/>
      <c r="AL380" s="227"/>
      <c r="AM380" s="227"/>
      <c r="AN380" s="227"/>
      <c r="AO380" s="227"/>
      <c r="AP380" s="227"/>
      <c r="AQ380" s="227"/>
      <c r="AR380" s="227"/>
      <c r="AS380" s="227"/>
      <c r="AT380" s="227"/>
      <c r="AU380" s="227"/>
      <c r="AV380" s="227"/>
      <c r="AW380" s="227"/>
      <c r="AX380" s="227"/>
      <c r="AY380" s="227"/>
      <c r="AZ380" s="227"/>
      <c r="BA380" s="227"/>
      <c r="BB380" s="227"/>
      <c r="BC380" s="227"/>
      <c r="BD380" s="227"/>
      <c r="BE380" s="227"/>
      <c r="BF380" s="227"/>
      <c r="BG380" s="227"/>
      <c r="BH380" s="227"/>
      <c r="BI380" s="227"/>
    </row>
    <row r="38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  <c r="AB381" s="227"/>
      <c r="AC381" s="227"/>
      <c r="AD381" s="227"/>
      <c r="AE381" s="227"/>
      <c r="AF381" s="227"/>
      <c r="AG381" s="227"/>
      <c r="AH381" s="227"/>
      <c r="AI381" s="227"/>
      <c r="AJ381" s="227"/>
      <c r="AK381" s="227"/>
      <c r="AL381" s="227"/>
      <c r="AM381" s="227"/>
      <c r="AN381" s="227"/>
      <c r="AO381" s="227"/>
      <c r="AP381" s="227"/>
      <c r="AQ381" s="227"/>
      <c r="AR381" s="227"/>
      <c r="AS381" s="227"/>
      <c r="AT381" s="227"/>
      <c r="AU381" s="227"/>
      <c r="AV381" s="227"/>
      <c r="AW381" s="227"/>
      <c r="AX381" s="227"/>
      <c r="AY381" s="227"/>
      <c r="AZ381" s="227"/>
      <c r="BA381" s="227"/>
      <c r="BB381" s="227"/>
      <c r="BC381" s="227"/>
      <c r="BD381" s="227"/>
      <c r="BE381" s="227"/>
      <c r="BF381" s="227"/>
      <c r="BG381" s="227"/>
      <c r="BH381" s="227"/>
      <c r="BI381" s="227"/>
    </row>
    <row r="382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  <c r="AB382" s="227"/>
      <c r="AC382" s="227"/>
      <c r="AD382" s="227"/>
      <c r="AE382" s="227"/>
      <c r="AF382" s="227"/>
      <c r="AG382" s="227"/>
      <c r="AH382" s="227"/>
      <c r="AI382" s="227"/>
      <c r="AJ382" s="227"/>
      <c r="AK382" s="227"/>
      <c r="AL382" s="227"/>
      <c r="AM382" s="227"/>
      <c r="AN382" s="227"/>
      <c r="AO382" s="227"/>
      <c r="AP382" s="227"/>
      <c r="AQ382" s="227"/>
      <c r="AR382" s="227"/>
      <c r="AS382" s="227"/>
      <c r="AT382" s="227"/>
      <c r="AU382" s="227"/>
      <c r="AV382" s="227"/>
      <c r="AW382" s="227"/>
      <c r="AX382" s="227"/>
      <c r="AY382" s="227"/>
      <c r="AZ382" s="227"/>
      <c r="BA382" s="227"/>
      <c r="BB382" s="227"/>
      <c r="BC382" s="227"/>
      <c r="BD382" s="227"/>
      <c r="BE382" s="227"/>
      <c r="BF382" s="227"/>
      <c r="BG382" s="227"/>
      <c r="BH382" s="227"/>
      <c r="BI382" s="227"/>
    </row>
    <row r="383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  <c r="AB383" s="227"/>
      <c r="AC383" s="227"/>
      <c r="AD383" s="227"/>
      <c r="AE383" s="227"/>
      <c r="AF383" s="227"/>
      <c r="AG383" s="227"/>
      <c r="AH383" s="227"/>
      <c r="AI383" s="227"/>
      <c r="AJ383" s="227"/>
      <c r="AK383" s="227"/>
      <c r="AL383" s="227"/>
      <c r="AM383" s="227"/>
      <c r="AN383" s="227"/>
      <c r="AO383" s="227"/>
      <c r="AP383" s="227"/>
      <c r="AQ383" s="227"/>
      <c r="AR383" s="227"/>
      <c r="AS383" s="227"/>
      <c r="AT383" s="227"/>
      <c r="AU383" s="227"/>
      <c r="AV383" s="227"/>
      <c r="AW383" s="227"/>
      <c r="AX383" s="227"/>
      <c r="AY383" s="227"/>
      <c r="AZ383" s="227"/>
      <c r="BA383" s="227"/>
      <c r="BB383" s="227"/>
      <c r="BC383" s="227"/>
      <c r="BD383" s="227"/>
      <c r="BE383" s="227"/>
      <c r="BF383" s="227"/>
      <c r="BG383" s="227"/>
      <c r="BH383" s="227"/>
      <c r="BI383" s="227"/>
    </row>
    <row r="384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  <c r="AB384" s="227"/>
      <c r="AC384" s="227"/>
      <c r="AD384" s="227"/>
      <c r="AE384" s="227"/>
      <c r="AF384" s="227"/>
      <c r="AG384" s="227"/>
      <c r="AH384" s="227"/>
      <c r="AI384" s="227"/>
      <c r="AJ384" s="227"/>
      <c r="AK384" s="227"/>
      <c r="AL384" s="227"/>
      <c r="AM384" s="227"/>
      <c r="AN384" s="227"/>
      <c r="AO384" s="227"/>
      <c r="AP384" s="227"/>
      <c r="AQ384" s="227"/>
      <c r="AR384" s="227"/>
      <c r="AS384" s="227"/>
      <c r="AT384" s="227"/>
      <c r="AU384" s="227"/>
      <c r="AV384" s="227"/>
      <c r="AW384" s="227"/>
      <c r="AX384" s="227"/>
      <c r="AY384" s="227"/>
      <c r="AZ384" s="227"/>
      <c r="BA384" s="227"/>
      <c r="BB384" s="227"/>
      <c r="BC384" s="227"/>
      <c r="BD384" s="227"/>
      <c r="BE384" s="227"/>
      <c r="BF384" s="227"/>
      <c r="BG384" s="227"/>
      <c r="BH384" s="227"/>
      <c r="BI384" s="227"/>
    </row>
    <row r="385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  <c r="AB385" s="227"/>
      <c r="AC385" s="227"/>
      <c r="AD385" s="227"/>
      <c r="AE385" s="227"/>
      <c r="AF385" s="227"/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  <c r="AT385" s="227"/>
      <c r="AU385" s="227"/>
      <c r="AV385" s="227"/>
      <c r="AW385" s="227"/>
      <c r="AX385" s="227"/>
      <c r="AY385" s="227"/>
      <c r="AZ385" s="227"/>
      <c r="BA385" s="227"/>
      <c r="BB385" s="227"/>
      <c r="BC385" s="227"/>
      <c r="BD385" s="227"/>
      <c r="BE385" s="227"/>
      <c r="BF385" s="227"/>
      <c r="BG385" s="227"/>
      <c r="BH385" s="227"/>
      <c r="BI385" s="227"/>
    </row>
    <row r="38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  <c r="AB386" s="227"/>
      <c r="AC386" s="227"/>
      <c r="AD386" s="227"/>
      <c r="AE386" s="227"/>
      <c r="AF386" s="227"/>
      <c r="AG386" s="227"/>
      <c r="AH386" s="227"/>
      <c r="AI386" s="227"/>
      <c r="AJ386" s="227"/>
      <c r="AK386" s="227"/>
      <c r="AL386" s="227"/>
      <c r="AM386" s="227"/>
      <c r="AN386" s="227"/>
      <c r="AO386" s="227"/>
      <c r="AP386" s="227"/>
      <c r="AQ386" s="227"/>
      <c r="AR386" s="227"/>
      <c r="AS386" s="227"/>
      <c r="AT386" s="227"/>
      <c r="AU386" s="227"/>
      <c r="AV386" s="227"/>
      <c r="AW386" s="227"/>
      <c r="AX386" s="227"/>
      <c r="AY386" s="227"/>
      <c r="AZ386" s="227"/>
      <c r="BA386" s="227"/>
      <c r="BB386" s="227"/>
      <c r="BC386" s="227"/>
      <c r="BD386" s="227"/>
      <c r="BE386" s="227"/>
      <c r="BF386" s="227"/>
      <c r="BG386" s="227"/>
      <c r="BH386" s="227"/>
      <c r="BI386" s="227"/>
    </row>
    <row r="387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  <c r="AB387" s="227"/>
      <c r="AC387" s="227"/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27"/>
      <c r="AX387" s="227"/>
      <c r="AY387" s="227"/>
      <c r="AZ387" s="227"/>
      <c r="BA387" s="227"/>
      <c r="BB387" s="227"/>
      <c r="BC387" s="227"/>
      <c r="BD387" s="227"/>
      <c r="BE387" s="227"/>
      <c r="BF387" s="227"/>
      <c r="BG387" s="227"/>
      <c r="BH387" s="227"/>
      <c r="BI387" s="227"/>
    </row>
    <row r="388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  <c r="AB388" s="227"/>
      <c r="AC388" s="227"/>
      <c r="AD388" s="227"/>
      <c r="AE388" s="227"/>
      <c r="AF388" s="227"/>
      <c r="AG388" s="227"/>
      <c r="AH388" s="227"/>
      <c r="AI388" s="227"/>
      <c r="AJ388" s="227"/>
      <c r="AK388" s="227"/>
      <c r="AL388" s="227"/>
      <c r="AM388" s="227"/>
      <c r="AN388" s="227"/>
      <c r="AO388" s="227"/>
      <c r="AP388" s="227"/>
      <c r="AQ388" s="227"/>
      <c r="AR388" s="227"/>
      <c r="AS388" s="227"/>
      <c r="AT388" s="227"/>
      <c r="AU388" s="227"/>
      <c r="AV388" s="227"/>
      <c r="AW388" s="227"/>
      <c r="AX388" s="227"/>
      <c r="AY388" s="227"/>
      <c r="AZ388" s="227"/>
      <c r="BA388" s="227"/>
      <c r="BB388" s="227"/>
      <c r="BC388" s="227"/>
      <c r="BD388" s="227"/>
      <c r="BE388" s="227"/>
      <c r="BF388" s="227"/>
      <c r="BG388" s="227"/>
      <c r="BH388" s="227"/>
      <c r="BI388" s="227"/>
    </row>
    <row r="389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  <c r="AB389" s="227"/>
      <c r="AC389" s="227"/>
      <c r="AD389" s="227"/>
      <c r="AE389" s="227"/>
      <c r="AF389" s="227"/>
      <c r="AG389" s="227"/>
      <c r="AH389" s="227"/>
      <c r="AI389" s="227"/>
      <c r="AJ389" s="227"/>
      <c r="AK389" s="227"/>
      <c r="AL389" s="227"/>
      <c r="AM389" s="227"/>
      <c r="AN389" s="227"/>
      <c r="AO389" s="227"/>
      <c r="AP389" s="227"/>
      <c r="AQ389" s="227"/>
      <c r="AR389" s="227"/>
      <c r="AS389" s="227"/>
      <c r="AT389" s="227"/>
      <c r="AU389" s="227"/>
      <c r="AV389" s="227"/>
      <c r="AW389" s="227"/>
      <c r="AX389" s="227"/>
      <c r="AY389" s="227"/>
      <c r="AZ389" s="227"/>
      <c r="BA389" s="227"/>
      <c r="BB389" s="227"/>
      <c r="BC389" s="227"/>
      <c r="BD389" s="227"/>
      <c r="BE389" s="227"/>
      <c r="BF389" s="227"/>
      <c r="BG389" s="227"/>
      <c r="BH389" s="227"/>
      <c r="BI389" s="227"/>
    </row>
    <row r="390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  <c r="AB390" s="227"/>
      <c r="AC390" s="227"/>
      <c r="AD390" s="227"/>
      <c r="AE390" s="227"/>
      <c r="AF390" s="227"/>
      <c r="AG390" s="227"/>
      <c r="AH390" s="227"/>
      <c r="AI390" s="227"/>
      <c r="AJ390" s="227"/>
      <c r="AK390" s="227"/>
      <c r="AL390" s="227"/>
      <c r="AM390" s="227"/>
      <c r="AN390" s="227"/>
      <c r="AO390" s="227"/>
      <c r="AP390" s="227"/>
      <c r="AQ390" s="227"/>
      <c r="AR390" s="227"/>
      <c r="AS390" s="227"/>
      <c r="AT390" s="227"/>
      <c r="AU390" s="227"/>
      <c r="AV390" s="227"/>
      <c r="AW390" s="227"/>
      <c r="AX390" s="227"/>
      <c r="AY390" s="227"/>
      <c r="AZ390" s="227"/>
      <c r="BA390" s="227"/>
      <c r="BB390" s="227"/>
      <c r="BC390" s="227"/>
      <c r="BD390" s="227"/>
      <c r="BE390" s="227"/>
      <c r="BF390" s="227"/>
      <c r="BG390" s="227"/>
      <c r="BH390" s="227"/>
      <c r="BI390" s="227"/>
    </row>
    <row r="39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27"/>
      <c r="AE391" s="227"/>
      <c r="AF391" s="227"/>
      <c r="AG391" s="227"/>
      <c r="AH391" s="227"/>
      <c r="AI391" s="227"/>
      <c r="AJ391" s="227"/>
      <c r="AK391" s="227"/>
      <c r="AL391" s="227"/>
      <c r="AM391" s="227"/>
      <c r="AN391" s="227"/>
      <c r="AO391" s="227"/>
      <c r="AP391" s="227"/>
      <c r="AQ391" s="227"/>
      <c r="AR391" s="227"/>
      <c r="AS391" s="227"/>
      <c r="AT391" s="227"/>
      <c r="AU391" s="227"/>
      <c r="AV391" s="227"/>
      <c r="AW391" s="227"/>
      <c r="AX391" s="227"/>
      <c r="AY391" s="227"/>
      <c r="AZ391" s="227"/>
      <c r="BA391" s="227"/>
      <c r="BB391" s="227"/>
      <c r="BC391" s="227"/>
      <c r="BD391" s="227"/>
      <c r="BE391" s="227"/>
      <c r="BF391" s="227"/>
      <c r="BG391" s="227"/>
      <c r="BH391" s="227"/>
      <c r="BI391" s="227"/>
    </row>
    <row r="392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  <c r="AB392" s="227"/>
      <c r="AC392" s="227"/>
      <c r="AD392" s="227"/>
      <c r="AE392" s="227"/>
      <c r="AF392" s="227"/>
      <c r="AG392" s="227"/>
      <c r="AH392" s="227"/>
      <c r="AI392" s="227"/>
      <c r="AJ392" s="227"/>
      <c r="AK392" s="227"/>
      <c r="AL392" s="227"/>
      <c r="AM392" s="227"/>
      <c r="AN392" s="227"/>
      <c r="AO392" s="227"/>
      <c r="AP392" s="227"/>
      <c r="AQ392" s="227"/>
      <c r="AR392" s="227"/>
      <c r="AS392" s="227"/>
      <c r="AT392" s="227"/>
      <c r="AU392" s="227"/>
      <c r="AV392" s="227"/>
      <c r="AW392" s="227"/>
      <c r="AX392" s="227"/>
      <c r="AY392" s="227"/>
      <c r="AZ392" s="227"/>
      <c r="BA392" s="227"/>
      <c r="BB392" s="227"/>
      <c r="BC392" s="227"/>
      <c r="BD392" s="227"/>
      <c r="BE392" s="227"/>
      <c r="BF392" s="227"/>
      <c r="BG392" s="227"/>
      <c r="BH392" s="227"/>
      <c r="BI392" s="227"/>
    </row>
    <row r="393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  <c r="AB393" s="227"/>
      <c r="AC393" s="227"/>
      <c r="AD393" s="227"/>
      <c r="AE393" s="227"/>
      <c r="AF393" s="227"/>
      <c r="AG393" s="227"/>
      <c r="AH393" s="227"/>
      <c r="AI393" s="227"/>
      <c r="AJ393" s="227"/>
      <c r="AK393" s="227"/>
      <c r="AL393" s="227"/>
      <c r="AM393" s="227"/>
      <c r="AN393" s="227"/>
      <c r="AO393" s="227"/>
      <c r="AP393" s="227"/>
      <c r="AQ393" s="227"/>
      <c r="AR393" s="227"/>
      <c r="AS393" s="227"/>
      <c r="AT393" s="227"/>
      <c r="AU393" s="227"/>
      <c r="AV393" s="227"/>
      <c r="AW393" s="227"/>
      <c r="AX393" s="227"/>
      <c r="AY393" s="227"/>
      <c r="AZ393" s="227"/>
      <c r="BA393" s="227"/>
      <c r="BB393" s="227"/>
      <c r="BC393" s="227"/>
      <c r="BD393" s="227"/>
      <c r="BE393" s="227"/>
      <c r="BF393" s="227"/>
      <c r="BG393" s="227"/>
      <c r="BH393" s="227"/>
      <c r="BI393" s="227"/>
    </row>
    <row r="394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  <c r="AB394" s="227"/>
      <c r="AC394" s="227"/>
      <c r="AD394" s="227"/>
      <c r="AE394" s="227"/>
      <c r="AF394" s="227"/>
      <c r="AG394" s="227"/>
      <c r="AH394" s="227"/>
      <c r="AI394" s="227"/>
      <c r="AJ394" s="227"/>
      <c r="AK394" s="227"/>
      <c r="AL394" s="227"/>
      <c r="AM394" s="227"/>
      <c r="AN394" s="227"/>
      <c r="AO394" s="227"/>
      <c r="AP394" s="227"/>
      <c r="AQ394" s="227"/>
      <c r="AR394" s="227"/>
      <c r="AS394" s="227"/>
      <c r="AT394" s="227"/>
      <c r="AU394" s="227"/>
      <c r="AV394" s="227"/>
      <c r="AW394" s="227"/>
      <c r="AX394" s="227"/>
      <c r="AY394" s="227"/>
      <c r="AZ394" s="227"/>
      <c r="BA394" s="227"/>
      <c r="BB394" s="227"/>
      <c r="BC394" s="227"/>
      <c r="BD394" s="227"/>
      <c r="BE394" s="227"/>
      <c r="BF394" s="227"/>
      <c r="BG394" s="227"/>
      <c r="BH394" s="227"/>
      <c r="BI394" s="227"/>
    </row>
    <row r="395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  <c r="AB395" s="227"/>
      <c r="AC395" s="227"/>
      <c r="AD395" s="227"/>
      <c r="AE395" s="227"/>
      <c r="AF395" s="227"/>
      <c r="AG395" s="227"/>
      <c r="AH395" s="227"/>
      <c r="AI395" s="227"/>
      <c r="AJ395" s="227"/>
      <c r="AK395" s="227"/>
      <c r="AL395" s="227"/>
      <c r="AM395" s="227"/>
      <c r="AN395" s="227"/>
      <c r="AO395" s="227"/>
      <c r="AP395" s="227"/>
      <c r="AQ395" s="227"/>
      <c r="AR395" s="227"/>
      <c r="AS395" s="227"/>
      <c r="AT395" s="227"/>
      <c r="AU395" s="227"/>
      <c r="AV395" s="227"/>
      <c r="AW395" s="227"/>
      <c r="AX395" s="227"/>
      <c r="AY395" s="227"/>
      <c r="AZ395" s="227"/>
      <c r="BA395" s="227"/>
      <c r="BB395" s="227"/>
      <c r="BC395" s="227"/>
      <c r="BD395" s="227"/>
      <c r="BE395" s="227"/>
      <c r="BF395" s="227"/>
      <c r="BG395" s="227"/>
      <c r="BH395" s="227"/>
      <c r="BI395" s="227"/>
    </row>
    <row r="39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  <c r="AB396" s="227"/>
      <c r="AC396" s="227"/>
      <c r="AD396" s="227"/>
      <c r="AE396" s="227"/>
      <c r="AF396" s="227"/>
      <c r="AG396" s="227"/>
      <c r="AH396" s="227"/>
      <c r="AI396" s="227"/>
      <c r="AJ396" s="227"/>
      <c r="AK396" s="227"/>
      <c r="AL396" s="227"/>
      <c r="AM396" s="227"/>
      <c r="AN396" s="227"/>
      <c r="AO396" s="227"/>
      <c r="AP396" s="227"/>
      <c r="AQ396" s="227"/>
      <c r="AR396" s="227"/>
      <c r="AS396" s="227"/>
      <c r="AT396" s="227"/>
      <c r="AU396" s="227"/>
      <c r="AV396" s="227"/>
      <c r="AW396" s="227"/>
      <c r="AX396" s="227"/>
      <c r="AY396" s="227"/>
      <c r="AZ396" s="227"/>
      <c r="BA396" s="227"/>
      <c r="BB396" s="227"/>
      <c r="BC396" s="227"/>
      <c r="BD396" s="227"/>
      <c r="BE396" s="227"/>
      <c r="BF396" s="227"/>
      <c r="BG396" s="227"/>
      <c r="BH396" s="227"/>
      <c r="BI396" s="227"/>
    </row>
    <row r="397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7"/>
      <c r="AG397" s="227"/>
      <c r="AH397" s="227"/>
      <c r="AI397" s="227"/>
      <c r="AJ397" s="227"/>
      <c r="AK397" s="227"/>
      <c r="AL397" s="227"/>
      <c r="AM397" s="227"/>
      <c r="AN397" s="227"/>
      <c r="AO397" s="227"/>
      <c r="AP397" s="227"/>
      <c r="AQ397" s="227"/>
      <c r="AR397" s="227"/>
      <c r="AS397" s="227"/>
      <c r="AT397" s="227"/>
      <c r="AU397" s="227"/>
      <c r="AV397" s="227"/>
      <c r="AW397" s="227"/>
      <c r="AX397" s="227"/>
      <c r="AY397" s="227"/>
      <c r="AZ397" s="227"/>
      <c r="BA397" s="227"/>
      <c r="BB397" s="227"/>
      <c r="BC397" s="227"/>
      <c r="BD397" s="227"/>
      <c r="BE397" s="227"/>
      <c r="BF397" s="227"/>
      <c r="BG397" s="227"/>
      <c r="BH397" s="227"/>
      <c r="BI397" s="227"/>
    </row>
    <row r="398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  <c r="AB398" s="227"/>
      <c r="AC398" s="227"/>
      <c r="AD398" s="227"/>
      <c r="AE398" s="227"/>
      <c r="AF398" s="227"/>
      <c r="AG398" s="227"/>
      <c r="AH398" s="227"/>
      <c r="AI398" s="227"/>
      <c r="AJ398" s="227"/>
      <c r="AK398" s="227"/>
      <c r="AL398" s="227"/>
      <c r="AM398" s="227"/>
      <c r="AN398" s="227"/>
      <c r="AO398" s="227"/>
      <c r="AP398" s="227"/>
      <c r="AQ398" s="227"/>
      <c r="AR398" s="227"/>
      <c r="AS398" s="227"/>
      <c r="AT398" s="227"/>
      <c r="AU398" s="227"/>
      <c r="AV398" s="227"/>
      <c r="AW398" s="227"/>
      <c r="AX398" s="227"/>
      <c r="AY398" s="227"/>
      <c r="AZ398" s="227"/>
      <c r="BA398" s="227"/>
      <c r="BB398" s="227"/>
      <c r="BC398" s="227"/>
      <c r="BD398" s="227"/>
      <c r="BE398" s="227"/>
      <c r="BF398" s="227"/>
      <c r="BG398" s="227"/>
      <c r="BH398" s="227"/>
      <c r="BI398" s="227"/>
    </row>
    <row r="399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  <c r="AB399" s="227"/>
      <c r="AC399" s="227"/>
      <c r="AD399" s="227"/>
      <c r="AE399" s="227"/>
      <c r="AF399" s="227"/>
      <c r="AG399" s="227"/>
      <c r="AH399" s="227"/>
      <c r="AI399" s="227"/>
      <c r="AJ399" s="227"/>
      <c r="AK399" s="227"/>
      <c r="AL399" s="227"/>
      <c r="AM399" s="227"/>
      <c r="AN399" s="227"/>
      <c r="AO399" s="227"/>
      <c r="AP399" s="227"/>
      <c r="AQ399" s="227"/>
      <c r="AR399" s="227"/>
      <c r="AS399" s="227"/>
      <c r="AT399" s="227"/>
      <c r="AU399" s="227"/>
      <c r="AV399" s="227"/>
      <c r="AW399" s="227"/>
      <c r="AX399" s="227"/>
      <c r="AY399" s="227"/>
      <c r="AZ399" s="227"/>
      <c r="BA399" s="227"/>
      <c r="BB399" s="227"/>
      <c r="BC399" s="227"/>
      <c r="BD399" s="227"/>
      <c r="BE399" s="227"/>
      <c r="BF399" s="227"/>
      <c r="BG399" s="227"/>
      <c r="BH399" s="227"/>
      <c r="BI399" s="227"/>
    </row>
    <row r="400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  <c r="AB400" s="227"/>
      <c r="AC400" s="227"/>
      <c r="AD400" s="227"/>
      <c r="AE400" s="227"/>
      <c r="AF400" s="227"/>
      <c r="AG400" s="227"/>
      <c r="AH400" s="227"/>
      <c r="AI400" s="227"/>
      <c r="AJ400" s="227"/>
      <c r="AK400" s="227"/>
      <c r="AL400" s="227"/>
      <c r="AM400" s="227"/>
      <c r="AN400" s="227"/>
      <c r="AO400" s="227"/>
      <c r="AP400" s="227"/>
      <c r="AQ400" s="227"/>
      <c r="AR400" s="227"/>
      <c r="AS400" s="227"/>
      <c r="AT400" s="227"/>
      <c r="AU400" s="227"/>
      <c r="AV400" s="227"/>
      <c r="AW400" s="227"/>
      <c r="AX400" s="227"/>
      <c r="AY400" s="227"/>
      <c r="AZ400" s="227"/>
      <c r="BA400" s="227"/>
      <c r="BB400" s="227"/>
      <c r="BC400" s="227"/>
      <c r="BD400" s="227"/>
      <c r="BE400" s="227"/>
      <c r="BF400" s="227"/>
      <c r="BG400" s="227"/>
      <c r="BH400" s="227"/>
      <c r="BI400" s="227"/>
    </row>
    <row r="40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  <c r="AB401" s="227"/>
      <c r="AC401" s="227"/>
      <c r="AD401" s="227"/>
      <c r="AE401" s="227"/>
      <c r="AF401" s="227"/>
      <c r="AG401" s="227"/>
      <c r="AH401" s="227"/>
      <c r="AI401" s="227"/>
      <c r="AJ401" s="227"/>
      <c r="AK401" s="227"/>
      <c r="AL401" s="227"/>
      <c r="AM401" s="227"/>
      <c r="AN401" s="227"/>
      <c r="AO401" s="227"/>
      <c r="AP401" s="227"/>
      <c r="AQ401" s="227"/>
      <c r="AR401" s="227"/>
      <c r="AS401" s="227"/>
      <c r="AT401" s="227"/>
      <c r="AU401" s="227"/>
      <c r="AV401" s="227"/>
      <c r="AW401" s="227"/>
      <c r="AX401" s="227"/>
      <c r="AY401" s="227"/>
      <c r="AZ401" s="227"/>
      <c r="BA401" s="227"/>
      <c r="BB401" s="227"/>
      <c r="BC401" s="227"/>
      <c r="BD401" s="227"/>
      <c r="BE401" s="227"/>
      <c r="BF401" s="227"/>
      <c r="BG401" s="227"/>
      <c r="BH401" s="227"/>
      <c r="BI401" s="227"/>
    </row>
    <row r="402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  <c r="AB402" s="227"/>
      <c r="AC402" s="227"/>
      <c r="AD402" s="227"/>
      <c r="AE402" s="227"/>
      <c r="AF402" s="227"/>
      <c r="AG402" s="227"/>
      <c r="AH402" s="227"/>
      <c r="AI402" s="227"/>
      <c r="AJ402" s="227"/>
      <c r="AK402" s="227"/>
      <c r="AL402" s="227"/>
      <c r="AM402" s="227"/>
      <c r="AN402" s="227"/>
      <c r="AO402" s="227"/>
      <c r="AP402" s="227"/>
      <c r="AQ402" s="227"/>
      <c r="AR402" s="227"/>
      <c r="AS402" s="227"/>
      <c r="AT402" s="227"/>
      <c r="AU402" s="227"/>
      <c r="AV402" s="227"/>
      <c r="AW402" s="227"/>
      <c r="AX402" s="227"/>
      <c r="AY402" s="227"/>
      <c r="AZ402" s="227"/>
      <c r="BA402" s="227"/>
      <c r="BB402" s="227"/>
      <c r="BC402" s="227"/>
      <c r="BD402" s="227"/>
      <c r="BE402" s="227"/>
      <c r="BF402" s="227"/>
      <c r="BG402" s="227"/>
      <c r="BH402" s="227"/>
      <c r="BI402" s="227"/>
    </row>
    <row r="403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  <c r="AB403" s="227"/>
      <c r="AC403" s="227"/>
      <c r="AD403" s="227"/>
      <c r="AE403" s="227"/>
      <c r="AF403" s="227"/>
      <c r="AG403" s="227"/>
      <c r="AH403" s="227"/>
      <c r="AI403" s="227"/>
      <c r="AJ403" s="227"/>
      <c r="AK403" s="227"/>
      <c r="AL403" s="227"/>
      <c r="AM403" s="227"/>
      <c r="AN403" s="227"/>
      <c r="AO403" s="227"/>
      <c r="AP403" s="227"/>
      <c r="AQ403" s="227"/>
      <c r="AR403" s="227"/>
      <c r="AS403" s="227"/>
      <c r="AT403" s="227"/>
      <c r="AU403" s="227"/>
      <c r="AV403" s="227"/>
      <c r="AW403" s="227"/>
      <c r="AX403" s="227"/>
      <c r="AY403" s="227"/>
      <c r="AZ403" s="227"/>
      <c r="BA403" s="227"/>
      <c r="BB403" s="227"/>
      <c r="BC403" s="227"/>
      <c r="BD403" s="227"/>
      <c r="BE403" s="227"/>
      <c r="BF403" s="227"/>
      <c r="BG403" s="227"/>
      <c r="BH403" s="227"/>
      <c r="BI403" s="227"/>
    </row>
    <row r="404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  <c r="AB404" s="227"/>
      <c r="AC404" s="227"/>
      <c r="AD404" s="227"/>
      <c r="AE404" s="227"/>
      <c r="AF404" s="227"/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27"/>
      <c r="BC404" s="227"/>
      <c r="BD404" s="227"/>
      <c r="BE404" s="227"/>
      <c r="BF404" s="227"/>
      <c r="BG404" s="227"/>
      <c r="BH404" s="227"/>
      <c r="BI404" s="227"/>
    </row>
    <row r="405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  <c r="AB405" s="227"/>
      <c r="AC405" s="227"/>
      <c r="AD405" s="227"/>
      <c r="AE405" s="227"/>
      <c r="AF405" s="227"/>
      <c r="AG405" s="227"/>
      <c r="AH405" s="227"/>
      <c r="AI405" s="227"/>
      <c r="AJ405" s="227"/>
      <c r="AK405" s="227"/>
      <c r="AL405" s="227"/>
      <c r="AM405" s="227"/>
      <c r="AN405" s="227"/>
      <c r="AO405" s="227"/>
      <c r="AP405" s="227"/>
      <c r="AQ405" s="227"/>
      <c r="AR405" s="227"/>
      <c r="AS405" s="227"/>
      <c r="AT405" s="227"/>
      <c r="AU405" s="227"/>
      <c r="AV405" s="227"/>
      <c r="AW405" s="227"/>
      <c r="AX405" s="227"/>
      <c r="AY405" s="227"/>
      <c r="AZ405" s="227"/>
      <c r="BA405" s="227"/>
      <c r="BB405" s="227"/>
      <c r="BC405" s="227"/>
      <c r="BD405" s="227"/>
      <c r="BE405" s="227"/>
      <c r="BF405" s="227"/>
      <c r="BG405" s="227"/>
      <c r="BH405" s="227"/>
      <c r="BI405" s="227"/>
    </row>
    <row r="40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  <c r="AB406" s="227"/>
      <c r="AC406" s="227"/>
      <c r="AD406" s="227"/>
      <c r="AE406" s="227"/>
      <c r="AF406" s="227"/>
      <c r="AG406" s="227"/>
      <c r="AH406" s="227"/>
      <c r="AI406" s="227"/>
      <c r="AJ406" s="227"/>
      <c r="AK406" s="227"/>
      <c r="AL406" s="227"/>
      <c r="AM406" s="227"/>
      <c r="AN406" s="227"/>
      <c r="AO406" s="227"/>
      <c r="AP406" s="227"/>
      <c r="AQ406" s="227"/>
      <c r="AR406" s="227"/>
      <c r="AS406" s="227"/>
      <c r="AT406" s="227"/>
      <c r="AU406" s="227"/>
      <c r="AV406" s="227"/>
      <c r="AW406" s="227"/>
      <c r="AX406" s="227"/>
      <c r="AY406" s="227"/>
      <c r="AZ406" s="227"/>
      <c r="BA406" s="227"/>
      <c r="BB406" s="227"/>
      <c r="BC406" s="227"/>
      <c r="BD406" s="227"/>
      <c r="BE406" s="227"/>
      <c r="BF406" s="227"/>
      <c r="BG406" s="227"/>
      <c r="BH406" s="227"/>
      <c r="BI406" s="227"/>
    </row>
    <row r="407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  <c r="AB407" s="227"/>
      <c r="AC407" s="227"/>
      <c r="AD407" s="227"/>
      <c r="AE407" s="227"/>
      <c r="AF407" s="227"/>
      <c r="AG407" s="227"/>
      <c r="AH407" s="227"/>
      <c r="AI407" s="227"/>
      <c r="AJ407" s="227"/>
      <c r="AK407" s="227"/>
      <c r="AL407" s="227"/>
      <c r="AM407" s="227"/>
      <c r="AN407" s="227"/>
      <c r="AO407" s="227"/>
      <c r="AP407" s="227"/>
      <c r="AQ407" s="227"/>
      <c r="AR407" s="227"/>
      <c r="AS407" s="227"/>
      <c r="AT407" s="227"/>
      <c r="AU407" s="227"/>
      <c r="AV407" s="227"/>
      <c r="AW407" s="227"/>
      <c r="AX407" s="227"/>
      <c r="AY407" s="227"/>
      <c r="AZ407" s="227"/>
      <c r="BA407" s="227"/>
      <c r="BB407" s="227"/>
      <c r="BC407" s="227"/>
      <c r="BD407" s="227"/>
      <c r="BE407" s="227"/>
      <c r="BF407" s="227"/>
      <c r="BG407" s="227"/>
      <c r="BH407" s="227"/>
      <c r="BI407" s="227"/>
    </row>
    <row r="408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  <c r="AB408" s="227"/>
      <c r="AC408" s="227"/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27"/>
      <c r="AX408" s="227"/>
      <c r="AY408" s="227"/>
      <c r="AZ408" s="227"/>
      <c r="BA408" s="227"/>
      <c r="BB408" s="227"/>
      <c r="BC408" s="227"/>
      <c r="BD408" s="227"/>
      <c r="BE408" s="227"/>
      <c r="BF408" s="227"/>
      <c r="BG408" s="227"/>
      <c r="BH408" s="227"/>
      <c r="BI408" s="227"/>
    </row>
    <row r="409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  <c r="AB409" s="227"/>
      <c r="AC409" s="227"/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27"/>
      <c r="AX409" s="227"/>
      <c r="AY409" s="227"/>
      <c r="AZ409" s="227"/>
      <c r="BA409" s="227"/>
      <c r="BB409" s="227"/>
      <c r="BC409" s="227"/>
      <c r="BD409" s="227"/>
      <c r="BE409" s="227"/>
      <c r="BF409" s="227"/>
      <c r="BG409" s="227"/>
      <c r="BH409" s="227"/>
      <c r="BI409" s="227"/>
    </row>
    <row r="410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  <c r="AB410" s="227"/>
      <c r="AC410" s="227"/>
      <c r="AD410" s="227"/>
      <c r="AE410" s="227"/>
      <c r="AF410" s="227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7"/>
      <c r="AR410" s="227"/>
      <c r="AS410" s="227"/>
      <c r="AT410" s="227"/>
      <c r="AU410" s="227"/>
      <c r="AV410" s="227"/>
      <c r="AW410" s="227"/>
      <c r="AX410" s="227"/>
      <c r="AY410" s="227"/>
      <c r="AZ410" s="227"/>
      <c r="BA410" s="227"/>
      <c r="BB410" s="227"/>
      <c r="BC410" s="227"/>
      <c r="BD410" s="227"/>
      <c r="BE410" s="227"/>
      <c r="BF410" s="227"/>
      <c r="BG410" s="227"/>
      <c r="BH410" s="227"/>
      <c r="BI410" s="227"/>
    </row>
    <row r="41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  <c r="AB411" s="227"/>
      <c r="AC411" s="227"/>
      <c r="AD411" s="227"/>
      <c r="AE411" s="227"/>
      <c r="AF411" s="227"/>
      <c r="AG411" s="227"/>
      <c r="AH411" s="227"/>
      <c r="AI411" s="227"/>
      <c r="AJ411" s="227"/>
      <c r="AK411" s="227"/>
      <c r="AL411" s="227"/>
      <c r="AM411" s="227"/>
      <c r="AN411" s="227"/>
      <c r="AO411" s="227"/>
      <c r="AP411" s="227"/>
      <c r="AQ411" s="227"/>
      <c r="AR411" s="227"/>
      <c r="AS411" s="227"/>
      <c r="AT411" s="227"/>
      <c r="AU411" s="227"/>
      <c r="AV411" s="227"/>
      <c r="AW411" s="227"/>
      <c r="AX411" s="227"/>
      <c r="AY411" s="227"/>
      <c r="AZ411" s="227"/>
      <c r="BA411" s="227"/>
      <c r="BB411" s="227"/>
      <c r="BC411" s="227"/>
      <c r="BD411" s="227"/>
      <c r="BE411" s="227"/>
      <c r="BF411" s="227"/>
      <c r="BG411" s="227"/>
      <c r="BH411" s="227"/>
      <c r="BI411" s="227"/>
    </row>
    <row r="412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7"/>
      <c r="AR412" s="227"/>
      <c r="AS412" s="227"/>
      <c r="AT412" s="227"/>
      <c r="AU412" s="227"/>
      <c r="AV412" s="227"/>
      <c r="AW412" s="227"/>
      <c r="AX412" s="227"/>
      <c r="AY412" s="227"/>
      <c r="AZ412" s="227"/>
      <c r="BA412" s="227"/>
      <c r="BB412" s="227"/>
      <c r="BC412" s="227"/>
      <c r="BD412" s="227"/>
      <c r="BE412" s="227"/>
      <c r="BF412" s="227"/>
      <c r="BG412" s="227"/>
      <c r="BH412" s="227"/>
      <c r="BI412" s="227"/>
    </row>
    <row r="413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  <c r="AB413" s="227"/>
      <c r="AC413" s="227"/>
      <c r="AD413" s="227"/>
      <c r="AE413" s="227"/>
      <c r="AF413" s="227"/>
      <c r="AG413" s="227"/>
      <c r="AH413" s="227"/>
      <c r="AI413" s="227"/>
      <c r="AJ413" s="227"/>
      <c r="AK413" s="227"/>
      <c r="AL413" s="227"/>
      <c r="AM413" s="227"/>
      <c r="AN413" s="227"/>
      <c r="AO413" s="227"/>
      <c r="AP413" s="227"/>
      <c r="AQ413" s="227"/>
      <c r="AR413" s="227"/>
      <c r="AS413" s="227"/>
      <c r="AT413" s="227"/>
      <c r="AU413" s="227"/>
      <c r="AV413" s="227"/>
      <c r="AW413" s="227"/>
      <c r="AX413" s="227"/>
      <c r="AY413" s="227"/>
      <c r="AZ413" s="227"/>
      <c r="BA413" s="227"/>
      <c r="BB413" s="227"/>
      <c r="BC413" s="227"/>
      <c r="BD413" s="227"/>
      <c r="BE413" s="227"/>
      <c r="BF413" s="227"/>
      <c r="BG413" s="227"/>
      <c r="BH413" s="227"/>
      <c r="BI413" s="227"/>
    </row>
    <row r="414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  <c r="AB414" s="227"/>
      <c r="AC414" s="227"/>
      <c r="AD414" s="227"/>
      <c r="AE414" s="227"/>
      <c r="AF414" s="227"/>
      <c r="AG414" s="227"/>
      <c r="AH414" s="227"/>
      <c r="AI414" s="227"/>
      <c r="AJ414" s="227"/>
      <c r="AK414" s="227"/>
      <c r="AL414" s="227"/>
      <c r="AM414" s="227"/>
      <c r="AN414" s="227"/>
      <c r="AO414" s="227"/>
      <c r="AP414" s="227"/>
      <c r="AQ414" s="227"/>
      <c r="AR414" s="227"/>
      <c r="AS414" s="227"/>
      <c r="AT414" s="227"/>
      <c r="AU414" s="227"/>
      <c r="AV414" s="227"/>
      <c r="AW414" s="227"/>
      <c r="AX414" s="227"/>
      <c r="AY414" s="227"/>
      <c r="AZ414" s="227"/>
      <c r="BA414" s="227"/>
      <c r="BB414" s="227"/>
      <c r="BC414" s="227"/>
      <c r="BD414" s="227"/>
      <c r="BE414" s="227"/>
      <c r="BF414" s="227"/>
      <c r="BG414" s="227"/>
      <c r="BH414" s="227"/>
      <c r="BI414" s="227"/>
    </row>
    <row r="415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  <c r="AB415" s="227"/>
      <c r="AC415" s="227"/>
      <c r="AD415" s="227"/>
      <c r="AE415" s="227"/>
      <c r="AF415" s="227"/>
      <c r="AG415" s="227"/>
      <c r="AH415" s="227"/>
      <c r="AI415" s="227"/>
      <c r="AJ415" s="227"/>
      <c r="AK415" s="227"/>
      <c r="AL415" s="227"/>
      <c r="AM415" s="227"/>
      <c r="AN415" s="227"/>
      <c r="AO415" s="227"/>
      <c r="AP415" s="227"/>
      <c r="AQ415" s="227"/>
      <c r="AR415" s="227"/>
      <c r="AS415" s="227"/>
      <c r="AT415" s="227"/>
      <c r="AU415" s="227"/>
      <c r="AV415" s="227"/>
      <c r="AW415" s="227"/>
      <c r="AX415" s="227"/>
      <c r="AY415" s="227"/>
      <c r="AZ415" s="227"/>
      <c r="BA415" s="227"/>
      <c r="BB415" s="227"/>
      <c r="BC415" s="227"/>
      <c r="BD415" s="227"/>
      <c r="BE415" s="227"/>
      <c r="BF415" s="227"/>
      <c r="BG415" s="227"/>
      <c r="BH415" s="227"/>
      <c r="BI415" s="227"/>
    </row>
    <row r="41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  <c r="AB416" s="227"/>
      <c r="AC416" s="227"/>
      <c r="AD416" s="227"/>
      <c r="AE416" s="227"/>
      <c r="AF416" s="227"/>
      <c r="AG416" s="227"/>
      <c r="AH416" s="227"/>
      <c r="AI416" s="227"/>
      <c r="AJ416" s="227"/>
      <c r="AK416" s="227"/>
      <c r="AL416" s="227"/>
      <c r="AM416" s="227"/>
      <c r="AN416" s="227"/>
      <c r="AO416" s="227"/>
      <c r="AP416" s="227"/>
      <c r="AQ416" s="227"/>
      <c r="AR416" s="227"/>
      <c r="AS416" s="227"/>
      <c r="AT416" s="227"/>
      <c r="AU416" s="227"/>
      <c r="AV416" s="227"/>
      <c r="AW416" s="227"/>
      <c r="AX416" s="227"/>
      <c r="AY416" s="227"/>
      <c r="AZ416" s="227"/>
      <c r="BA416" s="227"/>
      <c r="BB416" s="227"/>
      <c r="BC416" s="227"/>
      <c r="BD416" s="227"/>
      <c r="BE416" s="227"/>
      <c r="BF416" s="227"/>
      <c r="BG416" s="227"/>
      <c r="BH416" s="227"/>
      <c r="BI416" s="227"/>
    </row>
    <row r="417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  <c r="AB417" s="227"/>
      <c r="AC417" s="227"/>
      <c r="AD417" s="227"/>
      <c r="AE417" s="227"/>
      <c r="AF417" s="227"/>
      <c r="AG417" s="227"/>
      <c r="AH417" s="227"/>
      <c r="AI417" s="227"/>
      <c r="AJ417" s="227"/>
      <c r="AK417" s="227"/>
      <c r="AL417" s="227"/>
      <c r="AM417" s="227"/>
      <c r="AN417" s="227"/>
      <c r="AO417" s="227"/>
      <c r="AP417" s="227"/>
      <c r="AQ417" s="227"/>
      <c r="AR417" s="227"/>
      <c r="AS417" s="227"/>
      <c r="AT417" s="227"/>
      <c r="AU417" s="227"/>
      <c r="AV417" s="227"/>
      <c r="AW417" s="227"/>
      <c r="AX417" s="227"/>
      <c r="AY417" s="227"/>
      <c r="AZ417" s="227"/>
      <c r="BA417" s="227"/>
      <c r="BB417" s="227"/>
      <c r="BC417" s="227"/>
      <c r="BD417" s="227"/>
      <c r="BE417" s="227"/>
      <c r="BF417" s="227"/>
      <c r="BG417" s="227"/>
      <c r="BH417" s="227"/>
      <c r="BI417" s="227"/>
    </row>
    <row r="418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  <c r="AB418" s="227"/>
      <c r="AC418" s="227"/>
      <c r="AD418" s="227"/>
      <c r="AE418" s="227"/>
      <c r="AF418" s="227"/>
      <c r="AG418" s="227"/>
      <c r="AH418" s="227"/>
      <c r="AI418" s="227"/>
      <c r="AJ418" s="227"/>
      <c r="AK418" s="227"/>
      <c r="AL418" s="227"/>
      <c r="AM418" s="227"/>
      <c r="AN418" s="227"/>
      <c r="AO418" s="227"/>
      <c r="AP418" s="227"/>
      <c r="AQ418" s="227"/>
      <c r="AR418" s="227"/>
      <c r="AS418" s="227"/>
      <c r="AT418" s="227"/>
      <c r="AU418" s="227"/>
      <c r="AV418" s="227"/>
      <c r="AW418" s="227"/>
      <c r="AX418" s="227"/>
      <c r="AY418" s="227"/>
      <c r="AZ418" s="227"/>
      <c r="BA418" s="227"/>
      <c r="BB418" s="227"/>
      <c r="BC418" s="227"/>
      <c r="BD418" s="227"/>
      <c r="BE418" s="227"/>
      <c r="BF418" s="227"/>
      <c r="BG418" s="227"/>
      <c r="BH418" s="227"/>
      <c r="BI418" s="227"/>
    </row>
    <row r="419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  <c r="AB419" s="227"/>
      <c r="AC419" s="227"/>
      <c r="AD419" s="227"/>
      <c r="AE419" s="227"/>
      <c r="AF419" s="227"/>
      <c r="AG419" s="227"/>
      <c r="AH419" s="227"/>
      <c r="AI419" s="227"/>
      <c r="AJ419" s="227"/>
      <c r="AK419" s="227"/>
      <c r="AL419" s="227"/>
      <c r="AM419" s="227"/>
      <c r="AN419" s="227"/>
      <c r="AO419" s="227"/>
      <c r="AP419" s="227"/>
      <c r="AQ419" s="227"/>
      <c r="AR419" s="227"/>
      <c r="AS419" s="227"/>
      <c r="AT419" s="227"/>
      <c r="AU419" s="227"/>
      <c r="AV419" s="227"/>
      <c r="AW419" s="227"/>
      <c r="AX419" s="227"/>
      <c r="AY419" s="227"/>
      <c r="AZ419" s="227"/>
      <c r="BA419" s="227"/>
      <c r="BB419" s="227"/>
      <c r="BC419" s="227"/>
      <c r="BD419" s="227"/>
      <c r="BE419" s="227"/>
      <c r="BF419" s="227"/>
      <c r="BG419" s="227"/>
      <c r="BH419" s="227"/>
      <c r="BI419" s="227"/>
    </row>
    <row r="420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  <c r="AB420" s="227"/>
      <c r="AC420" s="227"/>
      <c r="AD420" s="227"/>
      <c r="AE420" s="227"/>
      <c r="AF420" s="227"/>
      <c r="AG420" s="227"/>
      <c r="AH420" s="227"/>
      <c r="AI420" s="227"/>
      <c r="AJ420" s="227"/>
      <c r="AK420" s="227"/>
      <c r="AL420" s="227"/>
      <c r="AM420" s="227"/>
      <c r="AN420" s="227"/>
      <c r="AO420" s="227"/>
      <c r="AP420" s="227"/>
      <c r="AQ420" s="227"/>
      <c r="AR420" s="227"/>
      <c r="AS420" s="227"/>
      <c r="AT420" s="227"/>
      <c r="AU420" s="227"/>
      <c r="AV420" s="227"/>
      <c r="AW420" s="227"/>
      <c r="AX420" s="227"/>
      <c r="AY420" s="227"/>
      <c r="AZ420" s="227"/>
      <c r="BA420" s="227"/>
      <c r="BB420" s="227"/>
      <c r="BC420" s="227"/>
      <c r="BD420" s="227"/>
      <c r="BE420" s="227"/>
      <c r="BF420" s="227"/>
      <c r="BG420" s="227"/>
      <c r="BH420" s="227"/>
      <c r="BI420" s="227"/>
    </row>
    <row r="42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  <c r="AB421" s="227"/>
      <c r="AC421" s="227"/>
      <c r="AD421" s="227"/>
      <c r="AE421" s="227"/>
      <c r="AF421" s="227"/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27"/>
      <c r="BC421" s="227"/>
      <c r="BD421" s="227"/>
      <c r="BE421" s="227"/>
      <c r="BF421" s="227"/>
      <c r="BG421" s="227"/>
      <c r="BH421" s="227"/>
      <c r="BI421" s="227"/>
    </row>
    <row r="422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  <c r="AB422" s="227"/>
      <c r="AC422" s="227"/>
      <c r="AD422" s="227"/>
      <c r="AE422" s="227"/>
      <c r="AF422" s="227"/>
      <c r="AG422" s="227"/>
      <c r="AH422" s="227"/>
      <c r="AI422" s="227"/>
      <c r="AJ422" s="227"/>
      <c r="AK422" s="227"/>
      <c r="AL422" s="227"/>
      <c r="AM422" s="227"/>
      <c r="AN422" s="227"/>
      <c r="AO422" s="227"/>
      <c r="AP422" s="227"/>
      <c r="AQ422" s="227"/>
      <c r="AR422" s="227"/>
      <c r="AS422" s="227"/>
      <c r="AT422" s="227"/>
      <c r="AU422" s="227"/>
      <c r="AV422" s="227"/>
      <c r="AW422" s="227"/>
      <c r="AX422" s="227"/>
      <c r="AY422" s="227"/>
      <c r="AZ422" s="227"/>
      <c r="BA422" s="227"/>
      <c r="BB422" s="227"/>
      <c r="BC422" s="227"/>
      <c r="BD422" s="227"/>
      <c r="BE422" s="227"/>
      <c r="BF422" s="227"/>
      <c r="BG422" s="227"/>
      <c r="BH422" s="227"/>
      <c r="BI422" s="227"/>
    </row>
    <row r="423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  <c r="AB423" s="227"/>
      <c r="AC423" s="227"/>
      <c r="AD423" s="227"/>
      <c r="AE423" s="227"/>
      <c r="AF423" s="227"/>
      <c r="AG423" s="227"/>
      <c r="AH423" s="227"/>
      <c r="AI423" s="227"/>
      <c r="AJ423" s="227"/>
      <c r="AK423" s="227"/>
      <c r="AL423" s="227"/>
      <c r="AM423" s="227"/>
      <c r="AN423" s="227"/>
      <c r="AO423" s="227"/>
      <c r="AP423" s="227"/>
      <c r="AQ423" s="227"/>
      <c r="AR423" s="227"/>
      <c r="AS423" s="227"/>
      <c r="AT423" s="227"/>
      <c r="AU423" s="227"/>
      <c r="AV423" s="227"/>
      <c r="AW423" s="227"/>
      <c r="AX423" s="227"/>
      <c r="AY423" s="227"/>
      <c r="AZ423" s="227"/>
      <c r="BA423" s="227"/>
      <c r="BB423" s="227"/>
      <c r="BC423" s="227"/>
      <c r="BD423" s="227"/>
      <c r="BE423" s="227"/>
      <c r="BF423" s="227"/>
      <c r="BG423" s="227"/>
      <c r="BH423" s="227"/>
      <c r="BI423" s="227"/>
    </row>
    <row r="424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27"/>
      <c r="AL424" s="227"/>
      <c r="AM424" s="227"/>
      <c r="AN424" s="227"/>
      <c r="AO424" s="227"/>
      <c r="AP424" s="227"/>
      <c r="AQ424" s="227"/>
      <c r="AR424" s="227"/>
      <c r="AS424" s="227"/>
      <c r="AT424" s="227"/>
      <c r="AU424" s="227"/>
      <c r="AV424" s="227"/>
      <c r="AW424" s="227"/>
      <c r="AX424" s="227"/>
      <c r="AY424" s="227"/>
      <c r="AZ424" s="227"/>
      <c r="BA424" s="227"/>
      <c r="BB424" s="227"/>
      <c r="BC424" s="227"/>
      <c r="BD424" s="227"/>
      <c r="BE424" s="227"/>
      <c r="BF424" s="227"/>
      <c r="BG424" s="227"/>
      <c r="BH424" s="227"/>
      <c r="BI424" s="227"/>
    </row>
    <row r="425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  <c r="AB425" s="227"/>
      <c r="AC425" s="227"/>
      <c r="AD425" s="227"/>
      <c r="AE425" s="227"/>
      <c r="AF425" s="227"/>
      <c r="AG425" s="227"/>
      <c r="AH425" s="227"/>
      <c r="AI425" s="227"/>
      <c r="AJ425" s="227"/>
      <c r="AK425" s="227"/>
      <c r="AL425" s="227"/>
      <c r="AM425" s="227"/>
      <c r="AN425" s="227"/>
      <c r="AO425" s="227"/>
      <c r="AP425" s="227"/>
      <c r="AQ425" s="227"/>
      <c r="AR425" s="227"/>
      <c r="AS425" s="227"/>
      <c r="AT425" s="227"/>
      <c r="AU425" s="227"/>
      <c r="AV425" s="227"/>
      <c r="AW425" s="227"/>
      <c r="AX425" s="227"/>
      <c r="AY425" s="227"/>
      <c r="AZ425" s="227"/>
      <c r="BA425" s="227"/>
      <c r="BB425" s="227"/>
      <c r="BC425" s="227"/>
      <c r="BD425" s="227"/>
      <c r="BE425" s="227"/>
      <c r="BF425" s="227"/>
      <c r="BG425" s="227"/>
      <c r="BH425" s="227"/>
      <c r="BI425" s="227"/>
    </row>
    <row r="4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  <c r="AB426" s="227"/>
      <c r="AC426" s="227"/>
      <c r="AD426" s="227"/>
      <c r="AE426" s="227"/>
      <c r="AF426" s="227"/>
      <c r="AG426" s="227"/>
      <c r="AH426" s="227"/>
      <c r="AI426" s="227"/>
      <c r="AJ426" s="227"/>
      <c r="AK426" s="227"/>
      <c r="AL426" s="227"/>
      <c r="AM426" s="227"/>
      <c r="AN426" s="227"/>
      <c r="AO426" s="227"/>
      <c r="AP426" s="227"/>
      <c r="AQ426" s="227"/>
      <c r="AR426" s="227"/>
      <c r="AS426" s="227"/>
      <c r="AT426" s="227"/>
      <c r="AU426" s="227"/>
      <c r="AV426" s="227"/>
      <c r="AW426" s="227"/>
      <c r="AX426" s="227"/>
      <c r="AY426" s="227"/>
      <c r="AZ426" s="227"/>
      <c r="BA426" s="227"/>
      <c r="BB426" s="227"/>
      <c r="BC426" s="227"/>
      <c r="BD426" s="227"/>
      <c r="BE426" s="227"/>
      <c r="BF426" s="227"/>
      <c r="BG426" s="227"/>
      <c r="BH426" s="227"/>
      <c r="BI426" s="227"/>
    </row>
    <row r="427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7"/>
      <c r="AG427" s="227"/>
      <c r="AH427" s="227"/>
      <c r="AI427" s="227"/>
      <c r="AJ427" s="227"/>
      <c r="AK427" s="227"/>
      <c r="AL427" s="227"/>
      <c r="AM427" s="227"/>
      <c r="AN427" s="227"/>
      <c r="AO427" s="227"/>
      <c r="AP427" s="227"/>
      <c r="AQ427" s="227"/>
      <c r="AR427" s="227"/>
      <c r="AS427" s="227"/>
      <c r="AT427" s="227"/>
      <c r="AU427" s="227"/>
      <c r="AV427" s="227"/>
      <c r="AW427" s="227"/>
      <c r="AX427" s="227"/>
      <c r="AY427" s="227"/>
      <c r="AZ427" s="227"/>
      <c r="BA427" s="227"/>
      <c r="BB427" s="227"/>
      <c r="BC427" s="227"/>
      <c r="BD427" s="227"/>
      <c r="BE427" s="227"/>
      <c r="BF427" s="227"/>
      <c r="BG427" s="227"/>
      <c r="BH427" s="227"/>
      <c r="BI427" s="227"/>
    </row>
    <row r="428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  <c r="AB428" s="227"/>
      <c r="AC428" s="227"/>
      <c r="AD428" s="227"/>
      <c r="AE428" s="227"/>
      <c r="AF428" s="227"/>
      <c r="AG428" s="227"/>
      <c r="AH428" s="227"/>
      <c r="AI428" s="227"/>
      <c r="AJ428" s="227"/>
      <c r="AK428" s="227"/>
      <c r="AL428" s="227"/>
      <c r="AM428" s="227"/>
      <c r="AN428" s="227"/>
      <c r="AO428" s="227"/>
      <c r="AP428" s="227"/>
      <c r="AQ428" s="227"/>
      <c r="AR428" s="227"/>
      <c r="AS428" s="227"/>
      <c r="AT428" s="227"/>
      <c r="AU428" s="227"/>
      <c r="AV428" s="227"/>
      <c r="AW428" s="227"/>
      <c r="AX428" s="227"/>
      <c r="AY428" s="227"/>
      <c r="AZ428" s="227"/>
      <c r="BA428" s="227"/>
      <c r="BB428" s="227"/>
      <c r="BC428" s="227"/>
      <c r="BD428" s="227"/>
      <c r="BE428" s="227"/>
      <c r="BF428" s="227"/>
      <c r="BG428" s="227"/>
      <c r="BH428" s="227"/>
      <c r="BI428" s="227"/>
    </row>
    <row r="429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  <c r="AB429" s="227"/>
      <c r="AC429" s="227"/>
      <c r="AD429" s="227"/>
      <c r="AE429" s="227"/>
      <c r="AF429" s="227"/>
      <c r="AG429" s="227"/>
      <c r="AH429" s="227"/>
      <c r="AI429" s="227"/>
      <c r="AJ429" s="227"/>
      <c r="AK429" s="227"/>
      <c r="AL429" s="227"/>
      <c r="AM429" s="227"/>
      <c r="AN429" s="227"/>
      <c r="AO429" s="227"/>
      <c r="AP429" s="227"/>
      <c r="AQ429" s="227"/>
      <c r="AR429" s="227"/>
      <c r="AS429" s="227"/>
      <c r="AT429" s="227"/>
      <c r="AU429" s="227"/>
      <c r="AV429" s="227"/>
      <c r="AW429" s="227"/>
      <c r="AX429" s="227"/>
      <c r="AY429" s="227"/>
      <c r="AZ429" s="227"/>
      <c r="BA429" s="227"/>
      <c r="BB429" s="227"/>
      <c r="BC429" s="227"/>
      <c r="BD429" s="227"/>
      <c r="BE429" s="227"/>
      <c r="BF429" s="227"/>
      <c r="BG429" s="227"/>
      <c r="BH429" s="227"/>
      <c r="BI429" s="227"/>
    </row>
    <row r="430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  <c r="AB430" s="227"/>
      <c r="AC430" s="227"/>
      <c r="AD430" s="227"/>
      <c r="AE430" s="227"/>
      <c r="AF430" s="227"/>
      <c r="AG430" s="227"/>
      <c r="AH430" s="227"/>
      <c r="AI430" s="227"/>
      <c r="AJ430" s="227"/>
      <c r="AK430" s="227"/>
      <c r="AL430" s="227"/>
      <c r="AM430" s="227"/>
      <c r="AN430" s="227"/>
      <c r="AO430" s="227"/>
      <c r="AP430" s="227"/>
      <c r="AQ430" s="227"/>
      <c r="AR430" s="227"/>
      <c r="AS430" s="227"/>
      <c r="AT430" s="227"/>
      <c r="AU430" s="227"/>
      <c r="AV430" s="227"/>
      <c r="AW430" s="227"/>
      <c r="AX430" s="227"/>
      <c r="AY430" s="227"/>
      <c r="AZ430" s="227"/>
      <c r="BA430" s="227"/>
      <c r="BB430" s="227"/>
      <c r="BC430" s="227"/>
      <c r="BD430" s="227"/>
      <c r="BE430" s="227"/>
      <c r="BF430" s="227"/>
      <c r="BG430" s="227"/>
      <c r="BH430" s="227"/>
      <c r="BI430" s="227"/>
    </row>
    <row r="43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  <c r="AB431" s="227"/>
      <c r="AC431" s="227"/>
      <c r="AD431" s="227"/>
      <c r="AE431" s="227"/>
      <c r="AF431" s="227"/>
      <c r="AG431" s="227"/>
      <c r="AH431" s="227"/>
      <c r="AI431" s="227"/>
      <c r="AJ431" s="227"/>
      <c r="AK431" s="227"/>
      <c r="AL431" s="227"/>
      <c r="AM431" s="227"/>
      <c r="AN431" s="227"/>
      <c r="AO431" s="227"/>
      <c r="AP431" s="227"/>
      <c r="AQ431" s="227"/>
      <c r="AR431" s="227"/>
      <c r="AS431" s="227"/>
      <c r="AT431" s="227"/>
      <c r="AU431" s="227"/>
      <c r="AV431" s="227"/>
      <c r="AW431" s="227"/>
      <c r="AX431" s="227"/>
      <c r="AY431" s="227"/>
      <c r="AZ431" s="227"/>
      <c r="BA431" s="227"/>
      <c r="BB431" s="227"/>
      <c r="BC431" s="227"/>
      <c r="BD431" s="227"/>
      <c r="BE431" s="227"/>
      <c r="BF431" s="227"/>
      <c r="BG431" s="227"/>
      <c r="BH431" s="227"/>
      <c r="BI431" s="227"/>
    </row>
    <row r="432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  <c r="AB432" s="227"/>
      <c r="AC432" s="227"/>
      <c r="AD432" s="227"/>
      <c r="AE432" s="227"/>
      <c r="AF432" s="227"/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27"/>
      <c r="BC432" s="227"/>
      <c r="BD432" s="227"/>
      <c r="BE432" s="227"/>
      <c r="BF432" s="227"/>
      <c r="BG432" s="227"/>
      <c r="BH432" s="227"/>
      <c r="BI432" s="227"/>
    </row>
    <row r="433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  <c r="AB433" s="227"/>
      <c r="AC433" s="227"/>
      <c r="AD433" s="227"/>
      <c r="AE433" s="227"/>
      <c r="AF433" s="227"/>
      <c r="AG433" s="227"/>
      <c r="AH433" s="227"/>
      <c r="AI433" s="227"/>
      <c r="AJ433" s="227"/>
      <c r="AK433" s="227"/>
      <c r="AL433" s="227"/>
      <c r="AM433" s="227"/>
      <c r="AN433" s="227"/>
      <c r="AO433" s="227"/>
      <c r="AP433" s="227"/>
      <c r="AQ433" s="227"/>
      <c r="AR433" s="227"/>
      <c r="AS433" s="227"/>
      <c r="AT433" s="227"/>
      <c r="AU433" s="227"/>
      <c r="AV433" s="227"/>
      <c r="AW433" s="227"/>
      <c r="AX433" s="227"/>
      <c r="AY433" s="227"/>
      <c r="AZ433" s="227"/>
      <c r="BA433" s="227"/>
      <c r="BB433" s="227"/>
      <c r="BC433" s="227"/>
      <c r="BD433" s="227"/>
      <c r="BE433" s="227"/>
      <c r="BF433" s="227"/>
      <c r="BG433" s="227"/>
      <c r="BH433" s="227"/>
      <c r="BI433" s="227"/>
    </row>
    <row r="434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  <c r="AB434" s="227"/>
      <c r="AC434" s="227"/>
      <c r="AD434" s="227"/>
      <c r="AE434" s="227"/>
      <c r="AF434" s="227"/>
      <c r="AG434" s="227"/>
      <c r="AH434" s="227"/>
      <c r="AI434" s="227"/>
      <c r="AJ434" s="227"/>
      <c r="AK434" s="227"/>
      <c r="AL434" s="227"/>
      <c r="AM434" s="227"/>
      <c r="AN434" s="227"/>
      <c r="AO434" s="227"/>
      <c r="AP434" s="227"/>
      <c r="AQ434" s="227"/>
      <c r="AR434" s="227"/>
      <c r="AS434" s="227"/>
      <c r="AT434" s="227"/>
      <c r="AU434" s="227"/>
      <c r="AV434" s="227"/>
      <c r="AW434" s="227"/>
      <c r="AX434" s="227"/>
      <c r="AY434" s="227"/>
      <c r="AZ434" s="227"/>
      <c r="BA434" s="227"/>
      <c r="BB434" s="227"/>
      <c r="BC434" s="227"/>
      <c r="BD434" s="227"/>
      <c r="BE434" s="227"/>
      <c r="BF434" s="227"/>
      <c r="BG434" s="227"/>
      <c r="BH434" s="227"/>
      <c r="BI434" s="227"/>
    </row>
    <row r="435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  <c r="AB435" s="227"/>
      <c r="AC435" s="227"/>
      <c r="AD435" s="227"/>
      <c r="AE435" s="227"/>
      <c r="AF435" s="227"/>
      <c r="AG435" s="227"/>
      <c r="AH435" s="227"/>
      <c r="AI435" s="227"/>
      <c r="AJ435" s="227"/>
      <c r="AK435" s="227"/>
      <c r="AL435" s="227"/>
      <c r="AM435" s="227"/>
      <c r="AN435" s="227"/>
      <c r="AO435" s="227"/>
      <c r="AP435" s="227"/>
      <c r="AQ435" s="227"/>
      <c r="AR435" s="227"/>
      <c r="AS435" s="227"/>
      <c r="AT435" s="227"/>
      <c r="AU435" s="227"/>
      <c r="AV435" s="227"/>
      <c r="AW435" s="227"/>
      <c r="AX435" s="227"/>
      <c r="AY435" s="227"/>
      <c r="AZ435" s="227"/>
      <c r="BA435" s="227"/>
      <c r="BB435" s="227"/>
      <c r="BC435" s="227"/>
      <c r="BD435" s="227"/>
      <c r="BE435" s="227"/>
      <c r="BF435" s="227"/>
      <c r="BG435" s="227"/>
      <c r="BH435" s="227"/>
      <c r="BI435" s="227"/>
    </row>
    <row r="43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27"/>
      <c r="AL436" s="227"/>
      <c r="AM436" s="227"/>
      <c r="AN436" s="227"/>
      <c r="AO436" s="227"/>
      <c r="AP436" s="227"/>
      <c r="AQ436" s="227"/>
      <c r="AR436" s="227"/>
      <c r="AS436" s="227"/>
      <c r="AT436" s="227"/>
      <c r="AU436" s="227"/>
      <c r="AV436" s="227"/>
      <c r="AW436" s="227"/>
      <c r="AX436" s="227"/>
      <c r="AY436" s="227"/>
      <c r="AZ436" s="227"/>
      <c r="BA436" s="227"/>
      <c r="BB436" s="227"/>
      <c r="BC436" s="227"/>
      <c r="BD436" s="227"/>
      <c r="BE436" s="227"/>
      <c r="BF436" s="227"/>
      <c r="BG436" s="227"/>
      <c r="BH436" s="227"/>
      <c r="BI436" s="227"/>
    </row>
    <row r="437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  <c r="AB437" s="227"/>
      <c r="AC437" s="227"/>
      <c r="AD437" s="227"/>
      <c r="AE437" s="227"/>
      <c r="AF437" s="227"/>
      <c r="AG437" s="227"/>
      <c r="AH437" s="227"/>
      <c r="AI437" s="227"/>
      <c r="AJ437" s="227"/>
      <c r="AK437" s="227"/>
      <c r="AL437" s="227"/>
      <c r="AM437" s="227"/>
      <c r="AN437" s="227"/>
      <c r="AO437" s="227"/>
      <c r="AP437" s="227"/>
      <c r="AQ437" s="227"/>
      <c r="AR437" s="227"/>
      <c r="AS437" s="227"/>
      <c r="AT437" s="227"/>
      <c r="AU437" s="227"/>
      <c r="AV437" s="227"/>
      <c r="AW437" s="227"/>
      <c r="AX437" s="227"/>
      <c r="AY437" s="227"/>
      <c r="AZ437" s="227"/>
      <c r="BA437" s="227"/>
      <c r="BB437" s="227"/>
      <c r="BC437" s="227"/>
      <c r="BD437" s="227"/>
      <c r="BE437" s="227"/>
      <c r="BF437" s="227"/>
      <c r="BG437" s="227"/>
      <c r="BH437" s="227"/>
      <c r="BI437" s="227"/>
    </row>
    <row r="438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  <c r="AB438" s="227"/>
      <c r="AC438" s="227"/>
      <c r="AD438" s="227"/>
      <c r="AE438" s="227"/>
      <c r="AF438" s="227"/>
      <c r="AG438" s="227"/>
      <c r="AH438" s="227"/>
      <c r="AI438" s="227"/>
      <c r="AJ438" s="227"/>
      <c r="AK438" s="227"/>
      <c r="AL438" s="227"/>
      <c r="AM438" s="227"/>
      <c r="AN438" s="227"/>
      <c r="AO438" s="227"/>
      <c r="AP438" s="227"/>
      <c r="AQ438" s="227"/>
      <c r="AR438" s="227"/>
      <c r="AS438" s="227"/>
      <c r="AT438" s="227"/>
      <c r="AU438" s="227"/>
      <c r="AV438" s="227"/>
      <c r="AW438" s="227"/>
      <c r="AX438" s="227"/>
      <c r="AY438" s="227"/>
      <c r="AZ438" s="227"/>
      <c r="BA438" s="227"/>
      <c r="BB438" s="227"/>
      <c r="BC438" s="227"/>
      <c r="BD438" s="227"/>
      <c r="BE438" s="227"/>
      <c r="BF438" s="227"/>
      <c r="BG438" s="227"/>
      <c r="BH438" s="227"/>
      <c r="BI438" s="227"/>
    </row>
    <row r="439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  <c r="AB439" s="227"/>
      <c r="AC439" s="227"/>
      <c r="AD439" s="227"/>
      <c r="AE439" s="227"/>
      <c r="AF439" s="227"/>
      <c r="AG439" s="227"/>
      <c r="AH439" s="227"/>
      <c r="AI439" s="227"/>
      <c r="AJ439" s="227"/>
      <c r="AK439" s="227"/>
      <c r="AL439" s="227"/>
      <c r="AM439" s="227"/>
      <c r="AN439" s="227"/>
      <c r="AO439" s="227"/>
      <c r="AP439" s="227"/>
      <c r="AQ439" s="227"/>
      <c r="AR439" s="227"/>
      <c r="AS439" s="227"/>
      <c r="AT439" s="227"/>
      <c r="AU439" s="227"/>
      <c r="AV439" s="227"/>
      <c r="AW439" s="227"/>
      <c r="AX439" s="227"/>
      <c r="AY439" s="227"/>
      <c r="AZ439" s="227"/>
      <c r="BA439" s="227"/>
      <c r="BB439" s="227"/>
      <c r="BC439" s="227"/>
      <c r="BD439" s="227"/>
      <c r="BE439" s="227"/>
      <c r="BF439" s="227"/>
      <c r="BG439" s="227"/>
      <c r="BH439" s="227"/>
      <c r="BI439" s="227"/>
    </row>
    <row r="440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  <c r="AB440" s="227"/>
      <c r="AC440" s="227"/>
      <c r="AD440" s="227"/>
      <c r="AE440" s="227"/>
      <c r="AF440" s="227"/>
      <c r="AG440" s="227"/>
      <c r="AH440" s="227"/>
      <c r="AI440" s="227"/>
      <c r="AJ440" s="227"/>
      <c r="AK440" s="227"/>
      <c r="AL440" s="227"/>
      <c r="AM440" s="227"/>
      <c r="AN440" s="227"/>
      <c r="AO440" s="227"/>
      <c r="AP440" s="227"/>
      <c r="AQ440" s="227"/>
      <c r="AR440" s="227"/>
      <c r="AS440" s="227"/>
      <c r="AT440" s="227"/>
      <c r="AU440" s="227"/>
      <c r="AV440" s="227"/>
      <c r="AW440" s="227"/>
      <c r="AX440" s="227"/>
      <c r="AY440" s="227"/>
      <c r="AZ440" s="227"/>
      <c r="BA440" s="227"/>
      <c r="BB440" s="227"/>
      <c r="BC440" s="227"/>
      <c r="BD440" s="227"/>
      <c r="BE440" s="227"/>
      <c r="BF440" s="227"/>
      <c r="BG440" s="227"/>
      <c r="BH440" s="227"/>
      <c r="BI440" s="227"/>
    </row>
    <row r="44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  <c r="AB441" s="227"/>
      <c r="AC441" s="227"/>
      <c r="AD441" s="227"/>
      <c r="AE441" s="227"/>
      <c r="AF441" s="227"/>
      <c r="AG441" s="227"/>
      <c r="AH441" s="227"/>
      <c r="AI441" s="227"/>
      <c r="AJ441" s="227"/>
      <c r="AK441" s="227"/>
      <c r="AL441" s="227"/>
      <c r="AM441" s="227"/>
      <c r="AN441" s="227"/>
      <c r="AO441" s="227"/>
      <c r="AP441" s="227"/>
      <c r="AQ441" s="227"/>
      <c r="AR441" s="227"/>
      <c r="AS441" s="227"/>
      <c r="AT441" s="227"/>
      <c r="AU441" s="227"/>
      <c r="AV441" s="227"/>
      <c r="AW441" s="227"/>
      <c r="AX441" s="227"/>
      <c r="AY441" s="227"/>
      <c r="AZ441" s="227"/>
      <c r="BA441" s="227"/>
      <c r="BB441" s="227"/>
      <c r="BC441" s="227"/>
      <c r="BD441" s="227"/>
      <c r="BE441" s="227"/>
      <c r="BF441" s="227"/>
      <c r="BG441" s="227"/>
      <c r="BH441" s="227"/>
      <c r="BI441" s="227"/>
    </row>
    <row r="442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  <c r="AB442" s="227"/>
      <c r="AC442" s="227"/>
      <c r="AD442" s="227"/>
      <c r="AE442" s="227"/>
      <c r="AF442" s="227"/>
      <c r="AG442" s="227"/>
      <c r="AH442" s="227"/>
      <c r="AI442" s="227"/>
      <c r="AJ442" s="227"/>
      <c r="AK442" s="227"/>
      <c r="AL442" s="227"/>
      <c r="AM442" s="227"/>
      <c r="AN442" s="227"/>
      <c r="AO442" s="227"/>
      <c r="AP442" s="227"/>
      <c r="AQ442" s="227"/>
      <c r="AR442" s="227"/>
      <c r="AS442" s="227"/>
      <c r="AT442" s="227"/>
      <c r="AU442" s="227"/>
      <c r="AV442" s="227"/>
      <c r="AW442" s="227"/>
      <c r="AX442" s="227"/>
      <c r="AY442" s="227"/>
      <c r="AZ442" s="227"/>
      <c r="BA442" s="227"/>
      <c r="BB442" s="227"/>
      <c r="BC442" s="227"/>
      <c r="BD442" s="227"/>
      <c r="BE442" s="227"/>
      <c r="BF442" s="227"/>
      <c r="BG442" s="227"/>
      <c r="BH442" s="227"/>
      <c r="BI442" s="227"/>
    </row>
    <row r="443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  <c r="AB443" s="227"/>
      <c r="AC443" s="227"/>
      <c r="AD443" s="227"/>
      <c r="AE443" s="227"/>
      <c r="AF443" s="227"/>
      <c r="AG443" s="227"/>
      <c r="AH443" s="227"/>
      <c r="AI443" s="227"/>
      <c r="AJ443" s="227"/>
      <c r="AK443" s="227"/>
      <c r="AL443" s="227"/>
      <c r="AM443" s="227"/>
      <c r="AN443" s="227"/>
      <c r="AO443" s="227"/>
      <c r="AP443" s="227"/>
      <c r="AQ443" s="227"/>
      <c r="AR443" s="227"/>
      <c r="AS443" s="227"/>
      <c r="AT443" s="227"/>
      <c r="AU443" s="227"/>
      <c r="AV443" s="227"/>
      <c r="AW443" s="227"/>
      <c r="AX443" s="227"/>
      <c r="AY443" s="227"/>
      <c r="AZ443" s="227"/>
      <c r="BA443" s="227"/>
      <c r="BB443" s="227"/>
      <c r="BC443" s="227"/>
      <c r="BD443" s="227"/>
      <c r="BE443" s="227"/>
      <c r="BF443" s="227"/>
      <c r="BG443" s="227"/>
      <c r="BH443" s="227"/>
      <c r="BI443" s="227"/>
    </row>
    <row r="444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  <c r="AB444" s="227"/>
      <c r="AC444" s="227"/>
      <c r="AD444" s="227"/>
      <c r="AE444" s="227"/>
      <c r="AF444" s="227"/>
      <c r="AG444" s="227"/>
      <c r="AH444" s="227"/>
      <c r="AI444" s="227"/>
      <c r="AJ444" s="227"/>
      <c r="AK444" s="227"/>
      <c r="AL444" s="227"/>
      <c r="AM444" s="227"/>
      <c r="AN444" s="227"/>
      <c r="AO444" s="227"/>
      <c r="AP444" s="227"/>
      <c r="AQ444" s="227"/>
      <c r="AR444" s="227"/>
      <c r="AS444" s="227"/>
      <c r="AT444" s="227"/>
      <c r="AU444" s="227"/>
      <c r="AV444" s="227"/>
      <c r="AW444" s="227"/>
      <c r="AX444" s="227"/>
      <c r="AY444" s="227"/>
      <c r="AZ444" s="227"/>
      <c r="BA444" s="227"/>
      <c r="BB444" s="227"/>
      <c r="BC444" s="227"/>
      <c r="BD444" s="227"/>
      <c r="BE444" s="227"/>
      <c r="BF444" s="227"/>
      <c r="BG444" s="227"/>
      <c r="BH444" s="227"/>
      <c r="BI444" s="227"/>
    </row>
    <row r="445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  <c r="AT445" s="227"/>
      <c r="AU445" s="227"/>
      <c r="AV445" s="227"/>
      <c r="AW445" s="227"/>
      <c r="AX445" s="227"/>
      <c r="AY445" s="227"/>
      <c r="AZ445" s="227"/>
      <c r="BA445" s="227"/>
      <c r="BB445" s="227"/>
      <c r="BC445" s="227"/>
      <c r="BD445" s="227"/>
      <c r="BE445" s="227"/>
      <c r="BF445" s="227"/>
      <c r="BG445" s="227"/>
      <c r="BH445" s="227"/>
      <c r="BI445" s="227"/>
    </row>
    <row r="44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  <c r="AB446" s="227"/>
      <c r="AC446" s="227"/>
      <c r="AD446" s="227"/>
      <c r="AE446" s="227"/>
      <c r="AF446" s="227"/>
      <c r="AG446" s="227"/>
      <c r="AH446" s="227"/>
      <c r="AI446" s="227"/>
      <c r="AJ446" s="227"/>
      <c r="AK446" s="227"/>
      <c r="AL446" s="227"/>
      <c r="AM446" s="227"/>
      <c r="AN446" s="227"/>
      <c r="AO446" s="227"/>
      <c r="AP446" s="227"/>
      <c r="AQ446" s="227"/>
      <c r="AR446" s="227"/>
      <c r="AS446" s="227"/>
      <c r="AT446" s="227"/>
      <c r="AU446" s="227"/>
      <c r="AV446" s="227"/>
      <c r="AW446" s="227"/>
      <c r="AX446" s="227"/>
      <c r="AY446" s="227"/>
      <c r="AZ446" s="227"/>
      <c r="BA446" s="227"/>
      <c r="BB446" s="227"/>
      <c r="BC446" s="227"/>
      <c r="BD446" s="227"/>
      <c r="BE446" s="227"/>
      <c r="BF446" s="227"/>
      <c r="BG446" s="227"/>
      <c r="BH446" s="227"/>
      <c r="BI446" s="227"/>
    </row>
    <row r="447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  <c r="AB447" s="227"/>
      <c r="AC447" s="227"/>
      <c r="AD447" s="227"/>
      <c r="AE447" s="227"/>
      <c r="AF447" s="227"/>
      <c r="AG447" s="227"/>
      <c r="AH447" s="227"/>
      <c r="AI447" s="227"/>
      <c r="AJ447" s="227"/>
      <c r="AK447" s="227"/>
      <c r="AL447" s="227"/>
      <c r="AM447" s="227"/>
      <c r="AN447" s="227"/>
      <c r="AO447" s="227"/>
      <c r="AP447" s="227"/>
      <c r="AQ447" s="227"/>
      <c r="AR447" s="227"/>
      <c r="AS447" s="227"/>
      <c r="AT447" s="227"/>
      <c r="AU447" s="227"/>
      <c r="AV447" s="227"/>
      <c r="AW447" s="227"/>
      <c r="AX447" s="227"/>
      <c r="AY447" s="227"/>
      <c r="AZ447" s="227"/>
      <c r="BA447" s="227"/>
      <c r="BB447" s="227"/>
      <c r="BC447" s="227"/>
      <c r="BD447" s="227"/>
      <c r="BE447" s="227"/>
      <c r="BF447" s="227"/>
      <c r="BG447" s="227"/>
      <c r="BH447" s="227"/>
      <c r="BI447" s="227"/>
    </row>
    <row r="448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  <c r="AT448" s="227"/>
      <c r="AU448" s="227"/>
      <c r="AV448" s="227"/>
      <c r="AW448" s="227"/>
      <c r="AX448" s="227"/>
      <c r="AY448" s="227"/>
      <c r="AZ448" s="227"/>
      <c r="BA448" s="227"/>
      <c r="BB448" s="227"/>
      <c r="BC448" s="227"/>
      <c r="BD448" s="227"/>
      <c r="BE448" s="227"/>
      <c r="BF448" s="227"/>
      <c r="BG448" s="227"/>
      <c r="BH448" s="227"/>
      <c r="BI448" s="227"/>
    </row>
    <row r="449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  <c r="AB449" s="227"/>
      <c r="AC449" s="227"/>
      <c r="AD449" s="227"/>
      <c r="AE449" s="227"/>
      <c r="AF449" s="227"/>
      <c r="AG449" s="227"/>
      <c r="AH449" s="227"/>
      <c r="AI449" s="227"/>
      <c r="AJ449" s="227"/>
      <c r="AK449" s="227"/>
      <c r="AL449" s="227"/>
      <c r="AM449" s="227"/>
      <c r="AN449" s="227"/>
      <c r="AO449" s="227"/>
      <c r="AP449" s="227"/>
      <c r="AQ449" s="227"/>
      <c r="AR449" s="227"/>
      <c r="AS449" s="227"/>
      <c r="AT449" s="227"/>
      <c r="AU449" s="227"/>
      <c r="AV449" s="227"/>
      <c r="AW449" s="227"/>
      <c r="AX449" s="227"/>
      <c r="AY449" s="227"/>
      <c r="AZ449" s="227"/>
      <c r="BA449" s="227"/>
      <c r="BB449" s="227"/>
      <c r="BC449" s="227"/>
      <c r="BD449" s="227"/>
      <c r="BE449" s="227"/>
      <c r="BF449" s="227"/>
      <c r="BG449" s="227"/>
      <c r="BH449" s="227"/>
      <c r="BI449" s="227"/>
    </row>
    <row r="450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  <c r="AB450" s="227"/>
      <c r="AC450" s="227"/>
      <c r="AD450" s="227"/>
      <c r="AE450" s="227"/>
      <c r="AF450" s="227"/>
      <c r="AG450" s="227"/>
      <c r="AH450" s="227"/>
      <c r="AI450" s="227"/>
      <c r="AJ450" s="227"/>
      <c r="AK450" s="227"/>
      <c r="AL450" s="227"/>
      <c r="AM450" s="227"/>
      <c r="AN450" s="227"/>
      <c r="AO450" s="227"/>
      <c r="AP450" s="227"/>
      <c r="AQ450" s="227"/>
      <c r="AR450" s="227"/>
      <c r="AS450" s="227"/>
      <c r="AT450" s="227"/>
      <c r="AU450" s="227"/>
      <c r="AV450" s="227"/>
      <c r="AW450" s="227"/>
      <c r="AX450" s="227"/>
      <c r="AY450" s="227"/>
      <c r="AZ450" s="227"/>
      <c r="BA450" s="227"/>
      <c r="BB450" s="227"/>
      <c r="BC450" s="227"/>
      <c r="BD450" s="227"/>
      <c r="BE450" s="227"/>
      <c r="BF450" s="227"/>
      <c r="BG450" s="227"/>
      <c r="BH450" s="227"/>
      <c r="BI450" s="227"/>
    </row>
    <row r="45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  <c r="AB451" s="227"/>
      <c r="AC451" s="227"/>
      <c r="AD451" s="227"/>
      <c r="AE451" s="227"/>
      <c r="AF451" s="227"/>
      <c r="AG451" s="227"/>
      <c r="AH451" s="227"/>
      <c r="AI451" s="227"/>
      <c r="AJ451" s="227"/>
      <c r="AK451" s="227"/>
      <c r="AL451" s="227"/>
      <c r="AM451" s="227"/>
      <c r="AN451" s="227"/>
      <c r="AO451" s="227"/>
      <c r="AP451" s="227"/>
      <c r="AQ451" s="227"/>
      <c r="AR451" s="227"/>
      <c r="AS451" s="227"/>
      <c r="AT451" s="227"/>
      <c r="AU451" s="227"/>
      <c r="AV451" s="227"/>
      <c r="AW451" s="227"/>
      <c r="AX451" s="227"/>
      <c r="AY451" s="227"/>
      <c r="AZ451" s="227"/>
      <c r="BA451" s="227"/>
      <c r="BB451" s="227"/>
      <c r="BC451" s="227"/>
      <c r="BD451" s="227"/>
      <c r="BE451" s="227"/>
      <c r="BF451" s="227"/>
      <c r="BG451" s="227"/>
      <c r="BH451" s="227"/>
      <c r="BI451" s="227"/>
    </row>
    <row r="452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  <c r="AB452" s="227"/>
      <c r="AC452" s="227"/>
      <c r="AD452" s="227"/>
      <c r="AE452" s="227"/>
      <c r="AF452" s="227"/>
      <c r="AG452" s="227"/>
      <c r="AH452" s="227"/>
      <c r="AI452" s="227"/>
      <c r="AJ452" s="227"/>
      <c r="AK452" s="227"/>
      <c r="AL452" s="227"/>
      <c r="AM452" s="227"/>
      <c r="AN452" s="227"/>
      <c r="AO452" s="227"/>
      <c r="AP452" s="227"/>
      <c r="AQ452" s="227"/>
      <c r="AR452" s="227"/>
      <c r="AS452" s="227"/>
      <c r="AT452" s="227"/>
      <c r="AU452" s="227"/>
      <c r="AV452" s="227"/>
      <c r="AW452" s="227"/>
      <c r="AX452" s="227"/>
      <c r="AY452" s="227"/>
      <c r="AZ452" s="227"/>
      <c r="BA452" s="227"/>
      <c r="BB452" s="227"/>
      <c r="BC452" s="227"/>
      <c r="BD452" s="227"/>
      <c r="BE452" s="227"/>
      <c r="BF452" s="227"/>
      <c r="BG452" s="227"/>
      <c r="BH452" s="227"/>
      <c r="BI452" s="227"/>
    </row>
    <row r="453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  <c r="AB453" s="227"/>
      <c r="AC453" s="227"/>
      <c r="AD453" s="227"/>
      <c r="AE453" s="227"/>
      <c r="AF453" s="227"/>
      <c r="AG453" s="227"/>
      <c r="AH453" s="227"/>
      <c r="AI453" s="227"/>
      <c r="AJ453" s="227"/>
      <c r="AK453" s="227"/>
      <c r="AL453" s="227"/>
      <c r="AM453" s="227"/>
      <c r="AN453" s="227"/>
      <c r="AO453" s="227"/>
      <c r="AP453" s="227"/>
      <c r="AQ453" s="227"/>
      <c r="AR453" s="227"/>
      <c r="AS453" s="227"/>
      <c r="AT453" s="227"/>
      <c r="AU453" s="227"/>
      <c r="AV453" s="227"/>
      <c r="AW453" s="227"/>
      <c r="AX453" s="227"/>
      <c r="AY453" s="227"/>
      <c r="AZ453" s="227"/>
      <c r="BA453" s="227"/>
      <c r="BB453" s="227"/>
      <c r="BC453" s="227"/>
      <c r="BD453" s="227"/>
      <c r="BE453" s="227"/>
      <c r="BF453" s="227"/>
      <c r="BG453" s="227"/>
      <c r="BH453" s="227"/>
      <c r="BI453" s="227"/>
    </row>
    <row r="454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  <c r="AB454" s="227"/>
      <c r="AC454" s="227"/>
      <c r="AD454" s="227"/>
      <c r="AE454" s="227"/>
      <c r="AF454" s="227"/>
      <c r="AG454" s="227"/>
      <c r="AH454" s="227"/>
      <c r="AI454" s="227"/>
      <c r="AJ454" s="227"/>
      <c r="AK454" s="227"/>
      <c r="AL454" s="227"/>
      <c r="AM454" s="227"/>
      <c r="AN454" s="227"/>
      <c r="AO454" s="227"/>
      <c r="AP454" s="227"/>
      <c r="AQ454" s="227"/>
      <c r="AR454" s="227"/>
      <c r="AS454" s="227"/>
      <c r="AT454" s="227"/>
      <c r="AU454" s="227"/>
      <c r="AV454" s="227"/>
      <c r="AW454" s="227"/>
      <c r="AX454" s="227"/>
      <c r="AY454" s="227"/>
      <c r="AZ454" s="227"/>
      <c r="BA454" s="227"/>
      <c r="BB454" s="227"/>
      <c r="BC454" s="227"/>
      <c r="BD454" s="227"/>
      <c r="BE454" s="227"/>
      <c r="BF454" s="227"/>
      <c r="BG454" s="227"/>
      <c r="BH454" s="227"/>
      <c r="BI454" s="227"/>
    </row>
    <row r="455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  <c r="AB455" s="227"/>
      <c r="AC455" s="227"/>
      <c r="AD455" s="227"/>
      <c r="AE455" s="227"/>
      <c r="AF455" s="227"/>
      <c r="AG455" s="227"/>
      <c r="AH455" s="227"/>
      <c r="AI455" s="227"/>
      <c r="AJ455" s="227"/>
      <c r="AK455" s="227"/>
      <c r="AL455" s="227"/>
      <c r="AM455" s="227"/>
      <c r="AN455" s="227"/>
      <c r="AO455" s="227"/>
      <c r="AP455" s="227"/>
      <c r="AQ455" s="227"/>
      <c r="AR455" s="227"/>
      <c r="AS455" s="227"/>
      <c r="AT455" s="227"/>
      <c r="AU455" s="227"/>
      <c r="AV455" s="227"/>
      <c r="AW455" s="227"/>
      <c r="AX455" s="227"/>
      <c r="AY455" s="227"/>
      <c r="AZ455" s="227"/>
      <c r="BA455" s="227"/>
      <c r="BB455" s="227"/>
      <c r="BC455" s="227"/>
      <c r="BD455" s="227"/>
      <c r="BE455" s="227"/>
      <c r="BF455" s="227"/>
      <c r="BG455" s="227"/>
      <c r="BH455" s="227"/>
      <c r="BI455" s="227"/>
    </row>
    <row r="45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  <c r="AB456" s="227"/>
      <c r="AC456" s="227"/>
      <c r="AD456" s="227"/>
      <c r="AE456" s="227"/>
      <c r="AF456" s="227"/>
      <c r="AG456" s="227"/>
      <c r="AH456" s="227"/>
      <c r="AI456" s="227"/>
      <c r="AJ456" s="227"/>
      <c r="AK456" s="227"/>
      <c r="AL456" s="227"/>
      <c r="AM456" s="227"/>
      <c r="AN456" s="227"/>
      <c r="AO456" s="227"/>
      <c r="AP456" s="227"/>
      <c r="AQ456" s="227"/>
      <c r="AR456" s="227"/>
      <c r="AS456" s="227"/>
      <c r="AT456" s="227"/>
      <c r="AU456" s="227"/>
      <c r="AV456" s="227"/>
      <c r="AW456" s="227"/>
      <c r="AX456" s="227"/>
      <c r="AY456" s="227"/>
      <c r="AZ456" s="227"/>
      <c r="BA456" s="227"/>
      <c r="BB456" s="227"/>
      <c r="BC456" s="227"/>
      <c r="BD456" s="227"/>
      <c r="BE456" s="227"/>
      <c r="BF456" s="227"/>
      <c r="BG456" s="227"/>
      <c r="BH456" s="227"/>
      <c r="BI456" s="227"/>
    </row>
    <row r="457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  <c r="AB457" s="227"/>
      <c r="AC457" s="227"/>
      <c r="AD457" s="227"/>
      <c r="AE457" s="227"/>
      <c r="AF457" s="227"/>
      <c r="AG457" s="227"/>
      <c r="AH457" s="227"/>
      <c r="AI457" s="227"/>
      <c r="AJ457" s="227"/>
      <c r="AK457" s="227"/>
      <c r="AL457" s="227"/>
      <c r="AM457" s="227"/>
      <c r="AN457" s="227"/>
      <c r="AO457" s="227"/>
      <c r="AP457" s="227"/>
      <c r="AQ457" s="227"/>
      <c r="AR457" s="227"/>
      <c r="AS457" s="227"/>
      <c r="AT457" s="227"/>
      <c r="AU457" s="227"/>
      <c r="AV457" s="227"/>
      <c r="AW457" s="227"/>
      <c r="AX457" s="227"/>
      <c r="AY457" s="227"/>
      <c r="AZ457" s="227"/>
      <c r="BA457" s="227"/>
      <c r="BB457" s="227"/>
      <c r="BC457" s="227"/>
      <c r="BD457" s="227"/>
      <c r="BE457" s="227"/>
      <c r="BF457" s="227"/>
      <c r="BG457" s="227"/>
      <c r="BH457" s="227"/>
      <c r="BI457" s="227"/>
    </row>
    <row r="458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  <c r="AB458" s="227"/>
      <c r="AC458" s="227"/>
      <c r="AD458" s="227"/>
      <c r="AE458" s="227"/>
      <c r="AF458" s="227"/>
      <c r="AG458" s="227"/>
      <c r="AH458" s="227"/>
      <c r="AI458" s="227"/>
      <c r="AJ458" s="227"/>
      <c r="AK458" s="227"/>
      <c r="AL458" s="227"/>
      <c r="AM458" s="227"/>
      <c r="AN458" s="227"/>
      <c r="AO458" s="227"/>
      <c r="AP458" s="227"/>
      <c r="AQ458" s="227"/>
      <c r="AR458" s="227"/>
      <c r="AS458" s="227"/>
      <c r="AT458" s="227"/>
      <c r="AU458" s="227"/>
      <c r="AV458" s="227"/>
      <c r="AW458" s="227"/>
      <c r="AX458" s="227"/>
      <c r="AY458" s="227"/>
      <c r="AZ458" s="227"/>
      <c r="BA458" s="227"/>
      <c r="BB458" s="227"/>
      <c r="BC458" s="227"/>
      <c r="BD458" s="227"/>
      <c r="BE458" s="227"/>
      <c r="BF458" s="227"/>
      <c r="BG458" s="227"/>
      <c r="BH458" s="227"/>
      <c r="BI458" s="227"/>
    </row>
    <row r="459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  <c r="AB459" s="227"/>
      <c r="AC459" s="227"/>
      <c r="AD459" s="227"/>
      <c r="AE459" s="227"/>
      <c r="AF459" s="227"/>
      <c r="AG459" s="227"/>
      <c r="AH459" s="227"/>
      <c r="AI459" s="227"/>
      <c r="AJ459" s="227"/>
      <c r="AK459" s="227"/>
      <c r="AL459" s="227"/>
      <c r="AM459" s="227"/>
      <c r="AN459" s="227"/>
      <c r="AO459" s="227"/>
      <c r="AP459" s="227"/>
      <c r="AQ459" s="227"/>
      <c r="AR459" s="227"/>
      <c r="AS459" s="227"/>
      <c r="AT459" s="227"/>
      <c r="AU459" s="227"/>
      <c r="AV459" s="227"/>
      <c r="AW459" s="227"/>
      <c r="AX459" s="227"/>
      <c r="AY459" s="227"/>
      <c r="AZ459" s="227"/>
      <c r="BA459" s="227"/>
      <c r="BB459" s="227"/>
      <c r="BC459" s="227"/>
      <c r="BD459" s="227"/>
      <c r="BE459" s="227"/>
      <c r="BF459" s="227"/>
      <c r="BG459" s="227"/>
      <c r="BH459" s="227"/>
      <c r="BI459" s="227"/>
    </row>
    <row r="460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27"/>
      <c r="AL460" s="227"/>
      <c r="AM460" s="227"/>
      <c r="AN460" s="227"/>
      <c r="AO460" s="227"/>
      <c r="AP460" s="227"/>
      <c r="AQ460" s="227"/>
      <c r="AR460" s="227"/>
      <c r="AS460" s="227"/>
      <c r="AT460" s="227"/>
      <c r="AU460" s="227"/>
      <c r="AV460" s="227"/>
      <c r="AW460" s="227"/>
      <c r="AX460" s="227"/>
      <c r="AY460" s="227"/>
      <c r="AZ460" s="227"/>
      <c r="BA460" s="227"/>
      <c r="BB460" s="227"/>
      <c r="BC460" s="227"/>
      <c r="BD460" s="227"/>
      <c r="BE460" s="227"/>
      <c r="BF460" s="227"/>
      <c r="BG460" s="227"/>
      <c r="BH460" s="227"/>
      <c r="BI460" s="227"/>
    </row>
    <row r="46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  <c r="AB461" s="227"/>
      <c r="AC461" s="227"/>
      <c r="AD461" s="227"/>
      <c r="AE461" s="227"/>
      <c r="AF461" s="227"/>
      <c r="AG461" s="227"/>
      <c r="AH461" s="227"/>
      <c r="AI461" s="227"/>
      <c r="AJ461" s="227"/>
      <c r="AK461" s="227"/>
      <c r="AL461" s="227"/>
      <c r="AM461" s="227"/>
      <c r="AN461" s="227"/>
      <c r="AO461" s="227"/>
      <c r="AP461" s="227"/>
      <c r="AQ461" s="227"/>
      <c r="AR461" s="227"/>
      <c r="AS461" s="227"/>
      <c r="AT461" s="227"/>
      <c r="AU461" s="227"/>
      <c r="AV461" s="227"/>
      <c r="AW461" s="227"/>
      <c r="AX461" s="227"/>
      <c r="AY461" s="227"/>
      <c r="AZ461" s="227"/>
      <c r="BA461" s="227"/>
      <c r="BB461" s="227"/>
      <c r="BC461" s="227"/>
      <c r="BD461" s="227"/>
      <c r="BE461" s="227"/>
      <c r="BF461" s="227"/>
      <c r="BG461" s="227"/>
      <c r="BH461" s="227"/>
      <c r="BI461" s="227"/>
    </row>
    <row r="462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  <c r="AB462" s="227"/>
      <c r="AC462" s="227"/>
      <c r="AD462" s="227"/>
      <c r="AE462" s="227"/>
      <c r="AF462" s="227"/>
      <c r="AG462" s="227"/>
      <c r="AH462" s="227"/>
      <c r="AI462" s="227"/>
      <c r="AJ462" s="227"/>
      <c r="AK462" s="227"/>
      <c r="AL462" s="227"/>
      <c r="AM462" s="227"/>
      <c r="AN462" s="227"/>
      <c r="AO462" s="227"/>
      <c r="AP462" s="227"/>
      <c r="AQ462" s="227"/>
      <c r="AR462" s="227"/>
      <c r="AS462" s="227"/>
      <c r="AT462" s="227"/>
      <c r="AU462" s="227"/>
      <c r="AV462" s="227"/>
      <c r="AW462" s="227"/>
      <c r="AX462" s="227"/>
      <c r="AY462" s="227"/>
      <c r="AZ462" s="227"/>
      <c r="BA462" s="227"/>
      <c r="BB462" s="227"/>
      <c r="BC462" s="227"/>
      <c r="BD462" s="227"/>
      <c r="BE462" s="227"/>
      <c r="BF462" s="227"/>
      <c r="BG462" s="227"/>
      <c r="BH462" s="227"/>
      <c r="BI462" s="227"/>
    </row>
    <row r="463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  <c r="AB463" s="227"/>
      <c r="AC463" s="227"/>
      <c r="AD463" s="227"/>
      <c r="AE463" s="227"/>
      <c r="AF463" s="227"/>
      <c r="AG463" s="227"/>
      <c r="AH463" s="227"/>
      <c r="AI463" s="227"/>
      <c r="AJ463" s="227"/>
      <c r="AK463" s="227"/>
      <c r="AL463" s="227"/>
      <c r="AM463" s="227"/>
      <c r="AN463" s="227"/>
      <c r="AO463" s="227"/>
      <c r="AP463" s="227"/>
      <c r="AQ463" s="227"/>
      <c r="AR463" s="227"/>
      <c r="AS463" s="227"/>
      <c r="AT463" s="227"/>
      <c r="AU463" s="227"/>
      <c r="AV463" s="227"/>
      <c r="AW463" s="227"/>
      <c r="AX463" s="227"/>
      <c r="AY463" s="227"/>
      <c r="AZ463" s="227"/>
      <c r="BA463" s="227"/>
      <c r="BB463" s="227"/>
      <c r="BC463" s="227"/>
      <c r="BD463" s="227"/>
      <c r="BE463" s="227"/>
      <c r="BF463" s="227"/>
      <c r="BG463" s="227"/>
      <c r="BH463" s="227"/>
      <c r="BI463" s="227"/>
    </row>
    <row r="464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  <c r="AB464" s="227"/>
      <c r="AC464" s="227"/>
      <c r="AD464" s="227"/>
      <c r="AE464" s="227"/>
      <c r="AF464" s="227"/>
      <c r="AG464" s="227"/>
      <c r="AH464" s="227"/>
      <c r="AI464" s="227"/>
      <c r="AJ464" s="227"/>
      <c r="AK464" s="227"/>
      <c r="AL464" s="227"/>
      <c r="AM464" s="227"/>
      <c r="AN464" s="227"/>
      <c r="AO464" s="227"/>
      <c r="AP464" s="227"/>
      <c r="AQ464" s="227"/>
      <c r="AR464" s="227"/>
      <c r="AS464" s="227"/>
      <c r="AT464" s="227"/>
      <c r="AU464" s="227"/>
      <c r="AV464" s="227"/>
      <c r="AW464" s="227"/>
      <c r="AX464" s="227"/>
      <c r="AY464" s="227"/>
      <c r="AZ464" s="227"/>
      <c r="BA464" s="227"/>
      <c r="BB464" s="227"/>
      <c r="BC464" s="227"/>
      <c r="BD464" s="227"/>
      <c r="BE464" s="227"/>
      <c r="BF464" s="227"/>
      <c r="BG464" s="227"/>
      <c r="BH464" s="227"/>
      <c r="BI464" s="227"/>
    </row>
    <row r="465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  <c r="AB465" s="227"/>
      <c r="AC465" s="227"/>
      <c r="AD465" s="227"/>
      <c r="AE465" s="227"/>
      <c r="AF465" s="227"/>
      <c r="AG465" s="227"/>
      <c r="AH465" s="227"/>
      <c r="AI465" s="227"/>
      <c r="AJ465" s="227"/>
      <c r="AK465" s="227"/>
      <c r="AL465" s="227"/>
      <c r="AM465" s="227"/>
      <c r="AN465" s="227"/>
      <c r="AO465" s="227"/>
      <c r="AP465" s="227"/>
      <c r="AQ465" s="227"/>
      <c r="AR465" s="227"/>
      <c r="AS465" s="227"/>
      <c r="AT465" s="227"/>
      <c r="AU465" s="227"/>
      <c r="AV465" s="227"/>
      <c r="AW465" s="227"/>
      <c r="AX465" s="227"/>
      <c r="AY465" s="227"/>
      <c r="AZ465" s="227"/>
      <c r="BA465" s="227"/>
      <c r="BB465" s="227"/>
      <c r="BC465" s="227"/>
      <c r="BD465" s="227"/>
      <c r="BE465" s="227"/>
      <c r="BF465" s="227"/>
      <c r="BG465" s="227"/>
      <c r="BH465" s="227"/>
      <c r="BI465" s="227"/>
    </row>
    <row r="46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  <c r="AB466" s="227"/>
      <c r="AC466" s="227"/>
      <c r="AD466" s="227"/>
      <c r="AE466" s="227"/>
      <c r="AF466" s="227"/>
      <c r="AG466" s="227"/>
      <c r="AH466" s="227"/>
      <c r="AI466" s="227"/>
      <c r="AJ466" s="227"/>
      <c r="AK466" s="227"/>
      <c r="AL466" s="227"/>
      <c r="AM466" s="227"/>
      <c r="AN466" s="227"/>
      <c r="AO466" s="227"/>
      <c r="AP466" s="227"/>
      <c r="AQ466" s="227"/>
      <c r="AR466" s="227"/>
      <c r="AS466" s="227"/>
      <c r="AT466" s="227"/>
      <c r="AU466" s="227"/>
      <c r="AV466" s="227"/>
      <c r="AW466" s="227"/>
      <c r="AX466" s="227"/>
      <c r="AY466" s="227"/>
      <c r="AZ466" s="227"/>
      <c r="BA466" s="227"/>
      <c r="BB466" s="227"/>
      <c r="BC466" s="227"/>
      <c r="BD466" s="227"/>
      <c r="BE466" s="227"/>
      <c r="BF466" s="227"/>
      <c r="BG466" s="227"/>
      <c r="BH466" s="227"/>
      <c r="BI466" s="227"/>
    </row>
    <row r="467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  <c r="AB467" s="227"/>
      <c r="AC467" s="227"/>
      <c r="AD467" s="227"/>
      <c r="AE467" s="227"/>
      <c r="AF467" s="227"/>
      <c r="AG467" s="227"/>
      <c r="AH467" s="227"/>
      <c r="AI467" s="227"/>
      <c r="AJ467" s="227"/>
      <c r="AK467" s="227"/>
      <c r="AL467" s="227"/>
      <c r="AM467" s="227"/>
      <c r="AN467" s="227"/>
      <c r="AO467" s="227"/>
      <c r="AP467" s="227"/>
      <c r="AQ467" s="227"/>
      <c r="AR467" s="227"/>
      <c r="AS467" s="227"/>
      <c r="AT467" s="227"/>
      <c r="AU467" s="227"/>
      <c r="AV467" s="227"/>
      <c r="AW467" s="227"/>
      <c r="AX467" s="227"/>
      <c r="AY467" s="227"/>
      <c r="AZ467" s="227"/>
      <c r="BA467" s="227"/>
      <c r="BB467" s="227"/>
      <c r="BC467" s="227"/>
      <c r="BD467" s="227"/>
      <c r="BE467" s="227"/>
      <c r="BF467" s="227"/>
      <c r="BG467" s="227"/>
      <c r="BH467" s="227"/>
      <c r="BI467" s="227"/>
    </row>
    <row r="468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  <c r="AB468" s="227"/>
      <c r="AC468" s="227"/>
      <c r="AD468" s="227"/>
      <c r="AE468" s="227"/>
      <c r="AF468" s="227"/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27"/>
      <c r="BC468" s="227"/>
      <c r="BD468" s="227"/>
      <c r="BE468" s="227"/>
      <c r="BF468" s="227"/>
      <c r="BG468" s="227"/>
      <c r="BH468" s="227"/>
      <c r="BI468" s="227"/>
    </row>
    <row r="469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  <c r="AB469" s="227"/>
      <c r="AC469" s="227"/>
      <c r="AD469" s="227"/>
      <c r="AE469" s="227"/>
      <c r="AF469" s="227"/>
      <c r="AG469" s="227"/>
      <c r="AH469" s="227"/>
      <c r="AI469" s="227"/>
      <c r="AJ469" s="227"/>
      <c r="AK469" s="227"/>
      <c r="AL469" s="227"/>
      <c r="AM469" s="227"/>
      <c r="AN469" s="227"/>
      <c r="AO469" s="227"/>
      <c r="AP469" s="227"/>
      <c r="AQ469" s="227"/>
      <c r="AR469" s="227"/>
      <c r="AS469" s="227"/>
      <c r="AT469" s="227"/>
      <c r="AU469" s="227"/>
      <c r="AV469" s="227"/>
      <c r="AW469" s="227"/>
      <c r="AX469" s="227"/>
      <c r="AY469" s="227"/>
      <c r="AZ469" s="227"/>
      <c r="BA469" s="227"/>
      <c r="BB469" s="227"/>
      <c r="BC469" s="227"/>
      <c r="BD469" s="227"/>
      <c r="BE469" s="227"/>
      <c r="BF469" s="227"/>
      <c r="BG469" s="227"/>
      <c r="BH469" s="227"/>
      <c r="BI469" s="227"/>
    </row>
    <row r="470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  <c r="AB470" s="227"/>
      <c r="AC470" s="227"/>
      <c r="AD470" s="227"/>
      <c r="AE470" s="227"/>
      <c r="AF470" s="227"/>
      <c r="AG470" s="227"/>
      <c r="AH470" s="227"/>
      <c r="AI470" s="227"/>
      <c r="AJ470" s="227"/>
      <c r="AK470" s="227"/>
      <c r="AL470" s="227"/>
      <c r="AM470" s="227"/>
      <c r="AN470" s="227"/>
      <c r="AO470" s="227"/>
      <c r="AP470" s="227"/>
      <c r="AQ470" s="227"/>
      <c r="AR470" s="227"/>
      <c r="AS470" s="227"/>
      <c r="AT470" s="227"/>
      <c r="AU470" s="227"/>
      <c r="AV470" s="227"/>
      <c r="AW470" s="227"/>
      <c r="AX470" s="227"/>
      <c r="AY470" s="227"/>
      <c r="AZ470" s="227"/>
      <c r="BA470" s="227"/>
      <c r="BB470" s="227"/>
      <c r="BC470" s="227"/>
      <c r="BD470" s="227"/>
      <c r="BE470" s="227"/>
      <c r="BF470" s="227"/>
      <c r="BG470" s="227"/>
      <c r="BH470" s="227"/>
      <c r="BI470" s="227"/>
    </row>
    <row r="47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  <c r="AB471" s="227"/>
      <c r="AC471" s="227"/>
      <c r="AD471" s="227"/>
      <c r="AE471" s="227"/>
      <c r="AF471" s="227"/>
      <c r="AG471" s="227"/>
      <c r="AH471" s="227"/>
      <c r="AI471" s="227"/>
      <c r="AJ471" s="227"/>
      <c r="AK471" s="227"/>
      <c r="AL471" s="227"/>
      <c r="AM471" s="227"/>
      <c r="AN471" s="227"/>
      <c r="AO471" s="227"/>
      <c r="AP471" s="227"/>
      <c r="AQ471" s="227"/>
      <c r="AR471" s="227"/>
      <c r="AS471" s="227"/>
      <c r="AT471" s="227"/>
      <c r="AU471" s="227"/>
      <c r="AV471" s="227"/>
      <c r="AW471" s="227"/>
      <c r="AX471" s="227"/>
      <c r="AY471" s="227"/>
      <c r="AZ471" s="227"/>
      <c r="BA471" s="227"/>
      <c r="BB471" s="227"/>
      <c r="BC471" s="227"/>
      <c r="BD471" s="227"/>
      <c r="BE471" s="227"/>
      <c r="BF471" s="227"/>
      <c r="BG471" s="227"/>
      <c r="BH471" s="227"/>
      <c r="BI471" s="227"/>
    </row>
    <row r="472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27"/>
      <c r="AL472" s="227"/>
      <c r="AM472" s="227"/>
      <c r="AN472" s="227"/>
      <c r="AO472" s="227"/>
      <c r="AP472" s="227"/>
      <c r="AQ472" s="227"/>
      <c r="AR472" s="227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227"/>
      <c r="BD472" s="227"/>
      <c r="BE472" s="227"/>
      <c r="BF472" s="227"/>
      <c r="BG472" s="227"/>
      <c r="BH472" s="227"/>
      <c r="BI472" s="227"/>
    </row>
    <row r="473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  <c r="AB473" s="227"/>
      <c r="AC473" s="227"/>
      <c r="AD473" s="227"/>
      <c r="AE473" s="227"/>
      <c r="AF473" s="227"/>
      <c r="AG473" s="227"/>
      <c r="AH473" s="227"/>
      <c r="AI473" s="227"/>
      <c r="AJ473" s="227"/>
      <c r="AK473" s="227"/>
      <c r="AL473" s="227"/>
      <c r="AM473" s="227"/>
      <c r="AN473" s="227"/>
      <c r="AO473" s="227"/>
      <c r="AP473" s="227"/>
      <c r="AQ473" s="227"/>
      <c r="AR473" s="227"/>
      <c r="AS473" s="227"/>
      <c r="AT473" s="227"/>
      <c r="AU473" s="227"/>
      <c r="AV473" s="227"/>
      <c r="AW473" s="227"/>
      <c r="AX473" s="227"/>
      <c r="AY473" s="227"/>
      <c r="AZ473" s="227"/>
      <c r="BA473" s="227"/>
      <c r="BB473" s="227"/>
      <c r="BC473" s="227"/>
      <c r="BD473" s="227"/>
      <c r="BE473" s="227"/>
      <c r="BF473" s="227"/>
      <c r="BG473" s="227"/>
      <c r="BH473" s="227"/>
      <c r="BI473" s="227"/>
    </row>
    <row r="474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  <c r="AB474" s="227"/>
      <c r="AC474" s="227"/>
      <c r="AD474" s="227"/>
      <c r="AE474" s="227"/>
      <c r="AF474" s="227"/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27"/>
      <c r="BC474" s="227"/>
      <c r="BD474" s="227"/>
      <c r="BE474" s="227"/>
      <c r="BF474" s="227"/>
      <c r="BG474" s="227"/>
      <c r="BH474" s="227"/>
      <c r="BI474" s="227"/>
    </row>
    <row r="475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  <c r="AB475" s="227"/>
      <c r="AC475" s="227"/>
      <c r="AD475" s="227"/>
      <c r="AE475" s="227"/>
      <c r="AF475" s="227"/>
      <c r="AG475" s="227"/>
      <c r="AH475" s="227"/>
      <c r="AI475" s="227"/>
      <c r="AJ475" s="227"/>
      <c r="AK475" s="227"/>
      <c r="AL475" s="227"/>
      <c r="AM475" s="227"/>
      <c r="AN475" s="227"/>
      <c r="AO475" s="227"/>
      <c r="AP475" s="227"/>
      <c r="AQ475" s="227"/>
      <c r="AR475" s="227"/>
      <c r="AS475" s="227"/>
      <c r="AT475" s="227"/>
      <c r="AU475" s="227"/>
      <c r="AV475" s="227"/>
      <c r="AW475" s="227"/>
      <c r="AX475" s="227"/>
      <c r="AY475" s="227"/>
      <c r="AZ475" s="227"/>
      <c r="BA475" s="227"/>
      <c r="BB475" s="227"/>
      <c r="BC475" s="227"/>
      <c r="BD475" s="227"/>
      <c r="BE475" s="227"/>
      <c r="BF475" s="227"/>
      <c r="BG475" s="227"/>
      <c r="BH475" s="227"/>
      <c r="BI475" s="227"/>
    </row>
    <row r="47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  <c r="AB476" s="227"/>
      <c r="AC476" s="227"/>
      <c r="AD476" s="227"/>
      <c r="AE476" s="227"/>
      <c r="AF476" s="227"/>
      <c r="AG476" s="227"/>
      <c r="AH476" s="227"/>
      <c r="AI476" s="227"/>
      <c r="AJ476" s="227"/>
      <c r="AK476" s="227"/>
      <c r="AL476" s="227"/>
      <c r="AM476" s="227"/>
      <c r="AN476" s="227"/>
      <c r="AO476" s="227"/>
      <c r="AP476" s="227"/>
      <c r="AQ476" s="227"/>
      <c r="AR476" s="227"/>
      <c r="AS476" s="227"/>
      <c r="AT476" s="227"/>
      <c r="AU476" s="227"/>
      <c r="AV476" s="227"/>
      <c r="AW476" s="227"/>
      <c r="AX476" s="227"/>
      <c r="AY476" s="227"/>
      <c r="AZ476" s="227"/>
      <c r="BA476" s="227"/>
      <c r="BB476" s="227"/>
      <c r="BC476" s="227"/>
      <c r="BD476" s="227"/>
      <c r="BE476" s="227"/>
      <c r="BF476" s="227"/>
      <c r="BG476" s="227"/>
      <c r="BH476" s="227"/>
      <c r="BI476" s="227"/>
    </row>
    <row r="477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  <c r="AB477" s="227"/>
      <c r="AC477" s="227"/>
      <c r="AD477" s="227"/>
      <c r="AE477" s="227"/>
      <c r="AF477" s="227"/>
      <c r="AG477" s="227"/>
      <c r="AH477" s="227"/>
      <c r="AI477" s="227"/>
      <c r="AJ477" s="227"/>
      <c r="AK477" s="227"/>
      <c r="AL477" s="227"/>
      <c r="AM477" s="227"/>
      <c r="AN477" s="227"/>
      <c r="AO477" s="227"/>
      <c r="AP477" s="227"/>
      <c r="AQ477" s="227"/>
      <c r="AR477" s="227"/>
      <c r="AS477" s="227"/>
      <c r="AT477" s="227"/>
      <c r="AU477" s="227"/>
      <c r="AV477" s="227"/>
      <c r="AW477" s="227"/>
      <c r="AX477" s="227"/>
      <c r="AY477" s="227"/>
      <c r="AZ477" s="227"/>
      <c r="BA477" s="227"/>
      <c r="BB477" s="227"/>
      <c r="BC477" s="227"/>
      <c r="BD477" s="227"/>
      <c r="BE477" s="227"/>
      <c r="BF477" s="227"/>
      <c r="BG477" s="227"/>
      <c r="BH477" s="227"/>
      <c r="BI477" s="227"/>
    </row>
    <row r="478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  <c r="AB478" s="227"/>
      <c r="AC478" s="227"/>
      <c r="AD478" s="227"/>
      <c r="AE478" s="227"/>
      <c r="AF478" s="227"/>
      <c r="AG478" s="227"/>
      <c r="AH478" s="227"/>
      <c r="AI478" s="227"/>
      <c r="AJ478" s="227"/>
      <c r="AK478" s="227"/>
      <c r="AL478" s="227"/>
      <c r="AM478" s="227"/>
      <c r="AN478" s="227"/>
      <c r="AO478" s="227"/>
      <c r="AP478" s="227"/>
      <c r="AQ478" s="227"/>
      <c r="AR478" s="227"/>
      <c r="AS478" s="227"/>
      <c r="AT478" s="227"/>
      <c r="AU478" s="227"/>
      <c r="AV478" s="227"/>
      <c r="AW478" s="227"/>
      <c r="AX478" s="227"/>
      <c r="AY478" s="227"/>
      <c r="AZ478" s="227"/>
      <c r="BA478" s="227"/>
      <c r="BB478" s="227"/>
      <c r="BC478" s="227"/>
      <c r="BD478" s="227"/>
      <c r="BE478" s="227"/>
      <c r="BF478" s="227"/>
      <c r="BG478" s="227"/>
      <c r="BH478" s="227"/>
      <c r="BI478" s="227"/>
    </row>
    <row r="479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  <c r="AB479" s="227"/>
      <c r="AC479" s="227"/>
      <c r="AD479" s="227"/>
      <c r="AE479" s="227"/>
      <c r="AF479" s="227"/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27"/>
      <c r="BC479" s="227"/>
      <c r="BD479" s="227"/>
      <c r="BE479" s="227"/>
      <c r="BF479" s="227"/>
      <c r="BG479" s="227"/>
      <c r="BH479" s="227"/>
      <c r="BI479" s="227"/>
    </row>
    <row r="480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7"/>
      <c r="AG480" s="227"/>
      <c r="AH480" s="227"/>
      <c r="AI480" s="227"/>
      <c r="AJ480" s="227"/>
      <c r="AK480" s="227"/>
      <c r="AL480" s="227"/>
      <c r="AM480" s="227"/>
      <c r="AN480" s="227"/>
      <c r="AO480" s="227"/>
      <c r="AP480" s="227"/>
      <c r="AQ480" s="227"/>
      <c r="AR480" s="227"/>
      <c r="AS480" s="227"/>
      <c r="AT480" s="227"/>
      <c r="AU480" s="227"/>
      <c r="AV480" s="227"/>
      <c r="AW480" s="227"/>
      <c r="AX480" s="227"/>
      <c r="AY480" s="227"/>
      <c r="AZ480" s="227"/>
      <c r="BA480" s="227"/>
      <c r="BB480" s="227"/>
      <c r="BC480" s="227"/>
      <c r="BD480" s="227"/>
      <c r="BE480" s="227"/>
      <c r="BF480" s="227"/>
      <c r="BG480" s="227"/>
      <c r="BH480" s="227"/>
      <c r="BI480" s="227"/>
    </row>
    <row r="48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  <c r="AB481" s="227"/>
      <c r="AC481" s="227"/>
      <c r="AD481" s="227"/>
      <c r="AE481" s="227"/>
      <c r="AF481" s="227"/>
      <c r="AG481" s="227"/>
      <c r="AH481" s="227"/>
      <c r="AI481" s="227"/>
      <c r="AJ481" s="227"/>
      <c r="AK481" s="227"/>
      <c r="AL481" s="227"/>
      <c r="AM481" s="227"/>
      <c r="AN481" s="227"/>
      <c r="AO481" s="227"/>
      <c r="AP481" s="227"/>
      <c r="AQ481" s="227"/>
      <c r="AR481" s="227"/>
      <c r="AS481" s="227"/>
      <c r="AT481" s="227"/>
      <c r="AU481" s="227"/>
      <c r="AV481" s="227"/>
      <c r="AW481" s="227"/>
      <c r="AX481" s="227"/>
      <c r="AY481" s="227"/>
      <c r="AZ481" s="227"/>
      <c r="BA481" s="227"/>
      <c r="BB481" s="227"/>
      <c r="BC481" s="227"/>
      <c r="BD481" s="227"/>
      <c r="BE481" s="227"/>
      <c r="BF481" s="227"/>
      <c r="BG481" s="227"/>
      <c r="BH481" s="227"/>
      <c r="BI481" s="227"/>
    </row>
    <row r="482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  <c r="AB482" s="227"/>
      <c r="AC482" s="227"/>
      <c r="AD482" s="227"/>
      <c r="AE482" s="227"/>
      <c r="AF482" s="227"/>
      <c r="AG482" s="227"/>
      <c r="AH482" s="227"/>
      <c r="AI482" s="227"/>
      <c r="AJ482" s="227"/>
      <c r="AK482" s="227"/>
      <c r="AL482" s="227"/>
      <c r="AM482" s="227"/>
      <c r="AN482" s="227"/>
      <c r="AO482" s="227"/>
      <c r="AP482" s="227"/>
      <c r="AQ482" s="227"/>
      <c r="AR482" s="227"/>
      <c r="AS482" s="227"/>
      <c r="AT482" s="227"/>
      <c r="AU482" s="227"/>
      <c r="AV482" s="227"/>
      <c r="AW482" s="227"/>
      <c r="AX482" s="227"/>
      <c r="AY482" s="227"/>
      <c r="AZ482" s="227"/>
      <c r="BA482" s="227"/>
      <c r="BB482" s="227"/>
      <c r="BC482" s="227"/>
      <c r="BD482" s="227"/>
      <c r="BE482" s="227"/>
      <c r="BF482" s="227"/>
      <c r="BG482" s="227"/>
      <c r="BH482" s="227"/>
      <c r="BI482" s="227"/>
    </row>
    <row r="483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  <c r="AB483" s="227"/>
      <c r="AC483" s="227"/>
      <c r="AD483" s="227"/>
      <c r="AE483" s="227"/>
      <c r="AF483" s="227"/>
      <c r="AG483" s="227"/>
      <c r="AH483" s="227"/>
      <c r="AI483" s="227"/>
      <c r="AJ483" s="227"/>
      <c r="AK483" s="227"/>
      <c r="AL483" s="227"/>
      <c r="AM483" s="227"/>
      <c r="AN483" s="227"/>
      <c r="AO483" s="227"/>
      <c r="AP483" s="227"/>
      <c r="AQ483" s="227"/>
      <c r="AR483" s="227"/>
      <c r="AS483" s="227"/>
      <c r="AT483" s="227"/>
      <c r="AU483" s="227"/>
      <c r="AV483" s="227"/>
      <c r="AW483" s="227"/>
      <c r="AX483" s="227"/>
      <c r="AY483" s="227"/>
      <c r="AZ483" s="227"/>
      <c r="BA483" s="227"/>
      <c r="BB483" s="227"/>
      <c r="BC483" s="227"/>
      <c r="BD483" s="227"/>
      <c r="BE483" s="227"/>
      <c r="BF483" s="227"/>
      <c r="BG483" s="227"/>
      <c r="BH483" s="227"/>
      <c r="BI483" s="227"/>
    </row>
    <row r="484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27"/>
      <c r="AL484" s="227"/>
      <c r="AM484" s="227"/>
      <c r="AN484" s="227"/>
      <c r="AO484" s="227"/>
      <c r="AP484" s="227"/>
      <c r="AQ484" s="227"/>
      <c r="AR484" s="227"/>
      <c r="AS484" s="227"/>
      <c r="AT484" s="227"/>
      <c r="AU484" s="227"/>
      <c r="AV484" s="227"/>
      <c r="AW484" s="227"/>
      <c r="AX484" s="227"/>
      <c r="AY484" s="227"/>
      <c r="AZ484" s="227"/>
      <c r="BA484" s="227"/>
      <c r="BB484" s="227"/>
      <c r="BC484" s="227"/>
      <c r="BD484" s="227"/>
      <c r="BE484" s="227"/>
      <c r="BF484" s="227"/>
      <c r="BG484" s="227"/>
      <c r="BH484" s="227"/>
      <c r="BI484" s="227"/>
    </row>
    <row r="485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  <c r="AB485" s="227"/>
      <c r="AC485" s="227"/>
      <c r="AD485" s="227"/>
      <c r="AE485" s="227"/>
      <c r="AF485" s="227"/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27"/>
      <c r="BC485" s="227"/>
      <c r="BD485" s="227"/>
      <c r="BE485" s="227"/>
      <c r="BF485" s="227"/>
      <c r="BG485" s="227"/>
      <c r="BH485" s="227"/>
      <c r="BI485" s="227"/>
    </row>
    <row r="48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  <c r="AB486" s="227"/>
      <c r="AC486" s="227"/>
      <c r="AD486" s="227"/>
      <c r="AE486" s="227"/>
      <c r="AF486" s="227"/>
      <c r="AG486" s="227"/>
      <c r="AH486" s="227"/>
      <c r="AI486" s="227"/>
      <c r="AJ486" s="227"/>
      <c r="AK486" s="227"/>
      <c r="AL486" s="227"/>
      <c r="AM486" s="227"/>
      <c r="AN486" s="227"/>
      <c r="AO486" s="227"/>
      <c r="AP486" s="227"/>
      <c r="AQ486" s="227"/>
      <c r="AR486" s="227"/>
      <c r="AS486" s="227"/>
      <c r="AT486" s="227"/>
      <c r="AU486" s="227"/>
      <c r="AV486" s="227"/>
      <c r="AW486" s="227"/>
      <c r="AX486" s="227"/>
      <c r="AY486" s="227"/>
      <c r="AZ486" s="227"/>
      <c r="BA486" s="227"/>
      <c r="BB486" s="227"/>
      <c r="BC486" s="227"/>
      <c r="BD486" s="227"/>
      <c r="BE486" s="227"/>
      <c r="BF486" s="227"/>
      <c r="BG486" s="227"/>
      <c r="BH486" s="227"/>
      <c r="BI486" s="227"/>
    </row>
    <row r="487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  <c r="AB487" s="227"/>
      <c r="AC487" s="227"/>
      <c r="AD487" s="227"/>
      <c r="AE487" s="227"/>
      <c r="AF487" s="227"/>
      <c r="AG487" s="227"/>
      <c r="AH487" s="227"/>
      <c r="AI487" s="227"/>
      <c r="AJ487" s="227"/>
      <c r="AK487" s="227"/>
      <c r="AL487" s="227"/>
      <c r="AM487" s="227"/>
      <c r="AN487" s="227"/>
      <c r="AO487" s="227"/>
      <c r="AP487" s="227"/>
      <c r="AQ487" s="227"/>
      <c r="AR487" s="227"/>
      <c r="AS487" s="227"/>
      <c r="AT487" s="227"/>
      <c r="AU487" s="227"/>
      <c r="AV487" s="227"/>
      <c r="AW487" s="227"/>
      <c r="AX487" s="227"/>
      <c r="AY487" s="227"/>
      <c r="AZ487" s="227"/>
      <c r="BA487" s="227"/>
      <c r="BB487" s="227"/>
      <c r="BC487" s="227"/>
      <c r="BD487" s="227"/>
      <c r="BE487" s="227"/>
      <c r="BF487" s="227"/>
      <c r="BG487" s="227"/>
      <c r="BH487" s="227"/>
      <c r="BI487" s="227"/>
    </row>
    <row r="488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  <c r="AB488" s="227"/>
      <c r="AC488" s="227"/>
      <c r="AD488" s="227"/>
      <c r="AE488" s="227"/>
      <c r="AF488" s="227"/>
      <c r="AG488" s="227"/>
      <c r="AH488" s="227"/>
      <c r="AI488" s="227"/>
      <c r="AJ488" s="227"/>
      <c r="AK488" s="227"/>
      <c r="AL488" s="227"/>
      <c r="AM488" s="227"/>
      <c r="AN488" s="227"/>
      <c r="AO488" s="227"/>
      <c r="AP488" s="227"/>
      <c r="AQ488" s="227"/>
      <c r="AR488" s="227"/>
      <c r="AS488" s="227"/>
      <c r="AT488" s="227"/>
      <c r="AU488" s="227"/>
      <c r="AV488" s="227"/>
      <c r="AW488" s="227"/>
      <c r="AX488" s="227"/>
      <c r="AY488" s="227"/>
      <c r="AZ488" s="227"/>
      <c r="BA488" s="227"/>
      <c r="BB488" s="227"/>
      <c r="BC488" s="227"/>
      <c r="BD488" s="227"/>
      <c r="BE488" s="227"/>
      <c r="BF488" s="227"/>
      <c r="BG488" s="227"/>
      <c r="BH488" s="227"/>
      <c r="BI488" s="227"/>
    </row>
    <row r="489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  <c r="AB489" s="227"/>
      <c r="AC489" s="227"/>
      <c r="AD489" s="227"/>
      <c r="AE489" s="227"/>
      <c r="AF489" s="227"/>
      <c r="AG489" s="227"/>
      <c r="AH489" s="227"/>
      <c r="AI489" s="227"/>
      <c r="AJ489" s="227"/>
      <c r="AK489" s="227"/>
      <c r="AL489" s="227"/>
      <c r="AM489" s="227"/>
      <c r="AN489" s="227"/>
      <c r="AO489" s="227"/>
      <c r="AP489" s="227"/>
      <c r="AQ489" s="227"/>
      <c r="AR489" s="227"/>
      <c r="AS489" s="227"/>
      <c r="AT489" s="227"/>
      <c r="AU489" s="227"/>
      <c r="AV489" s="227"/>
      <c r="AW489" s="227"/>
      <c r="AX489" s="227"/>
      <c r="AY489" s="227"/>
      <c r="AZ489" s="227"/>
      <c r="BA489" s="227"/>
      <c r="BB489" s="227"/>
      <c r="BC489" s="227"/>
      <c r="BD489" s="227"/>
      <c r="BE489" s="227"/>
      <c r="BF489" s="227"/>
      <c r="BG489" s="227"/>
      <c r="BH489" s="227"/>
      <c r="BI489" s="227"/>
    </row>
    <row r="490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  <c r="AB490" s="227"/>
      <c r="AC490" s="227"/>
      <c r="AD490" s="227"/>
      <c r="AE490" s="227"/>
      <c r="AF490" s="227"/>
      <c r="AG490" s="227"/>
      <c r="AH490" s="227"/>
      <c r="AI490" s="227"/>
      <c r="AJ490" s="227"/>
      <c r="AK490" s="227"/>
      <c r="AL490" s="227"/>
      <c r="AM490" s="227"/>
      <c r="AN490" s="227"/>
      <c r="AO490" s="227"/>
      <c r="AP490" s="227"/>
      <c r="AQ490" s="227"/>
      <c r="AR490" s="227"/>
      <c r="AS490" s="227"/>
      <c r="AT490" s="227"/>
      <c r="AU490" s="227"/>
      <c r="AV490" s="227"/>
      <c r="AW490" s="227"/>
      <c r="AX490" s="227"/>
      <c r="AY490" s="227"/>
      <c r="AZ490" s="227"/>
      <c r="BA490" s="227"/>
      <c r="BB490" s="227"/>
      <c r="BC490" s="227"/>
      <c r="BD490" s="227"/>
      <c r="BE490" s="227"/>
      <c r="BF490" s="227"/>
      <c r="BG490" s="227"/>
      <c r="BH490" s="227"/>
      <c r="BI490" s="227"/>
    </row>
    <row r="49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  <c r="AB491" s="227"/>
      <c r="AC491" s="227"/>
      <c r="AD491" s="227"/>
      <c r="AE491" s="227"/>
      <c r="AF491" s="227"/>
      <c r="AG491" s="227"/>
      <c r="AH491" s="227"/>
      <c r="AI491" s="227"/>
      <c r="AJ491" s="227"/>
      <c r="AK491" s="227"/>
      <c r="AL491" s="227"/>
      <c r="AM491" s="227"/>
      <c r="AN491" s="227"/>
      <c r="AO491" s="227"/>
      <c r="AP491" s="227"/>
      <c r="AQ491" s="227"/>
      <c r="AR491" s="227"/>
      <c r="AS491" s="227"/>
      <c r="AT491" s="227"/>
      <c r="AU491" s="227"/>
      <c r="AV491" s="227"/>
      <c r="AW491" s="227"/>
      <c r="AX491" s="227"/>
      <c r="AY491" s="227"/>
      <c r="AZ491" s="227"/>
      <c r="BA491" s="227"/>
      <c r="BB491" s="227"/>
      <c r="BC491" s="227"/>
      <c r="BD491" s="227"/>
      <c r="BE491" s="227"/>
      <c r="BF491" s="227"/>
      <c r="BG491" s="227"/>
      <c r="BH491" s="227"/>
      <c r="BI491" s="227"/>
    </row>
    <row r="492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  <c r="AB492" s="227"/>
      <c r="AC492" s="227"/>
      <c r="AD492" s="227"/>
      <c r="AE492" s="227"/>
      <c r="AF492" s="227"/>
      <c r="AG492" s="227"/>
      <c r="AH492" s="227"/>
      <c r="AI492" s="227"/>
      <c r="AJ492" s="227"/>
      <c r="AK492" s="227"/>
      <c r="AL492" s="227"/>
      <c r="AM492" s="227"/>
      <c r="AN492" s="227"/>
      <c r="AO492" s="227"/>
      <c r="AP492" s="227"/>
      <c r="AQ492" s="227"/>
      <c r="AR492" s="227"/>
      <c r="AS492" s="227"/>
      <c r="AT492" s="227"/>
      <c r="AU492" s="227"/>
      <c r="AV492" s="227"/>
      <c r="AW492" s="227"/>
      <c r="AX492" s="227"/>
      <c r="AY492" s="227"/>
      <c r="AZ492" s="227"/>
      <c r="BA492" s="227"/>
      <c r="BB492" s="227"/>
      <c r="BC492" s="227"/>
      <c r="BD492" s="227"/>
      <c r="BE492" s="227"/>
      <c r="BF492" s="227"/>
      <c r="BG492" s="227"/>
      <c r="BH492" s="227"/>
      <c r="BI492" s="227"/>
    </row>
    <row r="493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227"/>
      <c r="AZ493" s="227"/>
      <c r="BA493" s="227"/>
      <c r="BB493" s="227"/>
      <c r="BC493" s="227"/>
      <c r="BD493" s="227"/>
      <c r="BE493" s="227"/>
      <c r="BF493" s="227"/>
      <c r="BG493" s="227"/>
      <c r="BH493" s="227"/>
      <c r="BI493" s="227"/>
    </row>
    <row r="494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  <c r="AT494" s="227"/>
      <c r="AU494" s="227"/>
      <c r="AV494" s="227"/>
      <c r="AW494" s="227"/>
      <c r="AX494" s="227"/>
      <c r="AY494" s="227"/>
      <c r="AZ494" s="227"/>
      <c r="BA494" s="227"/>
      <c r="BB494" s="227"/>
      <c r="BC494" s="227"/>
      <c r="BD494" s="227"/>
      <c r="BE494" s="227"/>
      <c r="BF494" s="227"/>
      <c r="BG494" s="227"/>
      <c r="BH494" s="227"/>
      <c r="BI494" s="227"/>
    </row>
    <row r="49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  <c r="AT495" s="227"/>
      <c r="AU495" s="227"/>
      <c r="AV495" s="227"/>
      <c r="AW495" s="227"/>
      <c r="AX495" s="227"/>
      <c r="AY495" s="227"/>
      <c r="AZ495" s="227"/>
      <c r="BA495" s="227"/>
      <c r="BB495" s="227"/>
      <c r="BC495" s="227"/>
      <c r="BD495" s="227"/>
      <c r="BE495" s="227"/>
      <c r="BF495" s="227"/>
      <c r="BG495" s="227"/>
      <c r="BH495" s="227"/>
      <c r="BI495" s="227"/>
    </row>
    <row r="49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27"/>
      <c r="AL496" s="227"/>
      <c r="AM496" s="227"/>
      <c r="AN496" s="227"/>
      <c r="AO496" s="227"/>
      <c r="AP496" s="227"/>
      <c r="AQ496" s="227"/>
      <c r="AR496" s="227"/>
      <c r="AS496" s="227"/>
      <c r="AT496" s="227"/>
      <c r="AU496" s="227"/>
      <c r="AV496" s="227"/>
      <c r="AW496" s="227"/>
      <c r="AX496" s="227"/>
      <c r="AY496" s="227"/>
      <c r="AZ496" s="227"/>
      <c r="BA496" s="227"/>
      <c r="BB496" s="227"/>
      <c r="BC496" s="227"/>
      <c r="BD496" s="227"/>
      <c r="BE496" s="227"/>
      <c r="BF496" s="227"/>
      <c r="BG496" s="227"/>
      <c r="BH496" s="227"/>
      <c r="BI496" s="227"/>
    </row>
    <row r="497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  <c r="AB497" s="227"/>
      <c r="AC497" s="227"/>
      <c r="AD497" s="227"/>
      <c r="AE497" s="227"/>
      <c r="AF497" s="227"/>
      <c r="AG497" s="227"/>
      <c r="AH497" s="227"/>
      <c r="AI497" s="227"/>
      <c r="AJ497" s="227"/>
      <c r="AK497" s="227"/>
      <c r="AL497" s="227"/>
      <c r="AM497" s="227"/>
      <c r="AN497" s="227"/>
      <c r="AO497" s="227"/>
      <c r="AP497" s="227"/>
      <c r="AQ497" s="227"/>
      <c r="AR497" s="227"/>
      <c r="AS497" s="227"/>
      <c r="AT497" s="227"/>
      <c r="AU497" s="227"/>
      <c r="AV497" s="227"/>
      <c r="AW497" s="227"/>
      <c r="AX497" s="227"/>
      <c r="AY497" s="227"/>
      <c r="AZ497" s="227"/>
      <c r="BA497" s="227"/>
      <c r="BB497" s="227"/>
      <c r="BC497" s="227"/>
      <c r="BD497" s="227"/>
      <c r="BE497" s="227"/>
      <c r="BF497" s="227"/>
      <c r="BG497" s="227"/>
      <c r="BH497" s="227"/>
      <c r="BI497" s="227"/>
    </row>
    <row r="498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  <c r="AB498" s="227"/>
      <c r="AC498" s="227"/>
      <c r="AD498" s="227"/>
      <c r="AE498" s="227"/>
      <c r="AF498" s="227"/>
      <c r="AG498" s="227"/>
      <c r="AH498" s="227"/>
      <c r="AI498" s="227"/>
      <c r="AJ498" s="227"/>
      <c r="AK498" s="227"/>
      <c r="AL498" s="227"/>
      <c r="AM498" s="227"/>
      <c r="AN498" s="227"/>
      <c r="AO498" s="227"/>
      <c r="AP498" s="227"/>
      <c r="AQ498" s="227"/>
      <c r="AR498" s="227"/>
      <c r="AS498" s="227"/>
      <c r="AT498" s="227"/>
      <c r="AU498" s="227"/>
      <c r="AV498" s="227"/>
      <c r="AW498" s="227"/>
      <c r="AX498" s="227"/>
      <c r="AY498" s="227"/>
      <c r="AZ498" s="227"/>
      <c r="BA498" s="227"/>
      <c r="BB498" s="227"/>
      <c r="BC498" s="227"/>
      <c r="BD498" s="227"/>
      <c r="BE498" s="227"/>
      <c r="BF498" s="227"/>
      <c r="BG498" s="227"/>
      <c r="BH498" s="227"/>
      <c r="BI498" s="227"/>
    </row>
    <row r="499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  <c r="AB499" s="227"/>
      <c r="AC499" s="227"/>
      <c r="AD499" s="227"/>
      <c r="AE499" s="227"/>
      <c r="AF499" s="227"/>
      <c r="AG499" s="227"/>
      <c r="AH499" s="227"/>
      <c r="AI499" s="227"/>
      <c r="AJ499" s="227"/>
      <c r="AK499" s="227"/>
      <c r="AL499" s="227"/>
      <c r="AM499" s="227"/>
      <c r="AN499" s="227"/>
      <c r="AO499" s="227"/>
      <c r="AP499" s="227"/>
      <c r="AQ499" s="227"/>
      <c r="AR499" s="227"/>
      <c r="AS499" s="227"/>
      <c r="AT499" s="227"/>
      <c r="AU499" s="227"/>
      <c r="AV499" s="227"/>
      <c r="AW499" s="227"/>
      <c r="AX499" s="227"/>
      <c r="AY499" s="227"/>
      <c r="AZ499" s="227"/>
      <c r="BA499" s="227"/>
      <c r="BB499" s="227"/>
      <c r="BC499" s="227"/>
      <c r="BD499" s="227"/>
      <c r="BE499" s="227"/>
      <c r="BF499" s="227"/>
      <c r="BG499" s="227"/>
      <c r="BH499" s="227"/>
      <c r="BI499" s="227"/>
    </row>
    <row r="500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  <c r="AB500" s="227"/>
      <c r="AC500" s="227"/>
      <c r="AD500" s="227"/>
      <c r="AE500" s="227"/>
      <c r="AF500" s="227"/>
      <c r="AG500" s="227"/>
      <c r="AH500" s="227"/>
      <c r="AI500" s="227"/>
      <c r="AJ500" s="227"/>
      <c r="AK500" s="227"/>
      <c r="AL500" s="227"/>
      <c r="AM500" s="227"/>
      <c r="AN500" s="227"/>
      <c r="AO500" s="227"/>
      <c r="AP500" s="227"/>
      <c r="AQ500" s="227"/>
      <c r="AR500" s="227"/>
      <c r="AS500" s="227"/>
      <c r="AT500" s="227"/>
      <c r="AU500" s="227"/>
      <c r="AV500" s="227"/>
      <c r="AW500" s="227"/>
      <c r="AX500" s="227"/>
      <c r="AY500" s="227"/>
      <c r="AZ500" s="227"/>
      <c r="BA500" s="227"/>
      <c r="BB500" s="227"/>
      <c r="BC500" s="227"/>
      <c r="BD500" s="227"/>
      <c r="BE500" s="227"/>
      <c r="BF500" s="227"/>
      <c r="BG500" s="227"/>
      <c r="BH500" s="227"/>
      <c r="BI500" s="227"/>
    </row>
    <row r="50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  <c r="AB501" s="227"/>
      <c r="AC501" s="227"/>
      <c r="AD501" s="227"/>
      <c r="AE501" s="227"/>
      <c r="AF501" s="227"/>
      <c r="AG501" s="227"/>
      <c r="AH501" s="227"/>
      <c r="AI501" s="227"/>
      <c r="AJ501" s="227"/>
      <c r="AK501" s="227"/>
      <c r="AL501" s="227"/>
      <c r="AM501" s="227"/>
      <c r="AN501" s="227"/>
      <c r="AO501" s="227"/>
      <c r="AP501" s="227"/>
      <c r="AQ501" s="227"/>
      <c r="AR501" s="227"/>
      <c r="AS501" s="227"/>
      <c r="AT501" s="227"/>
      <c r="AU501" s="227"/>
      <c r="AV501" s="227"/>
      <c r="AW501" s="227"/>
      <c r="AX501" s="227"/>
      <c r="AY501" s="227"/>
      <c r="AZ501" s="227"/>
      <c r="BA501" s="227"/>
      <c r="BB501" s="227"/>
      <c r="BC501" s="227"/>
      <c r="BD501" s="227"/>
      <c r="BE501" s="227"/>
      <c r="BF501" s="227"/>
      <c r="BG501" s="227"/>
      <c r="BH501" s="227"/>
      <c r="BI501" s="227"/>
    </row>
    <row r="502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  <c r="AB502" s="227"/>
      <c r="AC502" s="227"/>
      <c r="AD502" s="227"/>
      <c r="AE502" s="227"/>
      <c r="AF502" s="227"/>
      <c r="AG502" s="227"/>
      <c r="AH502" s="227"/>
      <c r="AI502" s="227"/>
      <c r="AJ502" s="227"/>
      <c r="AK502" s="227"/>
      <c r="AL502" s="227"/>
      <c r="AM502" s="227"/>
      <c r="AN502" s="227"/>
      <c r="AO502" s="227"/>
      <c r="AP502" s="227"/>
      <c r="AQ502" s="227"/>
      <c r="AR502" s="227"/>
      <c r="AS502" s="227"/>
      <c r="AT502" s="227"/>
      <c r="AU502" s="227"/>
      <c r="AV502" s="227"/>
      <c r="AW502" s="227"/>
      <c r="AX502" s="227"/>
      <c r="AY502" s="227"/>
      <c r="AZ502" s="227"/>
      <c r="BA502" s="227"/>
      <c r="BB502" s="227"/>
      <c r="BC502" s="227"/>
      <c r="BD502" s="227"/>
      <c r="BE502" s="227"/>
      <c r="BF502" s="227"/>
      <c r="BG502" s="227"/>
      <c r="BH502" s="227"/>
      <c r="BI502" s="227"/>
    </row>
    <row r="503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  <c r="AB503" s="227"/>
      <c r="AC503" s="227"/>
      <c r="AD503" s="227"/>
      <c r="AE503" s="227"/>
      <c r="AF503" s="227"/>
      <c r="AG503" s="227"/>
      <c r="AH503" s="227"/>
      <c r="AI503" s="227"/>
      <c r="AJ503" s="227"/>
      <c r="AK503" s="227"/>
      <c r="AL503" s="227"/>
      <c r="AM503" s="227"/>
      <c r="AN503" s="227"/>
      <c r="AO503" s="227"/>
      <c r="AP503" s="227"/>
      <c r="AQ503" s="227"/>
      <c r="AR503" s="227"/>
      <c r="AS503" s="227"/>
      <c r="AT503" s="227"/>
      <c r="AU503" s="227"/>
      <c r="AV503" s="227"/>
      <c r="AW503" s="227"/>
      <c r="AX503" s="227"/>
      <c r="AY503" s="227"/>
      <c r="AZ503" s="227"/>
      <c r="BA503" s="227"/>
      <c r="BB503" s="227"/>
      <c r="BC503" s="227"/>
      <c r="BD503" s="227"/>
      <c r="BE503" s="227"/>
      <c r="BF503" s="227"/>
      <c r="BG503" s="227"/>
      <c r="BH503" s="227"/>
      <c r="BI503" s="227"/>
    </row>
    <row r="504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  <c r="AB504" s="227"/>
      <c r="AC504" s="227"/>
      <c r="AD504" s="227"/>
      <c r="AE504" s="227"/>
      <c r="AF504" s="227"/>
      <c r="AG504" s="227"/>
      <c r="AH504" s="227"/>
      <c r="AI504" s="227"/>
      <c r="AJ504" s="227"/>
      <c r="AK504" s="227"/>
      <c r="AL504" s="227"/>
      <c r="AM504" s="227"/>
      <c r="AN504" s="227"/>
      <c r="AO504" s="227"/>
      <c r="AP504" s="227"/>
      <c r="AQ504" s="227"/>
      <c r="AR504" s="227"/>
      <c r="AS504" s="227"/>
      <c r="AT504" s="227"/>
      <c r="AU504" s="227"/>
      <c r="AV504" s="227"/>
      <c r="AW504" s="227"/>
      <c r="AX504" s="227"/>
      <c r="AY504" s="227"/>
      <c r="AZ504" s="227"/>
      <c r="BA504" s="227"/>
      <c r="BB504" s="227"/>
      <c r="BC504" s="227"/>
      <c r="BD504" s="227"/>
      <c r="BE504" s="227"/>
      <c r="BF504" s="227"/>
      <c r="BG504" s="227"/>
      <c r="BH504" s="227"/>
      <c r="BI504" s="227"/>
    </row>
    <row r="50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  <c r="AB505" s="227"/>
      <c r="AC505" s="227"/>
      <c r="AD505" s="227"/>
      <c r="AE505" s="227"/>
      <c r="AF505" s="227"/>
      <c r="AG505" s="227"/>
      <c r="AH505" s="227"/>
      <c r="AI505" s="227"/>
      <c r="AJ505" s="227"/>
      <c r="AK505" s="227"/>
      <c r="AL505" s="227"/>
      <c r="AM505" s="227"/>
      <c r="AN505" s="227"/>
      <c r="AO505" s="227"/>
      <c r="AP505" s="227"/>
      <c r="AQ505" s="227"/>
      <c r="AR505" s="227"/>
      <c r="AS505" s="227"/>
      <c r="AT505" s="227"/>
      <c r="AU505" s="227"/>
      <c r="AV505" s="227"/>
      <c r="AW505" s="227"/>
      <c r="AX505" s="227"/>
      <c r="AY505" s="227"/>
      <c r="AZ505" s="227"/>
      <c r="BA505" s="227"/>
      <c r="BB505" s="227"/>
      <c r="BC505" s="227"/>
      <c r="BD505" s="227"/>
      <c r="BE505" s="227"/>
      <c r="BF505" s="227"/>
      <c r="BG505" s="227"/>
      <c r="BH505" s="227"/>
      <c r="BI505" s="227"/>
    </row>
    <row r="50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  <c r="AB506" s="227"/>
      <c r="AC506" s="227"/>
      <c r="AD506" s="227"/>
      <c r="AE506" s="227"/>
      <c r="AF506" s="227"/>
      <c r="AG506" s="227"/>
      <c r="AH506" s="227"/>
      <c r="AI506" s="227"/>
      <c r="AJ506" s="227"/>
      <c r="AK506" s="227"/>
      <c r="AL506" s="227"/>
      <c r="AM506" s="227"/>
      <c r="AN506" s="227"/>
      <c r="AO506" s="227"/>
      <c r="AP506" s="227"/>
      <c r="AQ506" s="227"/>
      <c r="AR506" s="227"/>
      <c r="AS506" s="227"/>
      <c r="AT506" s="227"/>
      <c r="AU506" s="227"/>
      <c r="AV506" s="227"/>
      <c r="AW506" s="227"/>
      <c r="AX506" s="227"/>
      <c r="AY506" s="227"/>
      <c r="AZ506" s="227"/>
      <c r="BA506" s="227"/>
      <c r="BB506" s="227"/>
      <c r="BC506" s="227"/>
      <c r="BD506" s="227"/>
      <c r="BE506" s="227"/>
      <c r="BF506" s="227"/>
      <c r="BG506" s="227"/>
      <c r="BH506" s="227"/>
      <c r="BI506" s="227"/>
    </row>
    <row r="507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  <c r="AB507" s="227"/>
      <c r="AC507" s="227"/>
      <c r="AD507" s="227"/>
      <c r="AE507" s="227"/>
      <c r="AF507" s="227"/>
      <c r="AG507" s="227"/>
      <c r="AH507" s="227"/>
      <c r="AI507" s="227"/>
      <c r="AJ507" s="227"/>
      <c r="AK507" s="227"/>
      <c r="AL507" s="227"/>
      <c r="AM507" s="227"/>
      <c r="AN507" s="227"/>
      <c r="AO507" s="227"/>
      <c r="AP507" s="227"/>
      <c r="AQ507" s="227"/>
      <c r="AR507" s="227"/>
      <c r="AS507" s="227"/>
      <c r="AT507" s="227"/>
      <c r="AU507" s="227"/>
      <c r="AV507" s="227"/>
      <c r="AW507" s="227"/>
      <c r="AX507" s="227"/>
      <c r="AY507" s="227"/>
      <c r="AZ507" s="227"/>
      <c r="BA507" s="227"/>
      <c r="BB507" s="227"/>
      <c r="BC507" s="227"/>
      <c r="BD507" s="227"/>
      <c r="BE507" s="227"/>
      <c r="BF507" s="227"/>
      <c r="BG507" s="227"/>
      <c r="BH507" s="227"/>
      <c r="BI507" s="227"/>
    </row>
    <row r="508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27"/>
      <c r="BC508" s="227"/>
      <c r="BD508" s="227"/>
      <c r="BE508" s="227"/>
      <c r="BF508" s="227"/>
      <c r="BG508" s="227"/>
      <c r="BH508" s="227"/>
      <c r="BI508" s="227"/>
    </row>
    <row r="509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  <c r="AB509" s="227"/>
      <c r="AC509" s="227"/>
      <c r="AD509" s="227"/>
      <c r="AE509" s="227"/>
      <c r="AF509" s="227"/>
      <c r="AG509" s="227"/>
      <c r="AH509" s="227"/>
      <c r="AI509" s="227"/>
      <c r="AJ509" s="227"/>
      <c r="AK509" s="227"/>
      <c r="AL509" s="227"/>
      <c r="AM509" s="227"/>
      <c r="AN509" s="227"/>
      <c r="AO509" s="227"/>
      <c r="AP509" s="227"/>
      <c r="AQ509" s="227"/>
      <c r="AR509" s="227"/>
      <c r="AS509" s="227"/>
      <c r="AT509" s="227"/>
      <c r="AU509" s="227"/>
      <c r="AV509" s="227"/>
      <c r="AW509" s="227"/>
      <c r="AX509" s="227"/>
      <c r="AY509" s="227"/>
      <c r="AZ509" s="227"/>
      <c r="BA509" s="227"/>
      <c r="BB509" s="227"/>
      <c r="BC509" s="227"/>
      <c r="BD509" s="227"/>
      <c r="BE509" s="227"/>
      <c r="BF509" s="227"/>
      <c r="BG509" s="227"/>
      <c r="BH509" s="227"/>
      <c r="BI509" s="227"/>
    </row>
    <row r="510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  <c r="AB510" s="227"/>
      <c r="AC510" s="227"/>
      <c r="AD510" s="227"/>
      <c r="AE510" s="227"/>
      <c r="AF510" s="227"/>
      <c r="AG510" s="227"/>
      <c r="AH510" s="227"/>
      <c r="AI510" s="227"/>
      <c r="AJ510" s="227"/>
      <c r="AK510" s="227"/>
      <c r="AL510" s="227"/>
      <c r="AM510" s="227"/>
      <c r="AN510" s="227"/>
      <c r="AO510" s="227"/>
      <c r="AP510" s="227"/>
      <c r="AQ510" s="227"/>
      <c r="AR510" s="227"/>
      <c r="AS510" s="227"/>
      <c r="AT510" s="227"/>
      <c r="AU510" s="227"/>
      <c r="AV510" s="227"/>
      <c r="AW510" s="227"/>
      <c r="AX510" s="227"/>
      <c r="AY510" s="227"/>
      <c r="AZ510" s="227"/>
      <c r="BA510" s="227"/>
      <c r="BB510" s="227"/>
      <c r="BC510" s="227"/>
      <c r="BD510" s="227"/>
      <c r="BE510" s="227"/>
      <c r="BF510" s="227"/>
      <c r="BG510" s="227"/>
      <c r="BH510" s="227"/>
      <c r="BI510" s="227"/>
    </row>
    <row r="51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  <c r="AB511" s="227"/>
      <c r="AC511" s="227"/>
      <c r="AD511" s="227"/>
      <c r="AE511" s="227"/>
      <c r="AF511" s="227"/>
      <c r="AG511" s="227"/>
      <c r="AH511" s="227"/>
      <c r="AI511" s="227"/>
      <c r="AJ511" s="227"/>
      <c r="AK511" s="227"/>
      <c r="AL511" s="227"/>
      <c r="AM511" s="227"/>
      <c r="AN511" s="227"/>
      <c r="AO511" s="227"/>
      <c r="AP511" s="227"/>
      <c r="AQ511" s="227"/>
      <c r="AR511" s="227"/>
      <c r="AS511" s="227"/>
      <c r="AT511" s="227"/>
      <c r="AU511" s="227"/>
      <c r="AV511" s="227"/>
      <c r="AW511" s="227"/>
      <c r="AX511" s="227"/>
      <c r="AY511" s="227"/>
      <c r="AZ511" s="227"/>
      <c r="BA511" s="227"/>
      <c r="BB511" s="227"/>
      <c r="BC511" s="227"/>
      <c r="BD511" s="227"/>
      <c r="BE511" s="227"/>
      <c r="BF511" s="227"/>
      <c r="BG511" s="227"/>
      <c r="BH511" s="227"/>
      <c r="BI511" s="227"/>
    </row>
    <row r="512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  <c r="AB512" s="227"/>
      <c r="AC512" s="227"/>
      <c r="AD512" s="227"/>
      <c r="AE512" s="227"/>
      <c r="AF512" s="227"/>
      <c r="AG512" s="227"/>
      <c r="AH512" s="227"/>
      <c r="AI512" s="227"/>
      <c r="AJ512" s="227"/>
      <c r="AK512" s="227"/>
      <c r="AL512" s="227"/>
      <c r="AM512" s="227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/>
      <c r="AY512" s="227"/>
      <c r="AZ512" s="227"/>
      <c r="BA512" s="227"/>
      <c r="BB512" s="227"/>
      <c r="BC512" s="227"/>
      <c r="BD512" s="227"/>
      <c r="BE512" s="227"/>
      <c r="BF512" s="227"/>
      <c r="BG512" s="227"/>
      <c r="BH512" s="227"/>
      <c r="BI512" s="227"/>
    </row>
    <row r="513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  <c r="AB513" s="227"/>
      <c r="AC513" s="227"/>
      <c r="AD513" s="227"/>
      <c r="AE513" s="227"/>
      <c r="AF513" s="227"/>
      <c r="AG513" s="227"/>
      <c r="AH513" s="227"/>
      <c r="AI513" s="227"/>
      <c r="AJ513" s="227"/>
      <c r="AK513" s="227"/>
      <c r="AL513" s="227"/>
      <c r="AM513" s="227"/>
      <c r="AN513" s="227"/>
      <c r="AO513" s="227"/>
      <c r="AP513" s="227"/>
      <c r="AQ513" s="227"/>
      <c r="AR513" s="227"/>
      <c r="AS513" s="227"/>
      <c r="AT513" s="227"/>
      <c r="AU513" s="227"/>
      <c r="AV513" s="227"/>
      <c r="AW513" s="227"/>
      <c r="AX513" s="227"/>
      <c r="AY513" s="227"/>
      <c r="AZ513" s="227"/>
      <c r="BA513" s="227"/>
      <c r="BB513" s="227"/>
      <c r="BC513" s="227"/>
      <c r="BD513" s="227"/>
      <c r="BE513" s="227"/>
      <c r="BF513" s="227"/>
      <c r="BG513" s="227"/>
      <c r="BH513" s="227"/>
      <c r="BI513" s="227"/>
    </row>
    <row r="514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  <c r="AB514" s="227"/>
      <c r="AC514" s="227"/>
      <c r="AD514" s="227"/>
      <c r="AE514" s="227"/>
      <c r="AF514" s="227"/>
      <c r="AG514" s="227"/>
      <c r="AH514" s="227"/>
      <c r="AI514" s="227"/>
      <c r="AJ514" s="227"/>
      <c r="AK514" s="227"/>
      <c r="AL514" s="227"/>
      <c r="AM514" s="227"/>
      <c r="AN514" s="227"/>
      <c r="AO514" s="227"/>
      <c r="AP514" s="227"/>
      <c r="AQ514" s="227"/>
      <c r="AR514" s="227"/>
      <c r="AS514" s="227"/>
      <c r="AT514" s="227"/>
      <c r="AU514" s="227"/>
      <c r="AV514" s="227"/>
      <c r="AW514" s="227"/>
      <c r="AX514" s="227"/>
      <c r="AY514" s="227"/>
      <c r="AZ514" s="227"/>
      <c r="BA514" s="227"/>
      <c r="BB514" s="227"/>
      <c r="BC514" s="227"/>
      <c r="BD514" s="227"/>
      <c r="BE514" s="227"/>
      <c r="BF514" s="227"/>
      <c r="BG514" s="227"/>
      <c r="BH514" s="227"/>
      <c r="BI514" s="227"/>
    </row>
    <row r="515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  <c r="AB515" s="227"/>
      <c r="AC515" s="227"/>
      <c r="AD515" s="227"/>
      <c r="AE515" s="227"/>
      <c r="AF515" s="227"/>
      <c r="AG515" s="227"/>
      <c r="AH515" s="227"/>
      <c r="AI515" s="227"/>
      <c r="AJ515" s="227"/>
      <c r="AK515" s="227"/>
      <c r="AL515" s="227"/>
      <c r="AM515" s="227"/>
      <c r="AN515" s="227"/>
      <c r="AO515" s="227"/>
      <c r="AP515" s="227"/>
      <c r="AQ515" s="227"/>
      <c r="AR515" s="227"/>
      <c r="AS515" s="227"/>
      <c r="AT515" s="227"/>
      <c r="AU515" s="227"/>
      <c r="AV515" s="227"/>
      <c r="AW515" s="227"/>
      <c r="AX515" s="227"/>
      <c r="AY515" s="227"/>
      <c r="AZ515" s="227"/>
      <c r="BA515" s="227"/>
      <c r="BB515" s="227"/>
      <c r="BC515" s="227"/>
      <c r="BD515" s="227"/>
      <c r="BE515" s="227"/>
      <c r="BF515" s="227"/>
      <c r="BG515" s="227"/>
      <c r="BH515" s="227"/>
      <c r="BI515" s="227"/>
    </row>
    <row r="51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  <c r="AB516" s="227"/>
      <c r="AC516" s="227"/>
      <c r="AD516" s="227"/>
      <c r="AE516" s="227"/>
      <c r="AF516" s="227"/>
      <c r="AG516" s="227"/>
      <c r="AH516" s="227"/>
      <c r="AI516" s="227"/>
      <c r="AJ516" s="227"/>
      <c r="AK516" s="227"/>
      <c r="AL516" s="227"/>
      <c r="AM516" s="227"/>
      <c r="AN516" s="227"/>
      <c r="AO516" s="227"/>
      <c r="AP516" s="227"/>
      <c r="AQ516" s="227"/>
      <c r="AR516" s="227"/>
      <c r="AS516" s="227"/>
      <c r="AT516" s="227"/>
      <c r="AU516" s="227"/>
      <c r="AV516" s="227"/>
      <c r="AW516" s="227"/>
      <c r="AX516" s="227"/>
      <c r="AY516" s="227"/>
      <c r="AZ516" s="227"/>
      <c r="BA516" s="227"/>
      <c r="BB516" s="227"/>
      <c r="BC516" s="227"/>
      <c r="BD516" s="227"/>
      <c r="BE516" s="227"/>
      <c r="BF516" s="227"/>
      <c r="BG516" s="227"/>
      <c r="BH516" s="227"/>
      <c r="BI516" s="227"/>
    </row>
    <row r="517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  <c r="AB517" s="227"/>
      <c r="AC517" s="227"/>
      <c r="AD517" s="227"/>
      <c r="AE517" s="227"/>
      <c r="AF517" s="227"/>
      <c r="AG517" s="227"/>
      <c r="AH517" s="227"/>
      <c r="AI517" s="227"/>
      <c r="AJ517" s="227"/>
      <c r="AK517" s="227"/>
      <c r="AL517" s="227"/>
      <c r="AM517" s="227"/>
      <c r="AN517" s="227"/>
      <c r="AO517" s="227"/>
      <c r="AP517" s="227"/>
      <c r="AQ517" s="227"/>
      <c r="AR517" s="227"/>
      <c r="AS517" s="227"/>
      <c r="AT517" s="227"/>
      <c r="AU517" s="227"/>
      <c r="AV517" s="227"/>
      <c r="AW517" s="227"/>
      <c r="AX517" s="227"/>
      <c r="AY517" s="227"/>
      <c r="AZ517" s="227"/>
      <c r="BA517" s="227"/>
      <c r="BB517" s="227"/>
      <c r="BC517" s="227"/>
      <c r="BD517" s="227"/>
      <c r="BE517" s="227"/>
      <c r="BF517" s="227"/>
      <c r="BG517" s="227"/>
      <c r="BH517" s="227"/>
      <c r="BI517" s="227"/>
    </row>
    <row r="518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227"/>
      <c r="AH518" s="227"/>
      <c r="AI518" s="227"/>
      <c r="AJ518" s="227"/>
      <c r="AK518" s="227"/>
      <c r="AL518" s="227"/>
      <c r="AM518" s="227"/>
      <c r="AN518" s="227"/>
      <c r="AO518" s="227"/>
      <c r="AP518" s="227"/>
      <c r="AQ518" s="227"/>
      <c r="AR518" s="227"/>
      <c r="AS518" s="227"/>
      <c r="AT518" s="227"/>
      <c r="AU518" s="227"/>
      <c r="AV518" s="227"/>
      <c r="AW518" s="227"/>
      <c r="AX518" s="227"/>
      <c r="AY518" s="227"/>
      <c r="AZ518" s="227"/>
      <c r="BA518" s="227"/>
      <c r="BB518" s="227"/>
      <c r="BC518" s="227"/>
      <c r="BD518" s="227"/>
      <c r="BE518" s="227"/>
      <c r="BF518" s="227"/>
      <c r="BG518" s="227"/>
      <c r="BH518" s="227"/>
      <c r="BI518" s="227"/>
    </row>
    <row r="519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  <c r="AB519" s="227"/>
      <c r="AC519" s="227"/>
      <c r="AD519" s="227"/>
      <c r="AE519" s="227"/>
      <c r="AF519" s="227"/>
      <c r="AG519" s="227"/>
      <c r="AH519" s="227"/>
      <c r="AI519" s="227"/>
      <c r="AJ519" s="227"/>
      <c r="AK519" s="227"/>
      <c r="AL519" s="227"/>
      <c r="AM519" s="227"/>
      <c r="AN519" s="227"/>
      <c r="AO519" s="227"/>
      <c r="AP519" s="227"/>
      <c r="AQ519" s="227"/>
      <c r="AR519" s="227"/>
      <c r="AS519" s="227"/>
      <c r="AT519" s="227"/>
      <c r="AU519" s="227"/>
      <c r="AV519" s="227"/>
      <c r="AW519" s="227"/>
      <c r="AX519" s="227"/>
      <c r="AY519" s="227"/>
      <c r="AZ519" s="227"/>
      <c r="BA519" s="227"/>
      <c r="BB519" s="227"/>
      <c r="BC519" s="227"/>
      <c r="BD519" s="227"/>
      <c r="BE519" s="227"/>
      <c r="BF519" s="227"/>
      <c r="BG519" s="227"/>
      <c r="BH519" s="227"/>
      <c r="BI519" s="227"/>
    </row>
    <row r="520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227"/>
      <c r="BH520" s="227"/>
      <c r="BI520" s="227"/>
    </row>
    <row r="52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L521" s="227"/>
      <c r="AM521" s="227"/>
      <c r="AN521" s="227"/>
      <c r="AO521" s="227"/>
      <c r="AP521" s="227"/>
      <c r="AQ521" s="227"/>
      <c r="AR521" s="227"/>
      <c r="AS521" s="227"/>
      <c r="AT521" s="227"/>
      <c r="AU521" s="227"/>
      <c r="AV521" s="227"/>
      <c r="AW521" s="227"/>
      <c r="AX521" s="227"/>
      <c r="AY521" s="227"/>
      <c r="AZ521" s="227"/>
      <c r="BA521" s="227"/>
      <c r="BB521" s="227"/>
      <c r="BC521" s="227"/>
      <c r="BD521" s="227"/>
      <c r="BE521" s="227"/>
      <c r="BF521" s="227"/>
      <c r="BG521" s="227"/>
      <c r="BH521" s="227"/>
      <c r="BI521" s="227"/>
    </row>
    <row r="522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L522" s="227"/>
      <c r="AM522" s="227"/>
      <c r="AN522" s="227"/>
      <c r="AO522" s="227"/>
      <c r="AP522" s="227"/>
      <c r="AQ522" s="227"/>
      <c r="AR522" s="227"/>
      <c r="AS522" s="227"/>
      <c r="AT522" s="227"/>
      <c r="AU522" s="227"/>
      <c r="AV522" s="227"/>
      <c r="AW522" s="227"/>
      <c r="AX522" s="227"/>
      <c r="AY522" s="227"/>
      <c r="AZ522" s="227"/>
      <c r="BA522" s="227"/>
      <c r="BB522" s="227"/>
      <c r="BC522" s="227"/>
      <c r="BD522" s="227"/>
      <c r="BE522" s="227"/>
      <c r="BF522" s="227"/>
      <c r="BG522" s="227"/>
      <c r="BH522" s="227"/>
      <c r="BI522" s="227"/>
    </row>
    <row r="523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L523" s="227"/>
      <c r="AM523" s="227"/>
      <c r="AN523" s="227"/>
      <c r="AO523" s="227"/>
      <c r="AP523" s="227"/>
      <c r="AQ523" s="227"/>
      <c r="AR523" s="227"/>
      <c r="AS523" s="227"/>
      <c r="AT523" s="227"/>
      <c r="AU523" s="227"/>
      <c r="AV523" s="227"/>
      <c r="AW523" s="227"/>
      <c r="AX523" s="227"/>
      <c r="AY523" s="227"/>
      <c r="AZ523" s="227"/>
      <c r="BA523" s="227"/>
      <c r="BB523" s="227"/>
      <c r="BC523" s="227"/>
      <c r="BD523" s="227"/>
      <c r="BE523" s="227"/>
      <c r="BF523" s="227"/>
      <c r="BG523" s="227"/>
      <c r="BH523" s="227"/>
      <c r="BI523" s="227"/>
    </row>
    <row r="524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L524" s="227"/>
      <c r="AM524" s="227"/>
      <c r="AN524" s="227"/>
      <c r="AO524" s="227"/>
      <c r="AP524" s="227"/>
      <c r="AQ524" s="227"/>
      <c r="AR524" s="227"/>
      <c r="AS524" s="227"/>
      <c r="AT524" s="227"/>
      <c r="AU524" s="227"/>
      <c r="AV524" s="227"/>
      <c r="AW524" s="227"/>
      <c r="AX524" s="227"/>
      <c r="AY524" s="227"/>
      <c r="AZ524" s="227"/>
      <c r="BA524" s="227"/>
      <c r="BB524" s="227"/>
      <c r="BC524" s="227"/>
      <c r="BD524" s="227"/>
      <c r="BE524" s="227"/>
      <c r="BF524" s="227"/>
      <c r="BG524" s="227"/>
      <c r="BH524" s="227"/>
      <c r="BI524" s="227"/>
    </row>
    <row r="525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  <c r="AB525" s="227"/>
      <c r="AC525" s="227"/>
      <c r="AD525" s="227"/>
      <c r="AE525" s="227"/>
      <c r="AF525" s="227"/>
      <c r="AG525" s="227"/>
      <c r="AH525" s="227"/>
      <c r="AI525" s="227"/>
      <c r="AJ525" s="227"/>
      <c r="AK525" s="227"/>
      <c r="AL525" s="227"/>
      <c r="AM525" s="227"/>
      <c r="AN525" s="227"/>
      <c r="AO525" s="227"/>
      <c r="AP525" s="227"/>
      <c r="AQ525" s="227"/>
      <c r="AR525" s="227"/>
      <c r="AS525" s="227"/>
      <c r="AT525" s="227"/>
      <c r="AU525" s="227"/>
      <c r="AV525" s="227"/>
      <c r="AW525" s="227"/>
      <c r="AX525" s="227"/>
      <c r="AY525" s="227"/>
      <c r="AZ525" s="227"/>
      <c r="BA525" s="227"/>
      <c r="BB525" s="227"/>
      <c r="BC525" s="227"/>
      <c r="BD525" s="227"/>
      <c r="BE525" s="227"/>
      <c r="BF525" s="227"/>
      <c r="BG525" s="227"/>
      <c r="BH525" s="227"/>
      <c r="BI525" s="227"/>
    </row>
    <row r="5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  <c r="AB526" s="227"/>
      <c r="AC526" s="227"/>
      <c r="AD526" s="227"/>
      <c r="AE526" s="227"/>
      <c r="AF526" s="227"/>
      <c r="AG526" s="227"/>
      <c r="AH526" s="227"/>
      <c r="AI526" s="227"/>
      <c r="AJ526" s="227"/>
      <c r="AK526" s="227"/>
      <c r="AL526" s="227"/>
      <c r="AM526" s="227"/>
      <c r="AN526" s="227"/>
      <c r="AO526" s="227"/>
      <c r="AP526" s="227"/>
      <c r="AQ526" s="227"/>
      <c r="AR526" s="227"/>
      <c r="AS526" s="227"/>
      <c r="AT526" s="227"/>
      <c r="AU526" s="227"/>
      <c r="AV526" s="227"/>
      <c r="AW526" s="227"/>
      <c r="AX526" s="227"/>
      <c r="AY526" s="227"/>
      <c r="AZ526" s="227"/>
      <c r="BA526" s="227"/>
      <c r="BB526" s="227"/>
      <c r="BC526" s="227"/>
      <c r="BD526" s="227"/>
      <c r="BE526" s="227"/>
      <c r="BF526" s="227"/>
      <c r="BG526" s="227"/>
      <c r="BH526" s="227"/>
      <c r="BI526" s="227"/>
    </row>
    <row r="527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227"/>
      <c r="AZ527" s="227"/>
      <c r="BA527" s="227"/>
      <c r="BB527" s="227"/>
      <c r="BC527" s="227"/>
      <c r="BD527" s="227"/>
      <c r="BE527" s="227"/>
      <c r="BF527" s="227"/>
      <c r="BG527" s="227"/>
      <c r="BH527" s="227"/>
      <c r="BI527" s="227"/>
    </row>
    <row r="528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  <c r="AT528" s="227"/>
      <c r="AU528" s="227"/>
      <c r="AV528" s="227"/>
      <c r="AW528" s="227"/>
      <c r="AX528" s="227"/>
      <c r="AY528" s="227"/>
      <c r="AZ528" s="227"/>
      <c r="BA528" s="227"/>
      <c r="BB528" s="227"/>
      <c r="BC528" s="227"/>
      <c r="BD528" s="227"/>
      <c r="BE528" s="227"/>
      <c r="BF528" s="227"/>
      <c r="BG528" s="227"/>
      <c r="BH528" s="227"/>
      <c r="BI528" s="227"/>
    </row>
    <row r="529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227"/>
      <c r="AZ529" s="227"/>
      <c r="BA529" s="227"/>
      <c r="BB529" s="227"/>
      <c r="BC529" s="227"/>
      <c r="BD529" s="227"/>
      <c r="BE529" s="227"/>
      <c r="BF529" s="227"/>
      <c r="BG529" s="227"/>
      <c r="BH529" s="227"/>
      <c r="BI529" s="227"/>
    </row>
    <row r="530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  <c r="AB530" s="227"/>
      <c r="AC530" s="227"/>
      <c r="AD530" s="227"/>
      <c r="AE530" s="227"/>
      <c r="AF530" s="227"/>
      <c r="AG530" s="227"/>
      <c r="AH530" s="227"/>
      <c r="AI530" s="227"/>
      <c r="AJ530" s="227"/>
      <c r="AK530" s="227"/>
      <c r="AL530" s="227"/>
      <c r="AM530" s="227"/>
      <c r="AN530" s="227"/>
      <c r="AO530" s="227"/>
      <c r="AP530" s="227"/>
      <c r="AQ530" s="227"/>
      <c r="AR530" s="227"/>
      <c r="AS530" s="227"/>
      <c r="AT530" s="227"/>
      <c r="AU530" s="227"/>
      <c r="AV530" s="227"/>
      <c r="AW530" s="227"/>
      <c r="AX530" s="227"/>
      <c r="AY530" s="227"/>
      <c r="AZ530" s="227"/>
      <c r="BA530" s="227"/>
      <c r="BB530" s="227"/>
      <c r="BC530" s="227"/>
      <c r="BD530" s="227"/>
      <c r="BE530" s="227"/>
      <c r="BF530" s="227"/>
      <c r="BG530" s="227"/>
      <c r="BH530" s="227"/>
      <c r="BI530" s="227"/>
    </row>
    <row r="53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  <c r="AB531" s="227"/>
      <c r="AC531" s="227"/>
      <c r="AD531" s="227"/>
      <c r="AE531" s="227"/>
      <c r="AF531" s="227"/>
      <c r="AG531" s="227"/>
      <c r="AH531" s="227"/>
      <c r="AI531" s="227"/>
      <c r="AJ531" s="227"/>
      <c r="AK531" s="227"/>
      <c r="AL531" s="227"/>
      <c r="AM531" s="227"/>
      <c r="AN531" s="227"/>
      <c r="AO531" s="227"/>
      <c r="AP531" s="227"/>
      <c r="AQ531" s="227"/>
      <c r="AR531" s="227"/>
      <c r="AS531" s="227"/>
      <c r="AT531" s="227"/>
      <c r="AU531" s="227"/>
      <c r="AV531" s="227"/>
      <c r="AW531" s="227"/>
      <c r="AX531" s="227"/>
      <c r="AY531" s="227"/>
      <c r="AZ531" s="227"/>
      <c r="BA531" s="227"/>
      <c r="BB531" s="227"/>
      <c r="BC531" s="227"/>
      <c r="BD531" s="227"/>
      <c r="BE531" s="227"/>
      <c r="BF531" s="227"/>
      <c r="BG531" s="227"/>
      <c r="BH531" s="227"/>
      <c r="BI531" s="227"/>
    </row>
    <row r="532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27"/>
      <c r="BC532" s="227"/>
      <c r="BD532" s="227"/>
      <c r="BE532" s="227"/>
      <c r="BF532" s="227"/>
      <c r="BG532" s="227"/>
      <c r="BH532" s="227"/>
      <c r="BI532" s="227"/>
    </row>
    <row r="533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7"/>
      <c r="AG533" s="227"/>
      <c r="AH533" s="227"/>
      <c r="AI533" s="227"/>
      <c r="AJ533" s="227"/>
      <c r="AK533" s="227"/>
      <c r="AL533" s="227"/>
      <c r="AM533" s="227"/>
      <c r="AN533" s="227"/>
      <c r="AO533" s="227"/>
      <c r="AP533" s="227"/>
      <c r="AQ533" s="227"/>
      <c r="AR533" s="227"/>
      <c r="AS533" s="227"/>
      <c r="AT533" s="227"/>
      <c r="AU533" s="227"/>
      <c r="AV533" s="227"/>
      <c r="AW533" s="227"/>
      <c r="AX533" s="227"/>
      <c r="AY533" s="227"/>
      <c r="AZ533" s="227"/>
      <c r="BA533" s="227"/>
      <c r="BB533" s="227"/>
      <c r="BC533" s="227"/>
      <c r="BD533" s="227"/>
      <c r="BE533" s="227"/>
      <c r="BF533" s="227"/>
      <c r="BG533" s="227"/>
      <c r="BH533" s="227"/>
      <c r="BI533" s="227"/>
    </row>
    <row r="534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  <c r="AB534" s="227"/>
      <c r="AC534" s="227"/>
      <c r="AD534" s="227"/>
      <c r="AE534" s="227"/>
      <c r="AF534" s="227"/>
      <c r="AG534" s="227"/>
      <c r="AH534" s="227"/>
      <c r="AI534" s="227"/>
      <c r="AJ534" s="227"/>
      <c r="AK534" s="227"/>
      <c r="AL534" s="227"/>
      <c r="AM534" s="227"/>
      <c r="AN534" s="227"/>
      <c r="AO534" s="227"/>
      <c r="AP534" s="227"/>
      <c r="AQ534" s="227"/>
      <c r="AR534" s="227"/>
      <c r="AS534" s="227"/>
      <c r="AT534" s="227"/>
      <c r="AU534" s="227"/>
      <c r="AV534" s="227"/>
      <c r="AW534" s="227"/>
      <c r="AX534" s="227"/>
      <c r="AY534" s="227"/>
      <c r="AZ534" s="227"/>
      <c r="BA534" s="227"/>
      <c r="BB534" s="227"/>
      <c r="BC534" s="227"/>
      <c r="BD534" s="227"/>
      <c r="BE534" s="227"/>
      <c r="BF534" s="227"/>
      <c r="BG534" s="227"/>
      <c r="BH534" s="227"/>
      <c r="BI534" s="227"/>
    </row>
    <row r="535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  <c r="AB535" s="227"/>
      <c r="AC535" s="227"/>
      <c r="AD535" s="227"/>
      <c r="AE535" s="227"/>
      <c r="AF535" s="227"/>
      <c r="AG535" s="227"/>
      <c r="AH535" s="227"/>
      <c r="AI535" s="227"/>
      <c r="AJ535" s="227"/>
      <c r="AK535" s="227"/>
      <c r="AL535" s="227"/>
      <c r="AM535" s="227"/>
      <c r="AN535" s="227"/>
      <c r="AO535" s="227"/>
      <c r="AP535" s="227"/>
      <c r="AQ535" s="227"/>
      <c r="AR535" s="227"/>
      <c r="AS535" s="227"/>
      <c r="AT535" s="227"/>
      <c r="AU535" s="227"/>
      <c r="AV535" s="227"/>
      <c r="AW535" s="227"/>
      <c r="AX535" s="227"/>
      <c r="AY535" s="227"/>
      <c r="AZ535" s="227"/>
      <c r="BA535" s="227"/>
      <c r="BB535" s="227"/>
      <c r="BC535" s="227"/>
      <c r="BD535" s="227"/>
      <c r="BE535" s="227"/>
      <c r="BF535" s="227"/>
      <c r="BG535" s="227"/>
      <c r="BH535" s="227"/>
      <c r="BI535" s="227"/>
    </row>
    <row r="53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  <c r="AB536" s="227"/>
      <c r="AC536" s="227"/>
      <c r="AD536" s="227"/>
      <c r="AE536" s="227"/>
      <c r="AF536" s="227"/>
      <c r="AG536" s="227"/>
      <c r="AH536" s="227"/>
      <c r="AI536" s="227"/>
      <c r="AJ536" s="227"/>
      <c r="AK536" s="227"/>
      <c r="AL536" s="227"/>
      <c r="AM536" s="227"/>
      <c r="AN536" s="227"/>
      <c r="AO536" s="227"/>
      <c r="AP536" s="227"/>
      <c r="AQ536" s="227"/>
      <c r="AR536" s="227"/>
      <c r="AS536" s="227"/>
      <c r="AT536" s="227"/>
      <c r="AU536" s="227"/>
      <c r="AV536" s="227"/>
      <c r="AW536" s="227"/>
      <c r="AX536" s="227"/>
      <c r="AY536" s="227"/>
      <c r="AZ536" s="227"/>
      <c r="BA536" s="227"/>
      <c r="BB536" s="227"/>
      <c r="BC536" s="227"/>
      <c r="BD536" s="227"/>
      <c r="BE536" s="227"/>
      <c r="BF536" s="227"/>
      <c r="BG536" s="227"/>
      <c r="BH536" s="227"/>
      <c r="BI536" s="227"/>
    </row>
    <row r="537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  <c r="AB537" s="227"/>
      <c r="AC537" s="227"/>
      <c r="AD537" s="227"/>
      <c r="AE537" s="227"/>
      <c r="AF537" s="227"/>
      <c r="AG537" s="227"/>
      <c r="AH537" s="227"/>
      <c r="AI537" s="227"/>
      <c r="AJ537" s="227"/>
      <c r="AK537" s="227"/>
      <c r="AL537" s="227"/>
      <c r="AM537" s="227"/>
      <c r="AN537" s="227"/>
      <c r="AO537" s="227"/>
      <c r="AP537" s="227"/>
      <c r="AQ537" s="227"/>
      <c r="AR537" s="227"/>
      <c r="AS537" s="227"/>
      <c r="AT537" s="227"/>
      <c r="AU537" s="227"/>
      <c r="AV537" s="227"/>
      <c r="AW537" s="227"/>
      <c r="AX537" s="227"/>
      <c r="AY537" s="227"/>
      <c r="AZ537" s="227"/>
      <c r="BA537" s="227"/>
      <c r="BB537" s="227"/>
      <c r="BC537" s="227"/>
      <c r="BD537" s="227"/>
      <c r="BE537" s="227"/>
      <c r="BF537" s="227"/>
      <c r="BG537" s="227"/>
      <c r="BH537" s="227"/>
      <c r="BI537" s="227"/>
    </row>
    <row r="538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  <c r="AB538" s="227"/>
      <c r="AC538" s="227"/>
      <c r="AD538" s="227"/>
      <c r="AE538" s="227"/>
      <c r="AF538" s="227"/>
      <c r="AG538" s="227"/>
      <c r="AH538" s="227"/>
      <c r="AI538" s="227"/>
      <c r="AJ538" s="227"/>
      <c r="AK538" s="227"/>
      <c r="AL538" s="227"/>
      <c r="AM538" s="227"/>
      <c r="AN538" s="227"/>
      <c r="AO538" s="227"/>
      <c r="AP538" s="227"/>
      <c r="AQ538" s="227"/>
      <c r="AR538" s="227"/>
      <c r="AS538" s="227"/>
      <c r="AT538" s="227"/>
      <c r="AU538" s="227"/>
      <c r="AV538" s="227"/>
      <c r="AW538" s="227"/>
      <c r="AX538" s="227"/>
      <c r="AY538" s="227"/>
      <c r="AZ538" s="227"/>
      <c r="BA538" s="227"/>
      <c r="BB538" s="227"/>
      <c r="BC538" s="227"/>
      <c r="BD538" s="227"/>
      <c r="BE538" s="227"/>
      <c r="BF538" s="227"/>
      <c r="BG538" s="227"/>
      <c r="BH538" s="227"/>
      <c r="BI538" s="227"/>
    </row>
    <row r="539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  <c r="AB539" s="227"/>
      <c r="AC539" s="227"/>
      <c r="AD539" s="227"/>
      <c r="AE539" s="227"/>
      <c r="AF539" s="227"/>
      <c r="AG539" s="227"/>
      <c r="AH539" s="227"/>
      <c r="AI539" s="227"/>
      <c r="AJ539" s="227"/>
      <c r="AK539" s="227"/>
      <c r="AL539" s="227"/>
      <c r="AM539" s="227"/>
      <c r="AN539" s="227"/>
      <c r="AO539" s="227"/>
      <c r="AP539" s="227"/>
      <c r="AQ539" s="227"/>
      <c r="AR539" s="227"/>
      <c r="AS539" s="227"/>
      <c r="AT539" s="227"/>
      <c r="AU539" s="227"/>
      <c r="AV539" s="227"/>
      <c r="AW539" s="227"/>
      <c r="AX539" s="227"/>
      <c r="AY539" s="227"/>
      <c r="AZ539" s="227"/>
      <c r="BA539" s="227"/>
      <c r="BB539" s="227"/>
      <c r="BC539" s="227"/>
      <c r="BD539" s="227"/>
      <c r="BE539" s="227"/>
      <c r="BF539" s="227"/>
      <c r="BG539" s="227"/>
      <c r="BH539" s="227"/>
      <c r="BI539" s="227"/>
    </row>
    <row r="540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  <c r="AB540" s="227"/>
      <c r="AC540" s="227"/>
      <c r="AD540" s="227"/>
      <c r="AE540" s="227"/>
      <c r="AF540" s="227"/>
      <c r="AG540" s="227"/>
      <c r="AH540" s="227"/>
      <c r="AI540" s="227"/>
      <c r="AJ540" s="227"/>
      <c r="AK540" s="227"/>
      <c r="AL540" s="227"/>
      <c r="AM540" s="227"/>
      <c r="AN540" s="227"/>
      <c r="AO540" s="227"/>
      <c r="AP540" s="227"/>
      <c r="AQ540" s="227"/>
      <c r="AR540" s="227"/>
      <c r="AS540" s="227"/>
      <c r="AT540" s="227"/>
      <c r="AU540" s="227"/>
      <c r="AV540" s="227"/>
      <c r="AW540" s="227"/>
      <c r="AX540" s="227"/>
      <c r="AY540" s="227"/>
      <c r="AZ540" s="227"/>
      <c r="BA540" s="227"/>
      <c r="BB540" s="227"/>
      <c r="BC540" s="227"/>
      <c r="BD540" s="227"/>
      <c r="BE540" s="227"/>
      <c r="BF540" s="227"/>
      <c r="BG540" s="227"/>
      <c r="BH540" s="227"/>
      <c r="BI540" s="227"/>
    </row>
    <row r="54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  <c r="AB541" s="227"/>
      <c r="AC541" s="227"/>
      <c r="AD541" s="227"/>
      <c r="AE541" s="227"/>
      <c r="AF541" s="227"/>
      <c r="AG541" s="227"/>
      <c r="AH541" s="227"/>
      <c r="AI541" s="227"/>
      <c r="AJ541" s="227"/>
      <c r="AK541" s="227"/>
      <c r="AL541" s="227"/>
      <c r="AM541" s="227"/>
      <c r="AN541" s="227"/>
      <c r="AO541" s="227"/>
      <c r="AP541" s="227"/>
      <c r="AQ541" s="227"/>
      <c r="AR541" s="227"/>
      <c r="AS541" s="227"/>
      <c r="AT541" s="227"/>
      <c r="AU541" s="227"/>
      <c r="AV541" s="227"/>
      <c r="AW541" s="227"/>
      <c r="AX541" s="227"/>
      <c r="AY541" s="227"/>
      <c r="AZ541" s="227"/>
      <c r="BA541" s="227"/>
      <c r="BB541" s="227"/>
      <c r="BC541" s="227"/>
      <c r="BD541" s="227"/>
      <c r="BE541" s="227"/>
      <c r="BF541" s="227"/>
      <c r="BG541" s="227"/>
      <c r="BH541" s="227"/>
      <c r="BI541" s="227"/>
    </row>
    <row r="542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  <c r="AB542" s="227"/>
      <c r="AC542" s="227"/>
      <c r="AD542" s="227"/>
      <c r="AE542" s="227"/>
      <c r="AF542" s="227"/>
      <c r="AG542" s="227"/>
      <c r="AH542" s="227"/>
      <c r="AI542" s="227"/>
      <c r="AJ542" s="227"/>
      <c r="AK542" s="227"/>
      <c r="AL542" s="227"/>
      <c r="AM542" s="227"/>
      <c r="AN542" s="227"/>
      <c r="AO542" s="227"/>
      <c r="AP542" s="227"/>
      <c r="AQ542" s="227"/>
      <c r="AR542" s="227"/>
      <c r="AS542" s="227"/>
      <c r="AT542" s="227"/>
      <c r="AU542" s="227"/>
      <c r="AV542" s="227"/>
      <c r="AW542" s="227"/>
      <c r="AX542" s="227"/>
      <c r="AY542" s="227"/>
      <c r="AZ542" s="227"/>
      <c r="BA542" s="227"/>
      <c r="BB542" s="227"/>
      <c r="BC542" s="227"/>
      <c r="BD542" s="227"/>
      <c r="BE542" s="227"/>
      <c r="BF542" s="227"/>
      <c r="BG542" s="227"/>
      <c r="BH542" s="227"/>
      <c r="BI542" s="227"/>
    </row>
    <row r="543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  <c r="AB543" s="227"/>
      <c r="AC543" s="227"/>
      <c r="AD543" s="227"/>
      <c r="AE543" s="227"/>
      <c r="AF543" s="227"/>
      <c r="AG543" s="227"/>
      <c r="AH543" s="227"/>
      <c r="AI543" s="227"/>
      <c r="AJ543" s="227"/>
      <c r="AK543" s="227"/>
      <c r="AL543" s="227"/>
      <c r="AM543" s="227"/>
      <c r="AN543" s="227"/>
      <c r="AO543" s="227"/>
      <c r="AP543" s="227"/>
      <c r="AQ543" s="227"/>
      <c r="AR543" s="227"/>
      <c r="AS543" s="227"/>
      <c r="AT543" s="227"/>
      <c r="AU543" s="227"/>
      <c r="AV543" s="227"/>
      <c r="AW543" s="227"/>
      <c r="AX543" s="227"/>
      <c r="AY543" s="227"/>
      <c r="AZ543" s="227"/>
      <c r="BA543" s="227"/>
      <c r="BB543" s="227"/>
      <c r="BC543" s="227"/>
      <c r="BD543" s="227"/>
      <c r="BE543" s="227"/>
      <c r="BF543" s="227"/>
      <c r="BG543" s="227"/>
      <c r="BH543" s="227"/>
      <c r="BI543" s="227"/>
    </row>
    <row r="544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27"/>
      <c r="AL544" s="227"/>
      <c r="AM544" s="227"/>
      <c r="AN544" s="227"/>
      <c r="AO544" s="227"/>
      <c r="AP544" s="227"/>
      <c r="AQ544" s="227"/>
      <c r="AR544" s="227"/>
      <c r="AS544" s="227"/>
      <c r="AT544" s="227"/>
      <c r="AU544" s="227"/>
      <c r="AV544" s="227"/>
      <c r="AW544" s="227"/>
      <c r="AX544" s="227"/>
      <c r="AY544" s="227"/>
      <c r="AZ544" s="227"/>
      <c r="BA544" s="227"/>
      <c r="BB544" s="227"/>
      <c r="BC544" s="227"/>
      <c r="BD544" s="227"/>
      <c r="BE544" s="227"/>
      <c r="BF544" s="227"/>
      <c r="BG544" s="227"/>
      <c r="BH544" s="227"/>
      <c r="BI544" s="227"/>
    </row>
    <row r="545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  <c r="AB545" s="227"/>
      <c r="AC545" s="227"/>
      <c r="AD545" s="227"/>
      <c r="AE545" s="227"/>
      <c r="AF545" s="227"/>
      <c r="AG545" s="227"/>
      <c r="AH545" s="227"/>
      <c r="AI545" s="227"/>
      <c r="AJ545" s="227"/>
      <c r="AK545" s="227"/>
      <c r="AL545" s="227"/>
      <c r="AM545" s="227"/>
      <c r="AN545" s="227"/>
      <c r="AO545" s="227"/>
      <c r="AP545" s="227"/>
      <c r="AQ545" s="227"/>
      <c r="AR545" s="227"/>
      <c r="AS545" s="227"/>
      <c r="AT545" s="227"/>
      <c r="AU545" s="227"/>
      <c r="AV545" s="227"/>
      <c r="AW545" s="227"/>
      <c r="AX545" s="227"/>
      <c r="AY545" s="227"/>
      <c r="AZ545" s="227"/>
      <c r="BA545" s="227"/>
      <c r="BB545" s="227"/>
      <c r="BC545" s="227"/>
      <c r="BD545" s="227"/>
      <c r="BE545" s="227"/>
      <c r="BF545" s="227"/>
      <c r="BG545" s="227"/>
      <c r="BH545" s="227"/>
      <c r="BI545" s="227"/>
    </row>
    <row r="54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  <c r="AB546" s="227"/>
      <c r="AC546" s="227"/>
      <c r="AD546" s="227"/>
      <c r="AE546" s="227"/>
      <c r="AF546" s="227"/>
      <c r="AG546" s="227"/>
      <c r="AH546" s="227"/>
      <c r="AI546" s="227"/>
      <c r="AJ546" s="227"/>
      <c r="AK546" s="227"/>
      <c r="AL546" s="227"/>
      <c r="AM546" s="227"/>
      <c r="AN546" s="227"/>
      <c r="AO546" s="227"/>
      <c r="AP546" s="227"/>
      <c r="AQ546" s="227"/>
      <c r="AR546" s="227"/>
      <c r="AS546" s="227"/>
      <c r="AT546" s="227"/>
      <c r="AU546" s="227"/>
      <c r="AV546" s="227"/>
      <c r="AW546" s="227"/>
      <c r="AX546" s="227"/>
      <c r="AY546" s="227"/>
      <c r="AZ546" s="227"/>
      <c r="BA546" s="227"/>
      <c r="BB546" s="227"/>
      <c r="BC546" s="227"/>
      <c r="BD546" s="227"/>
      <c r="BE546" s="227"/>
      <c r="BF546" s="227"/>
      <c r="BG546" s="227"/>
      <c r="BH546" s="227"/>
      <c r="BI546" s="227"/>
    </row>
    <row r="547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  <c r="AB547" s="227"/>
      <c r="AC547" s="227"/>
      <c r="AD547" s="227"/>
      <c r="AE547" s="227"/>
      <c r="AF547" s="227"/>
      <c r="AG547" s="227"/>
      <c r="AH547" s="227"/>
      <c r="AI547" s="227"/>
      <c r="AJ547" s="227"/>
      <c r="AK547" s="227"/>
      <c r="AL547" s="227"/>
      <c r="AM547" s="227"/>
      <c r="AN547" s="227"/>
      <c r="AO547" s="227"/>
      <c r="AP547" s="227"/>
      <c r="AQ547" s="227"/>
      <c r="AR547" s="227"/>
      <c r="AS547" s="227"/>
      <c r="AT547" s="227"/>
      <c r="AU547" s="227"/>
      <c r="AV547" s="227"/>
      <c r="AW547" s="227"/>
      <c r="AX547" s="227"/>
      <c r="AY547" s="227"/>
      <c r="AZ547" s="227"/>
      <c r="BA547" s="227"/>
      <c r="BB547" s="227"/>
      <c r="BC547" s="227"/>
      <c r="BD547" s="227"/>
      <c r="BE547" s="227"/>
      <c r="BF547" s="227"/>
      <c r="BG547" s="227"/>
      <c r="BH547" s="227"/>
      <c r="BI547" s="227"/>
    </row>
    <row r="548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  <c r="AB548" s="227"/>
      <c r="AC548" s="227"/>
      <c r="AD548" s="227"/>
      <c r="AE548" s="227"/>
      <c r="AF548" s="227"/>
      <c r="AG548" s="227"/>
      <c r="AH548" s="227"/>
      <c r="AI548" s="227"/>
      <c r="AJ548" s="227"/>
      <c r="AK548" s="227"/>
      <c r="AL548" s="227"/>
      <c r="AM548" s="227"/>
      <c r="AN548" s="227"/>
      <c r="AO548" s="227"/>
      <c r="AP548" s="227"/>
      <c r="AQ548" s="227"/>
      <c r="AR548" s="227"/>
      <c r="AS548" s="227"/>
      <c r="AT548" s="227"/>
      <c r="AU548" s="227"/>
      <c r="AV548" s="227"/>
      <c r="AW548" s="227"/>
      <c r="AX548" s="227"/>
      <c r="AY548" s="227"/>
      <c r="AZ548" s="227"/>
      <c r="BA548" s="227"/>
      <c r="BB548" s="227"/>
      <c r="BC548" s="227"/>
      <c r="BD548" s="227"/>
      <c r="BE548" s="227"/>
      <c r="BF548" s="227"/>
      <c r="BG548" s="227"/>
      <c r="BH548" s="227"/>
      <c r="BI548" s="227"/>
    </row>
    <row r="549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  <c r="AB549" s="227"/>
      <c r="AC549" s="227"/>
      <c r="AD549" s="227"/>
      <c r="AE549" s="227"/>
      <c r="AF549" s="227"/>
      <c r="AG549" s="227"/>
      <c r="AH549" s="227"/>
      <c r="AI549" s="227"/>
      <c r="AJ549" s="227"/>
      <c r="AK549" s="227"/>
      <c r="AL549" s="227"/>
      <c r="AM549" s="227"/>
      <c r="AN549" s="227"/>
      <c r="AO549" s="227"/>
      <c r="AP549" s="227"/>
      <c r="AQ549" s="227"/>
      <c r="AR549" s="227"/>
      <c r="AS549" s="227"/>
      <c r="AT549" s="227"/>
      <c r="AU549" s="227"/>
      <c r="AV549" s="227"/>
      <c r="AW549" s="227"/>
      <c r="AX549" s="227"/>
      <c r="AY549" s="227"/>
      <c r="AZ549" s="227"/>
      <c r="BA549" s="227"/>
      <c r="BB549" s="227"/>
      <c r="BC549" s="227"/>
      <c r="BD549" s="227"/>
      <c r="BE549" s="227"/>
      <c r="BF549" s="227"/>
      <c r="BG549" s="227"/>
      <c r="BH549" s="227"/>
      <c r="BI549" s="227"/>
    </row>
    <row r="550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  <c r="AB550" s="227"/>
      <c r="AC550" s="227"/>
      <c r="AD550" s="227"/>
      <c r="AE550" s="227"/>
      <c r="AF550" s="227"/>
      <c r="AG550" s="227"/>
      <c r="AH550" s="227"/>
      <c r="AI550" s="227"/>
      <c r="AJ550" s="227"/>
      <c r="AK550" s="227"/>
      <c r="AL550" s="227"/>
      <c r="AM550" s="227"/>
      <c r="AN550" s="227"/>
      <c r="AO550" s="227"/>
      <c r="AP550" s="227"/>
      <c r="AQ550" s="227"/>
      <c r="AR550" s="227"/>
      <c r="AS550" s="227"/>
      <c r="AT550" s="227"/>
      <c r="AU550" s="227"/>
      <c r="AV550" s="227"/>
      <c r="AW550" s="227"/>
      <c r="AX550" s="227"/>
      <c r="AY550" s="227"/>
      <c r="AZ550" s="227"/>
      <c r="BA550" s="227"/>
      <c r="BB550" s="227"/>
      <c r="BC550" s="227"/>
      <c r="BD550" s="227"/>
      <c r="BE550" s="227"/>
      <c r="BF550" s="227"/>
      <c r="BG550" s="227"/>
      <c r="BH550" s="227"/>
      <c r="BI550" s="227"/>
    </row>
    <row r="55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  <c r="AB551" s="227"/>
      <c r="AC551" s="227"/>
      <c r="AD551" s="227"/>
      <c r="AE551" s="227"/>
      <c r="AF551" s="227"/>
      <c r="AG551" s="227"/>
      <c r="AH551" s="227"/>
      <c r="AI551" s="227"/>
      <c r="AJ551" s="227"/>
      <c r="AK551" s="227"/>
      <c r="AL551" s="227"/>
      <c r="AM551" s="227"/>
      <c r="AN551" s="227"/>
      <c r="AO551" s="227"/>
      <c r="AP551" s="227"/>
      <c r="AQ551" s="227"/>
      <c r="AR551" s="227"/>
      <c r="AS551" s="227"/>
      <c r="AT551" s="227"/>
      <c r="AU551" s="227"/>
      <c r="AV551" s="227"/>
      <c r="AW551" s="227"/>
      <c r="AX551" s="227"/>
      <c r="AY551" s="227"/>
      <c r="AZ551" s="227"/>
      <c r="BA551" s="227"/>
      <c r="BB551" s="227"/>
      <c r="BC551" s="227"/>
      <c r="BD551" s="227"/>
      <c r="BE551" s="227"/>
      <c r="BF551" s="227"/>
      <c r="BG551" s="227"/>
      <c r="BH551" s="227"/>
      <c r="BI551" s="227"/>
    </row>
    <row r="552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  <c r="AB552" s="227"/>
      <c r="AC552" s="227"/>
      <c r="AD552" s="227"/>
      <c r="AE552" s="227"/>
      <c r="AF552" s="227"/>
      <c r="AG552" s="227"/>
      <c r="AH552" s="227"/>
      <c r="AI552" s="227"/>
      <c r="AJ552" s="227"/>
      <c r="AK552" s="227"/>
      <c r="AL552" s="227"/>
      <c r="AM552" s="227"/>
      <c r="AN552" s="227"/>
      <c r="AO552" s="227"/>
      <c r="AP552" s="227"/>
      <c r="AQ552" s="227"/>
      <c r="AR552" s="227"/>
      <c r="AS552" s="227"/>
      <c r="AT552" s="227"/>
      <c r="AU552" s="227"/>
      <c r="AV552" s="227"/>
      <c r="AW552" s="227"/>
      <c r="AX552" s="227"/>
      <c r="AY552" s="227"/>
      <c r="AZ552" s="227"/>
      <c r="BA552" s="227"/>
      <c r="BB552" s="227"/>
      <c r="BC552" s="227"/>
      <c r="BD552" s="227"/>
      <c r="BE552" s="227"/>
      <c r="BF552" s="227"/>
      <c r="BG552" s="227"/>
      <c r="BH552" s="227"/>
      <c r="BI552" s="227"/>
    </row>
    <row r="553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  <c r="AB553" s="227"/>
      <c r="AC553" s="227"/>
      <c r="AD553" s="227"/>
      <c r="AE553" s="227"/>
      <c r="AF553" s="227"/>
      <c r="AG553" s="227"/>
      <c r="AH553" s="227"/>
      <c r="AI553" s="227"/>
      <c r="AJ553" s="227"/>
      <c r="AK553" s="227"/>
      <c r="AL553" s="227"/>
      <c r="AM553" s="227"/>
      <c r="AN553" s="227"/>
      <c r="AO553" s="227"/>
      <c r="AP553" s="227"/>
      <c r="AQ553" s="227"/>
      <c r="AR553" s="227"/>
      <c r="AS553" s="227"/>
      <c r="AT553" s="227"/>
      <c r="AU553" s="227"/>
      <c r="AV553" s="227"/>
      <c r="AW553" s="227"/>
      <c r="AX553" s="227"/>
      <c r="AY553" s="227"/>
      <c r="AZ553" s="227"/>
      <c r="BA553" s="227"/>
      <c r="BB553" s="227"/>
      <c r="BC553" s="227"/>
      <c r="BD553" s="227"/>
      <c r="BE553" s="227"/>
      <c r="BF553" s="227"/>
      <c r="BG553" s="227"/>
      <c r="BH553" s="227"/>
      <c r="BI553" s="227"/>
    </row>
    <row r="554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  <c r="AB554" s="227"/>
      <c r="AC554" s="227"/>
      <c r="AD554" s="227"/>
      <c r="AE554" s="227"/>
      <c r="AF554" s="227"/>
      <c r="AG554" s="227"/>
      <c r="AH554" s="227"/>
      <c r="AI554" s="227"/>
      <c r="AJ554" s="227"/>
      <c r="AK554" s="227"/>
      <c r="AL554" s="227"/>
      <c r="AM554" s="227"/>
      <c r="AN554" s="227"/>
      <c r="AO554" s="227"/>
      <c r="AP554" s="227"/>
      <c r="AQ554" s="227"/>
      <c r="AR554" s="227"/>
      <c r="AS554" s="227"/>
      <c r="AT554" s="227"/>
      <c r="AU554" s="227"/>
      <c r="AV554" s="227"/>
      <c r="AW554" s="227"/>
      <c r="AX554" s="227"/>
      <c r="AY554" s="227"/>
      <c r="AZ554" s="227"/>
      <c r="BA554" s="227"/>
      <c r="BB554" s="227"/>
      <c r="BC554" s="227"/>
      <c r="BD554" s="227"/>
      <c r="BE554" s="227"/>
      <c r="BF554" s="227"/>
      <c r="BG554" s="227"/>
      <c r="BH554" s="227"/>
      <c r="BI554" s="227"/>
    </row>
    <row r="55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  <c r="AB555" s="227"/>
      <c r="AC555" s="227"/>
      <c r="AD555" s="227"/>
      <c r="AE555" s="227"/>
      <c r="AF555" s="227"/>
      <c r="AG555" s="227"/>
      <c r="AH555" s="227"/>
      <c r="AI555" s="227"/>
      <c r="AJ555" s="227"/>
      <c r="AK555" s="227"/>
      <c r="AL555" s="227"/>
      <c r="AM555" s="227"/>
      <c r="AN555" s="227"/>
      <c r="AO555" s="227"/>
      <c r="AP555" s="227"/>
      <c r="AQ555" s="227"/>
      <c r="AR555" s="227"/>
      <c r="AS555" s="227"/>
      <c r="AT555" s="227"/>
      <c r="AU555" s="227"/>
      <c r="AV555" s="227"/>
      <c r="AW555" s="227"/>
      <c r="AX555" s="227"/>
      <c r="AY555" s="227"/>
      <c r="AZ555" s="227"/>
      <c r="BA555" s="227"/>
      <c r="BB555" s="227"/>
      <c r="BC555" s="227"/>
      <c r="BD555" s="227"/>
      <c r="BE555" s="227"/>
      <c r="BF555" s="227"/>
      <c r="BG555" s="227"/>
      <c r="BH555" s="227"/>
      <c r="BI555" s="227"/>
    </row>
    <row r="55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27"/>
      <c r="AL556" s="227"/>
      <c r="AM556" s="227"/>
      <c r="AN556" s="227"/>
      <c r="AO556" s="227"/>
      <c r="AP556" s="227"/>
      <c r="AQ556" s="227"/>
      <c r="AR556" s="227"/>
      <c r="AS556" s="227"/>
      <c r="AT556" s="227"/>
      <c r="AU556" s="227"/>
      <c r="AV556" s="227"/>
      <c r="AW556" s="227"/>
      <c r="AX556" s="227"/>
      <c r="AY556" s="227"/>
      <c r="AZ556" s="227"/>
      <c r="BA556" s="227"/>
      <c r="BB556" s="227"/>
      <c r="BC556" s="227"/>
      <c r="BD556" s="227"/>
      <c r="BE556" s="227"/>
      <c r="BF556" s="227"/>
      <c r="BG556" s="227"/>
      <c r="BH556" s="227"/>
      <c r="BI556" s="227"/>
    </row>
    <row r="557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227"/>
      <c r="BH557" s="227"/>
      <c r="BI557" s="227"/>
    </row>
    <row r="558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/>
      <c r="BG558" s="227"/>
      <c r="BH558" s="227"/>
      <c r="BI558" s="227"/>
    </row>
    <row r="559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  <c r="AB559" s="227"/>
      <c r="AC559" s="227"/>
      <c r="AD559" s="227"/>
      <c r="AE559" s="227"/>
      <c r="AF559" s="227"/>
      <c r="AG559" s="227"/>
      <c r="AH559" s="227"/>
      <c r="AI559" s="227"/>
      <c r="AJ559" s="227"/>
      <c r="AK559" s="227"/>
      <c r="AL559" s="227"/>
      <c r="AM559" s="227"/>
      <c r="AN559" s="227"/>
      <c r="AO559" s="227"/>
      <c r="AP559" s="227"/>
      <c r="AQ559" s="227"/>
      <c r="AR559" s="227"/>
      <c r="AS559" s="227"/>
      <c r="AT559" s="227"/>
      <c r="AU559" s="227"/>
      <c r="AV559" s="227"/>
      <c r="AW559" s="227"/>
      <c r="AX559" s="227"/>
      <c r="AY559" s="227"/>
      <c r="AZ559" s="227"/>
      <c r="BA559" s="227"/>
      <c r="BB559" s="227"/>
      <c r="BC559" s="227"/>
      <c r="BD559" s="227"/>
      <c r="BE559" s="227"/>
      <c r="BF559" s="227"/>
      <c r="BG559" s="227"/>
      <c r="BH559" s="227"/>
      <c r="BI559" s="227"/>
    </row>
    <row r="560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  <c r="AB560" s="227"/>
      <c r="AC560" s="227"/>
      <c r="AD560" s="227"/>
      <c r="AE560" s="227"/>
      <c r="AF560" s="227"/>
      <c r="AG560" s="227"/>
      <c r="AH560" s="227"/>
      <c r="AI560" s="227"/>
      <c r="AJ560" s="227"/>
      <c r="AK560" s="227"/>
      <c r="AL560" s="227"/>
      <c r="AM560" s="227"/>
      <c r="AN560" s="227"/>
      <c r="AO560" s="227"/>
      <c r="AP560" s="227"/>
      <c r="AQ560" s="227"/>
      <c r="AR560" s="227"/>
      <c r="AS560" s="227"/>
      <c r="AT560" s="227"/>
      <c r="AU560" s="227"/>
      <c r="AV560" s="227"/>
      <c r="AW560" s="227"/>
      <c r="AX560" s="227"/>
      <c r="AY560" s="227"/>
      <c r="AZ560" s="227"/>
      <c r="BA560" s="227"/>
      <c r="BB560" s="227"/>
      <c r="BC560" s="227"/>
      <c r="BD560" s="227"/>
      <c r="BE560" s="227"/>
      <c r="BF560" s="227"/>
      <c r="BG560" s="227"/>
      <c r="BH560" s="227"/>
      <c r="BI560" s="227"/>
    </row>
    <row r="56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  <c r="AB561" s="227"/>
      <c r="AC561" s="227"/>
      <c r="AD561" s="227"/>
      <c r="AE561" s="227"/>
      <c r="AF561" s="227"/>
      <c r="AG561" s="227"/>
      <c r="AH561" s="227"/>
      <c r="AI561" s="227"/>
      <c r="AJ561" s="227"/>
      <c r="AK561" s="227"/>
      <c r="AL561" s="227"/>
      <c r="AM561" s="227"/>
      <c r="AN561" s="227"/>
      <c r="AO561" s="227"/>
      <c r="AP561" s="227"/>
      <c r="AQ561" s="227"/>
      <c r="AR561" s="227"/>
      <c r="AS561" s="227"/>
      <c r="AT561" s="227"/>
      <c r="AU561" s="227"/>
      <c r="AV561" s="227"/>
      <c r="AW561" s="227"/>
      <c r="AX561" s="227"/>
      <c r="AY561" s="227"/>
      <c r="AZ561" s="227"/>
      <c r="BA561" s="227"/>
      <c r="BB561" s="227"/>
      <c r="BC561" s="227"/>
      <c r="BD561" s="227"/>
      <c r="BE561" s="227"/>
      <c r="BF561" s="227"/>
      <c r="BG561" s="227"/>
      <c r="BH561" s="227"/>
      <c r="BI561" s="227"/>
    </row>
    <row r="562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  <c r="AB562" s="227"/>
      <c r="AC562" s="227"/>
      <c r="AD562" s="227"/>
      <c r="AE562" s="227"/>
      <c r="AF562" s="227"/>
      <c r="AG562" s="227"/>
      <c r="AH562" s="227"/>
      <c r="AI562" s="227"/>
      <c r="AJ562" s="227"/>
      <c r="AK562" s="227"/>
      <c r="AL562" s="227"/>
      <c r="AM562" s="227"/>
      <c r="AN562" s="227"/>
      <c r="AO562" s="227"/>
      <c r="AP562" s="227"/>
      <c r="AQ562" s="227"/>
      <c r="AR562" s="227"/>
      <c r="AS562" s="227"/>
      <c r="AT562" s="227"/>
      <c r="AU562" s="227"/>
      <c r="AV562" s="227"/>
      <c r="AW562" s="227"/>
      <c r="AX562" s="227"/>
      <c r="AY562" s="227"/>
      <c r="AZ562" s="227"/>
      <c r="BA562" s="227"/>
      <c r="BB562" s="227"/>
      <c r="BC562" s="227"/>
      <c r="BD562" s="227"/>
      <c r="BE562" s="227"/>
      <c r="BF562" s="227"/>
      <c r="BG562" s="227"/>
      <c r="BH562" s="227"/>
      <c r="BI562" s="227"/>
    </row>
    <row r="563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227"/>
      <c r="BH563" s="227"/>
      <c r="BI563" s="227"/>
    </row>
    <row r="564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/>
      <c r="BG564" s="227"/>
      <c r="BH564" s="227"/>
      <c r="BI564" s="227"/>
    </row>
    <row r="56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  <c r="AB565" s="227"/>
      <c r="AC565" s="227"/>
      <c r="AD565" s="227"/>
      <c r="AE565" s="227"/>
      <c r="AF565" s="227"/>
      <c r="AG565" s="227"/>
      <c r="AH565" s="227"/>
      <c r="AI565" s="227"/>
      <c r="AJ565" s="227"/>
      <c r="AK565" s="227"/>
      <c r="AL565" s="227"/>
      <c r="AM565" s="227"/>
      <c r="AN565" s="227"/>
      <c r="AO565" s="227"/>
      <c r="AP565" s="227"/>
      <c r="AQ565" s="227"/>
      <c r="AR565" s="227"/>
      <c r="AS565" s="227"/>
      <c r="AT565" s="227"/>
      <c r="AU565" s="227"/>
      <c r="AV565" s="227"/>
      <c r="AW565" s="227"/>
      <c r="AX565" s="227"/>
      <c r="AY565" s="227"/>
      <c r="AZ565" s="227"/>
      <c r="BA565" s="227"/>
      <c r="BB565" s="227"/>
      <c r="BC565" s="227"/>
      <c r="BD565" s="227"/>
      <c r="BE565" s="227"/>
      <c r="BF565" s="227"/>
      <c r="BG565" s="227"/>
      <c r="BH565" s="227"/>
      <c r="BI565" s="227"/>
    </row>
    <row r="56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  <c r="AB566" s="227"/>
      <c r="AC566" s="227"/>
      <c r="AD566" s="227"/>
      <c r="AE566" s="227"/>
      <c r="AF566" s="227"/>
      <c r="AG566" s="227"/>
      <c r="AH566" s="227"/>
      <c r="AI566" s="227"/>
      <c r="AJ566" s="227"/>
      <c r="AK566" s="227"/>
      <c r="AL566" s="227"/>
      <c r="AM566" s="227"/>
      <c r="AN566" s="227"/>
      <c r="AO566" s="227"/>
      <c r="AP566" s="227"/>
      <c r="AQ566" s="227"/>
      <c r="AR566" s="227"/>
      <c r="AS566" s="227"/>
      <c r="AT566" s="227"/>
      <c r="AU566" s="227"/>
      <c r="AV566" s="227"/>
      <c r="AW566" s="227"/>
      <c r="AX566" s="227"/>
      <c r="AY566" s="227"/>
      <c r="AZ566" s="227"/>
      <c r="BA566" s="227"/>
      <c r="BB566" s="227"/>
      <c r="BC566" s="227"/>
      <c r="BD566" s="227"/>
      <c r="BE566" s="227"/>
      <c r="BF566" s="227"/>
      <c r="BG566" s="227"/>
      <c r="BH566" s="227"/>
      <c r="BI566" s="227"/>
    </row>
    <row r="567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  <c r="AB567" s="227"/>
      <c r="AC567" s="227"/>
      <c r="AD567" s="227"/>
      <c r="AE567" s="227"/>
      <c r="AF567" s="227"/>
      <c r="AG567" s="227"/>
      <c r="AH567" s="227"/>
      <c r="AI567" s="227"/>
      <c r="AJ567" s="227"/>
      <c r="AK567" s="227"/>
      <c r="AL567" s="227"/>
      <c r="AM567" s="227"/>
      <c r="AN567" s="227"/>
      <c r="AO567" s="227"/>
      <c r="AP567" s="227"/>
      <c r="AQ567" s="227"/>
      <c r="AR567" s="227"/>
      <c r="AS567" s="227"/>
      <c r="AT567" s="227"/>
      <c r="AU567" s="227"/>
      <c r="AV567" s="227"/>
      <c r="AW567" s="227"/>
      <c r="AX567" s="227"/>
      <c r="AY567" s="227"/>
      <c r="AZ567" s="227"/>
      <c r="BA567" s="227"/>
      <c r="BB567" s="227"/>
      <c r="BC567" s="227"/>
      <c r="BD567" s="227"/>
      <c r="BE567" s="227"/>
      <c r="BF567" s="227"/>
      <c r="BG567" s="227"/>
      <c r="BH567" s="227"/>
      <c r="BI567" s="227"/>
    </row>
    <row r="568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/>
      <c r="BG568" s="227"/>
      <c r="BH568" s="227"/>
      <c r="BI568" s="227"/>
    </row>
    <row r="569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227"/>
      <c r="BH569" s="227"/>
      <c r="BI569" s="227"/>
    </row>
    <row r="570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  <c r="AB570" s="227"/>
      <c r="AC570" s="227"/>
      <c r="AD570" s="227"/>
      <c r="AE570" s="227"/>
      <c r="AF570" s="227"/>
      <c r="AG570" s="227"/>
      <c r="AH570" s="227"/>
      <c r="AI570" s="227"/>
      <c r="AJ570" s="227"/>
      <c r="AK570" s="227"/>
      <c r="AL570" s="227"/>
      <c r="AM570" s="227"/>
      <c r="AN570" s="227"/>
      <c r="AO570" s="227"/>
      <c r="AP570" s="227"/>
      <c r="AQ570" s="227"/>
      <c r="AR570" s="227"/>
      <c r="AS570" s="227"/>
      <c r="AT570" s="227"/>
      <c r="AU570" s="227"/>
      <c r="AV570" s="227"/>
      <c r="AW570" s="227"/>
      <c r="AX570" s="227"/>
      <c r="AY570" s="227"/>
      <c r="AZ570" s="227"/>
      <c r="BA570" s="227"/>
      <c r="BB570" s="227"/>
      <c r="BC570" s="227"/>
      <c r="BD570" s="227"/>
      <c r="BE570" s="227"/>
      <c r="BF570" s="227"/>
      <c r="BG570" s="227"/>
      <c r="BH570" s="227"/>
      <c r="BI570" s="227"/>
    </row>
    <row r="57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  <c r="AB571" s="227"/>
      <c r="AC571" s="227"/>
      <c r="AD571" s="227"/>
      <c r="AE571" s="227"/>
      <c r="AF571" s="227"/>
      <c r="AG571" s="227"/>
      <c r="AH571" s="227"/>
      <c r="AI571" s="227"/>
      <c r="AJ571" s="227"/>
      <c r="AK571" s="227"/>
      <c r="AL571" s="227"/>
      <c r="AM571" s="227"/>
      <c r="AN571" s="227"/>
      <c r="AO571" s="227"/>
      <c r="AP571" s="227"/>
      <c r="AQ571" s="227"/>
      <c r="AR571" s="227"/>
      <c r="AS571" s="227"/>
      <c r="AT571" s="227"/>
      <c r="AU571" s="227"/>
      <c r="AV571" s="227"/>
      <c r="AW571" s="227"/>
      <c r="AX571" s="227"/>
      <c r="AY571" s="227"/>
      <c r="AZ571" s="227"/>
      <c r="BA571" s="227"/>
      <c r="BB571" s="227"/>
      <c r="BC571" s="227"/>
      <c r="BD571" s="227"/>
      <c r="BE571" s="227"/>
      <c r="BF571" s="227"/>
      <c r="BG571" s="227"/>
      <c r="BH571" s="227"/>
      <c r="BI571" s="227"/>
    </row>
    <row r="572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  <c r="AB572" s="227"/>
      <c r="AC572" s="227"/>
      <c r="AD572" s="227"/>
      <c r="AE572" s="227"/>
      <c r="AF572" s="227"/>
      <c r="AG572" s="227"/>
      <c r="AH572" s="227"/>
      <c r="AI572" s="227"/>
      <c r="AJ572" s="227"/>
      <c r="AK572" s="227"/>
      <c r="AL572" s="227"/>
      <c r="AM572" s="227"/>
      <c r="AN572" s="227"/>
      <c r="AO572" s="227"/>
      <c r="AP572" s="227"/>
      <c r="AQ572" s="227"/>
      <c r="AR572" s="227"/>
      <c r="AS572" s="227"/>
      <c r="AT572" s="227"/>
      <c r="AU572" s="227"/>
      <c r="AV572" s="227"/>
      <c r="AW572" s="227"/>
      <c r="AX572" s="227"/>
      <c r="AY572" s="227"/>
      <c r="AZ572" s="227"/>
      <c r="BA572" s="227"/>
      <c r="BB572" s="227"/>
      <c r="BC572" s="227"/>
      <c r="BD572" s="227"/>
      <c r="BE572" s="227"/>
      <c r="BF572" s="227"/>
      <c r="BG572" s="227"/>
      <c r="BH572" s="227"/>
      <c r="BI572" s="227"/>
    </row>
    <row r="573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  <c r="AB573" s="227"/>
      <c r="AC573" s="227"/>
      <c r="AD573" s="227"/>
      <c r="AE573" s="227"/>
      <c r="AF573" s="227"/>
      <c r="AG573" s="227"/>
      <c r="AH573" s="227"/>
      <c r="AI573" s="227"/>
      <c r="AJ573" s="227"/>
      <c r="AK573" s="227"/>
      <c r="AL573" s="227"/>
      <c r="AM573" s="227"/>
      <c r="AN573" s="227"/>
      <c r="AO573" s="227"/>
      <c r="AP573" s="227"/>
      <c r="AQ573" s="227"/>
      <c r="AR573" s="227"/>
      <c r="AS573" s="227"/>
      <c r="AT573" s="227"/>
      <c r="AU573" s="227"/>
      <c r="AV573" s="227"/>
      <c r="AW573" s="227"/>
      <c r="AX573" s="227"/>
      <c r="AY573" s="227"/>
      <c r="AZ573" s="227"/>
      <c r="BA573" s="227"/>
      <c r="BB573" s="227"/>
      <c r="BC573" s="227"/>
      <c r="BD573" s="227"/>
      <c r="BE573" s="227"/>
      <c r="BF573" s="227"/>
      <c r="BG573" s="227"/>
      <c r="BH573" s="227"/>
      <c r="BI573" s="227"/>
    </row>
    <row r="574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  <c r="AB574" s="227"/>
      <c r="AC574" s="227"/>
      <c r="AD574" s="227"/>
      <c r="AE574" s="227"/>
      <c r="AF574" s="227"/>
      <c r="AG574" s="227"/>
      <c r="AH574" s="227"/>
      <c r="AI574" s="227"/>
      <c r="AJ574" s="227"/>
      <c r="AK574" s="227"/>
      <c r="AL574" s="227"/>
      <c r="AM574" s="227"/>
      <c r="AN574" s="227"/>
      <c r="AO574" s="227"/>
      <c r="AP574" s="227"/>
      <c r="AQ574" s="227"/>
      <c r="AR574" s="227"/>
      <c r="AS574" s="227"/>
      <c r="AT574" s="227"/>
      <c r="AU574" s="227"/>
      <c r="AV574" s="227"/>
      <c r="AW574" s="227"/>
      <c r="AX574" s="227"/>
      <c r="AY574" s="227"/>
      <c r="AZ574" s="227"/>
      <c r="BA574" s="227"/>
      <c r="BB574" s="227"/>
      <c r="BC574" s="227"/>
      <c r="BD574" s="227"/>
      <c r="BE574" s="227"/>
      <c r="BF574" s="227"/>
      <c r="BG574" s="227"/>
      <c r="BH574" s="227"/>
      <c r="BI574" s="227"/>
    </row>
    <row r="575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  <c r="AB575" s="227"/>
      <c r="AC575" s="227"/>
      <c r="AD575" s="227"/>
      <c r="AE575" s="227"/>
      <c r="AF575" s="227"/>
      <c r="AG575" s="227"/>
      <c r="AH575" s="227"/>
      <c r="AI575" s="227"/>
      <c r="AJ575" s="227"/>
      <c r="AK575" s="227"/>
      <c r="AL575" s="227"/>
      <c r="AM575" s="227"/>
      <c r="AN575" s="227"/>
      <c r="AO575" s="227"/>
      <c r="AP575" s="227"/>
      <c r="AQ575" s="227"/>
      <c r="AR575" s="227"/>
      <c r="AS575" s="227"/>
      <c r="AT575" s="227"/>
      <c r="AU575" s="227"/>
      <c r="AV575" s="227"/>
      <c r="AW575" s="227"/>
      <c r="AX575" s="227"/>
      <c r="AY575" s="227"/>
      <c r="AZ575" s="227"/>
      <c r="BA575" s="227"/>
      <c r="BB575" s="227"/>
      <c r="BC575" s="227"/>
      <c r="BD575" s="227"/>
      <c r="BE575" s="227"/>
      <c r="BF575" s="227"/>
      <c r="BG575" s="227"/>
      <c r="BH575" s="227"/>
      <c r="BI575" s="227"/>
    </row>
    <row r="57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  <c r="AB576" s="227"/>
      <c r="AC576" s="227"/>
      <c r="AD576" s="227"/>
      <c r="AE576" s="227"/>
      <c r="AF576" s="227"/>
      <c r="AG576" s="227"/>
      <c r="AH576" s="227"/>
      <c r="AI576" s="227"/>
      <c r="AJ576" s="227"/>
      <c r="AK576" s="227"/>
      <c r="AL576" s="227"/>
      <c r="AM576" s="227"/>
      <c r="AN576" s="227"/>
      <c r="AO576" s="227"/>
      <c r="AP576" s="227"/>
      <c r="AQ576" s="227"/>
      <c r="AR576" s="227"/>
      <c r="AS576" s="227"/>
      <c r="AT576" s="227"/>
      <c r="AU576" s="227"/>
      <c r="AV576" s="227"/>
      <c r="AW576" s="227"/>
      <c r="AX576" s="227"/>
      <c r="AY576" s="227"/>
      <c r="AZ576" s="227"/>
      <c r="BA576" s="227"/>
      <c r="BB576" s="227"/>
      <c r="BC576" s="227"/>
      <c r="BD576" s="227"/>
      <c r="BE576" s="227"/>
      <c r="BF576" s="227"/>
      <c r="BG576" s="227"/>
      <c r="BH576" s="227"/>
      <c r="BI576" s="227"/>
    </row>
    <row r="577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  <c r="AB577" s="227"/>
      <c r="AC577" s="227"/>
      <c r="AD577" s="227"/>
      <c r="AE577" s="227"/>
      <c r="AF577" s="227"/>
      <c r="AG577" s="227"/>
      <c r="AH577" s="227"/>
      <c r="AI577" s="227"/>
      <c r="AJ577" s="227"/>
      <c r="AK577" s="227"/>
      <c r="AL577" s="227"/>
      <c r="AM577" s="227"/>
      <c r="AN577" s="227"/>
      <c r="AO577" s="227"/>
      <c r="AP577" s="227"/>
      <c r="AQ577" s="227"/>
      <c r="AR577" s="227"/>
      <c r="AS577" s="227"/>
      <c r="AT577" s="227"/>
      <c r="AU577" s="227"/>
      <c r="AV577" s="227"/>
      <c r="AW577" s="227"/>
      <c r="AX577" s="227"/>
      <c r="AY577" s="227"/>
      <c r="AZ577" s="227"/>
      <c r="BA577" s="227"/>
      <c r="BB577" s="227"/>
      <c r="BC577" s="227"/>
      <c r="BD577" s="227"/>
      <c r="BE577" s="227"/>
      <c r="BF577" s="227"/>
      <c r="BG577" s="227"/>
      <c r="BH577" s="227"/>
      <c r="BI577" s="227"/>
    </row>
    <row r="578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  <c r="AB578" s="227"/>
      <c r="AC578" s="227"/>
      <c r="AD578" s="227"/>
      <c r="AE578" s="227"/>
      <c r="AF578" s="227"/>
      <c r="AG578" s="227"/>
      <c r="AH578" s="227"/>
      <c r="AI578" s="227"/>
      <c r="AJ578" s="227"/>
      <c r="AK578" s="227"/>
      <c r="AL578" s="227"/>
      <c r="AM578" s="227"/>
      <c r="AN578" s="227"/>
      <c r="AO578" s="227"/>
      <c r="AP578" s="227"/>
      <c r="AQ578" s="227"/>
      <c r="AR578" s="227"/>
      <c r="AS578" s="227"/>
      <c r="AT578" s="227"/>
      <c r="AU578" s="227"/>
      <c r="AV578" s="227"/>
      <c r="AW578" s="227"/>
      <c r="AX578" s="227"/>
      <c r="AY578" s="227"/>
      <c r="AZ578" s="227"/>
      <c r="BA578" s="227"/>
      <c r="BB578" s="227"/>
      <c r="BC578" s="227"/>
      <c r="BD578" s="227"/>
      <c r="BE578" s="227"/>
      <c r="BF578" s="227"/>
      <c r="BG578" s="227"/>
      <c r="BH578" s="227"/>
      <c r="BI578" s="227"/>
    </row>
    <row r="579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  <c r="AB579" s="227"/>
      <c r="AC579" s="227"/>
      <c r="AD579" s="227"/>
      <c r="AE579" s="227"/>
      <c r="AF579" s="227"/>
      <c r="AG579" s="227"/>
      <c r="AH579" s="227"/>
      <c r="AI579" s="227"/>
      <c r="AJ579" s="227"/>
      <c r="AK579" s="227"/>
      <c r="AL579" s="227"/>
      <c r="AM579" s="227"/>
      <c r="AN579" s="227"/>
      <c r="AO579" s="227"/>
      <c r="AP579" s="227"/>
      <c r="AQ579" s="227"/>
      <c r="AR579" s="227"/>
      <c r="AS579" s="227"/>
      <c r="AT579" s="227"/>
      <c r="AU579" s="227"/>
      <c r="AV579" s="227"/>
      <c r="AW579" s="227"/>
      <c r="AX579" s="227"/>
      <c r="AY579" s="227"/>
      <c r="AZ579" s="227"/>
      <c r="BA579" s="227"/>
      <c r="BB579" s="227"/>
      <c r="BC579" s="227"/>
      <c r="BD579" s="227"/>
      <c r="BE579" s="227"/>
      <c r="BF579" s="227"/>
      <c r="BG579" s="227"/>
      <c r="BH579" s="227"/>
      <c r="BI579" s="227"/>
    </row>
    <row r="580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27"/>
      <c r="AL580" s="227"/>
      <c r="AM580" s="227"/>
      <c r="AN580" s="227"/>
      <c r="AO580" s="227"/>
      <c r="AP580" s="227"/>
      <c r="AQ580" s="227"/>
      <c r="AR580" s="227"/>
      <c r="AS580" s="227"/>
      <c r="AT580" s="227"/>
      <c r="AU580" s="227"/>
      <c r="AV580" s="227"/>
      <c r="AW580" s="227"/>
      <c r="AX580" s="227"/>
      <c r="AY580" s="227"/>
      <c r="AZ580" s="227"/>
      <c r="BA580" s="227"/>
      <c r="BB580" s="227"/>
      <c r="BC580" s="227"/>
      <c r="BD580" s="227"/>
      <c r="BE580" s="227"/>
      <c r="BF580" s="227"/>
      <c r="BG580" s="227"/>
      <c r="BH580" s="227"/>
      <c r="BI580" s="227"/>
    </row>
    <row r="58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  <c r="AB581" s="227"/>
      <c r="AC581" s="227"/>
      <c r="AD581" s="227"/>
      <c r="AE581" s="227"/>
      <c r="AF581" s="227"/>
      <c r="AG581" s="227"/>
      <c r="AH581" s="227"/>
      <c r="AI581" s="227"/>
      <c r="AJ581" s="227"/>
      <c r="AK581" s="227"/>
      <c r="AL581" s="227"/>
      <c r="AM581" s="227"/>
      <c r="AN581" s="227"/>
      <c r="AO581" s="227"/>
      <c r="AP581" s="227"/>
      <c r="AQ581" s="227"/>
      <c r="AR581" s="227"/>
      <c r="AS581" s="227"/>
      <c r="AT581" s="227"/>
      <c r="AU581" s="227"/>
      <c r="AV581" s="227"/>
      <c r="AW581" s="227"/>
      <c r="AX581" s="227"/>
      <c r="AY581" s="227"/>
      <c r="AZ581" s="227"/>
      <c r="BA581" s="227"/>
      <c r="BB581" s="227"/>
      <c r="BC581" s="227"/>
      <c r="BD581" s="227"/>
      <c r="BE581" s="227"/>
      <c r="BF581" s="227"/>
      <c r="BG581" s="227"/>
      <c r="BH581" s="227"/>
      <c r="BI581" s="227"/>
    </row>
    <row r="582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  <c r="AB582" s="227"/>
      <c r="AC582" s="227"/>
      <c r="AD582" s="227"/>
      <c r="AE582" s="227"/>
      <c r="AF582" s="227"/>
      <c r="AG582" s="227"/>
      <c r="AH582" s="227"/>
      <c r="AI582" s="227"/>
      <c r="AJ582" s="227"/>
      <c r="AK582" s="227"/>
      <c r="AL582" s="227"/>
      <c r="AM582" s="227"/>
      <c r="AN582" s="227"/>
      <c r="AO582" s="227"/>
      <c r="AP582" s="227"/>
      <c r="AQ582" s="227"/>
      <c r="AR582" s="227"/>
      <c r="AS582" s="227"/>
      <c r="AT582" s="227"/>
      <c r="AU582" s="227"/>
      <c r="AV582" s="227"/>
      <c r="AW582" s="227"/>
      <c r="AX582" s="227"/>
      <c r="AY582" s="227"/>
      <c r="AZ582" s="227"/>
      <c r="BA582" s="227"/>
      <c r="BB582" s="227"/>
      <c r="BC582" s="227"/>
      <c r="BD582" s="227"/>
      <c r="BE582" s="227"/>
      <c r="BF582" s="227"/>
      <c r="BG582" s="227"/>
      <c r="BH582" s="227"/>
      <c r="BI582" s="227"/>
    </row>
    <row r="583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  <c r="AB583" s="227"/>
      <c r="AC583" s="227"/>
      <c r="AD583" s="227"/>
      <c r="AE583" s="227"/>
      <c r="AF583" s="227"/>
      <c r="AG583" s="227"/>
      <c r="AH583" s="227"/>
      <c r="AI583" s="227"/>
      <c r="AJ583" s="227"/>
      <c r="AK583" s="227"/>
      <c r="AL583" s="227"/>
      <c r="AM583" s="227"/>
      <c r="AN583" s="227"/>
      <c r="AO583" s="227"/>
      <c r="AP583" s="227"/>
      <c r="AQ583" s="227"/>
      <c r="AR583" s="227"/>
      <c r="AS583" s="227"/>
      <c r="AT583" s="227"/>
      <c r="AU583" s="227"/>
      <c r="AV583" s="227"/>
      <c r="AW583" s="227"/>
      <c r="AX583" s="227"/>
      <c r="AY583" s="227"/>
      <c r="AZ583" s="227"/>
      <c r="BA583" s="227"/>
      <c r="BB583" s="227"/>
      <c r="BC583" s="227"/>
      <c r="BD583" s="227"/>
      <c r="BE583" s="227"/>
      <c r="BF583" s="227"/>
      <c r="BG583" s="227"/>
      <c r="BH583" s="227"/>
      <c r="BI583" s="227"/>
    </row>
    <row r="584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  <c r="AB584" s="227"/>
      <c r="AC584" s="227"/>
      <c r="AD584" s="227"/>
      <c r="AE584" s="227"/>
      <c r="AF584" s="227"/>
      <c r="AG584" s="227"/>
      <c r="AH584" s="227"/>
      <c r="AI584" s="227"/>
      <c r="AJ584" s="227"/>
      <c r="AK584" s="227"/>
      <c r="AL584" s="227"/>
      <c r="AM584" s="227"/>
      <c r="AN584" s="227"/>
      <c r="AO584" s="227"/>
      <c r="AP584" s="227"/>
      <c r="AQ584" s="227"/>
      <c r="AR584" s="227"/>
      <c r="AS584" s="227"/>
      <c r="AT584" s="227"/>
      <c r="AU584" s="227"/>
      <c r="AV584" s="227"/>
      <c r="AW584" s="227"/>
      <c r="AX584" s="227"/>
      <c r="AY584" s="227"/>
      <c r="AZ584" s="227"/>
      <c r="BA584" s="227"/>
      <c r="BB584" s="227"/>
      <c r="BC584" s="227"/>
      <c r="BD584" s="227"/>
      <c r="BE584" s="227"/>
      <c r="BF584" s="227"/>
      <c r="BG584" s="227"/>
      <c r="BH584" s="227"/>
      <c r="BI584" s="227"/>
    </row>
    <row r="585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  <c r="AB585" s="227"/>
      <c r="AC585" s="227"/>
      <c r="AD585" s="227"/>
      <c r="AE585" s="227"/>
      <c r="AF585" s="227"/>
      <c r="AG585" s="227"/>
      <c r="AH585" s="227"/>
      <c r="AI585" s="227"/>
      <c r="AJ585" s="227"/>
      <c r="AK585" s="227"/>
      <c r="AL585" s="227"/>
      <c r="AM585" s="227"/>
      <c r="AN585" s="227"/>
      <c r="AO585" s="227"/>
      <c r="AP585" s="227"/>
      <c r="AQ585" s="227"/>
      <c r="AR585" s="227"/>
      <c r="AS585" s="227"/>
      <c r="AT585" s="227"/>
      <c r="AU585" s="227"/>
      <c r="AV585" s="227"/>
      <c r="AW585" s="227"/>
      <c r="AX585" s="227"/>
      <c r="AY585" s="227"/>
      <c r="AZ585" s="227"/>
      <c r="BA585" s="227"/>
      <c r="BB585" s="227"/>
      <c r="BC585" s="227"/>
      <c r="BD585" s="227"/>
      <c r="BE585" s="227"/>
      <c r="BF585" s="227"/>
      <c r="BG585" s="227"/>
      <c r="BH585" s="227"/>
      <c r="BI585" s="227"/>
    </row>
    <row r="58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7"/>
      <c r="AG586" s="227"/>
      <c r="AH586" s="227"/>
      <c r="AI586" s="227"/>
      <c r="AJ586" s="227"/>
      <c r="AK586" s="227"/>
      <c r="AL586" s="227"/>
      <c r="AM586" s="227"/>
      <c r="AN586" s="227"/>
      <c r="AO586" s="227"/>
      <c r="AP586" s="227"/>
      <c r="AQ586" s="227"/>
      <c r="AR586" s="227"/>
      <c r="AS586" s="227"/>
      <c r="AT586" s="227"/>
      <c r="AU586" s="227"/>
      <c r="AV586" s="227"/>
      <c r="AW586" s="227"/>
      <c r="AX586" s="227"/>
      <c r="AY586" s="227"/>
      <c r="AZ586" s="227"/>
      <c r="BA586" s="227"/>
      <c r="BB586" s="227"/>
      <c r="BC586" s="227"/>
      <c r="BD586" s="227"/>
      <c r="BE586" s="227"/>
      <c r="BF586" s="227"/>
      <c r="BG586" s="227"/>
      <c r="BH586" s="227"/>
      <c r="BI586" s="227"/>
    </row>
    <row r="587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  <c r="AB587" s="227"/>
      <c r="AC587" s="227"/>
      <c r="AD587" s="227"/>
      <c r="AE587" s="227"/>
      <c r="AF587" s="227"/>
      <c r="AG587" s="227"/>
      <c r="AH587" s="227"/>
      <c r="AI587" s="227"/>
      <c r="AJ587" s="227"/>
      <c r="AK587" s="227"/>
      <c r="AL587" s="227"/>
      <c r="AM587" s="227"/>
      <c r="AN587" s="227"/>
      <c r="AO587" s="227"/>
      <c r="AP587" s="227"/>
      <c r="AQ587" s="227"/>
      <c r="AR587" s="227"/>
      <c r="AS587" s="227"/>
      <c r="AT587" s="227"/>
      <c r="AU587" s="227"/>
      <c r="AV587" s="227"/>
      <c r="AW587" s="227"/>
      <c r="AX587" s="227"/>
      <c r="AY587" s="227"/>
      <c r="AZ587" s="227"/>
      <c r="BA587" s="227"/>
      <c r="BB587" s="227"/>
      <c r="BC587" s="227"/>
      <c r="BD587" s="227"/>
      <c r="BE587" s="227"/>
      <c r="BF587" s="227"/>
      <c r="BG587" s="227"/>
      <c r="BH587" s="227"/>
      <c r="BI587" s="227"/>
    </row>
    <row r="588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  <c r="AB588" s="227"/>
      <c r="AC588" s="227"/>
      <c r="AD588" s="227"/>
      <c r="AE588" s="227"/>
      <c r="AF588" s="227"/>
      <c r="AG588" s="227"/>
      <c r="AH588" s="227"/>
      <c r="AI588" s="227"/>
      <c r="AJ588" s="227"/>
      <c r="AK588" s="227"/>
      <c r="AL588" s="227"/>
      <c r="AM588" s="227"/>
      <c r="AN588" s="227"/>
      <c r="AO588" s="227"/>
      <c r="AP588" s="227"/>
      <c r="AQ588" s="227"/>
      <c r="AR588" s="227"/>
      <c r="AS588" s="227"/>
      <c r="AT588" s="227"/>
      <c r="AU588" s="227"/>
      <c r="AV588" s="227"/>
      <c r="AW588" s="227"/>
      <c r="AX588" s="227"/>
      <c r="AY588" s="227"/>
      <c r="AZ588" s="227"/>
      <c r="BA588" s="227"/>
      <c r="BB588" s="227"/>
      <c r="BC588" s="227"/>
      <c r="BD588" s="227"/>
      <c r="BE588" s="227"/>
      <c r="BF588" s="227"/>
      <c r="BG588" s="227"/>
      <c r="BH588" s="227"/>
      <c r="BI588" s="227"/>
    </row>
    <row r="589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  <c r="AB589" s="227"/>
      <c r="AC589" s="227"/>
      <c r="AD589" s="227"/>
      <c r="AE589" s="227"/>
      <c r="AF589" s="227"/>
      <c r="AG589" s="227"/>
      <c r="AH589" s="227"/>
      <c r="AI589" s="227"/>
      <c r="AJ589" s="227"/>
      <c r="AK589" s="227"/>
      <c r="AL589" s="227"/>
      <c r="AM589" s="227"/>
      <c r="AN589" s="227"/>
      <c r="AO589" s="227"/>
      <c r="AP589" s="227"/>
      <c r="AQ589" s="227"/>
      <c r="AR589" s="227"/>
      <c r="AS589" s="227"/>
      <c r="AT589" s="227"/>
      <c r="AU589" s="227"/>
      <c r="AV589" s="227"/>
      <c r="AW589" s="227"/>
      <c r="AX589" s="227"/>
      <c r="AY589" s="227"/>
      <c r="AZ589" s="227"/>
      <c r="BA589" s="227"/>
      <c r="BB589" s="227"/>
      <c r="BC589" s="227"/>
      <c r="BD589" s="227"/>
      <c r="BE589" s="227"/>
      <c r="BF589" s="227"/>
      <c r="BG589" s="227"/>
      <c r="BH589" s="227"/>
      <c r="BI589" s="227"/>
    </row>
    <row r="590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  <c r="AB590" s="227"/>
      <c r="AC590" s="227"/>
      <c r="AD590" s="227"/>
      <c r="AE590" s="227"/>
      <c r="AF590" s="227"/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27"/>
      <c r="BC590" s="227"/>
      <c r="BD590" s="227"/>
      <c r="BE590" s="227"/>
      <c r="BF590" s="227"/>
      <c r="BG590" s="227"/>
      <c r="BH590" s="227"/>
      <c r="BI590" s="227"/>
    </row>
    <row r="59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  <c r="AB591" s="227"/>
      <c r="AC591" s="227"/>
      <c r="AD591" s="227"/>
      <c r="AE591" s="227"/>
      <c r="AF591" s="227"/>
      <c r="AG591" s="227"/>
      <c r="AH591" s="227"/>
      <c r="AI591" s="227"/>
      <c r="AJ591" s="227"/>
      <c r="AK591" s="227"/>
      <c r="AL591" s="227"/>
      <c r="AM591" s="227"/>
      <c r="AN591" s="227"/>
      <c r="AO591" s="227"/>
      <c r="AP591" s="227"/>
      <c r="AQ591" s="227"/>
      <c r="AR591" s="227"/>
      <c r="AS591" s="227"/>
      <c r="AT591" s="227"/>
      <c r="AU591" s="227"/>
      <c r="AV591" s="227"/>
      <c r="AW591" s="227"/>
      <c r="AX591" s="227"/>
      <c r="AY591" s="227"/>
      <c r="AZ591" s="227"/>
      <c r="BA591" s="227"/>
      <c r="BB591" s="227"/>
      <c r="BC591" s="227"/>
      <c r="BD591" s="227"/>
      <c r="BE591" s="227"/>
      <c r="BF591" s="227"/>
      <c r="BG591" s="227"/>
      <c r="BH591" s="227"/>
      <c r="BI591" s="227"/>
    </row>
    <row r="592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27"/>
      <c r="AL592" s="227"/>
      <c r="AM592" s="227"/>
      <c r="AN592" s="227"/>
      <c r="AO592" s="227"/>
      <c r="AP592" s="227"/>
      <c r="AQ592" s="227"/>
      <c r="AR592" s="227"/>
      <c r="AS592" s="227"/>
      <c r="AT592" s="227"/>
      <c r="AU592" s="227"/>
      <c r="AV592" s="227"/>
      <c r="AW592" s="227"/>
      <c r="AX592" s="227"/>
      <c r="AY592" s="227"/>
      <c r="AZ592" s="227"/>
      <c r="BA592" s="227"/>
      <c r="BB592" s="227"/>
      <c r="BC592" s="227"/>
      <c r="BD592" s="227"/>
      <c r="BE592" s="227"/>
      <c r="BF592" s="227"/>
      <c r="BG592" s="227"/>
      <c r="BH592" s="227"/>
      <c r="BI592" s="227"/>
    </row>
    <row r="593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  <c r="AB593" s="227"/>
      <c r="AC593" s="227"/>
      <c r="AD593" s="227"/>
      <c r="AE593" s="227"/>
      <c r="AF593" s="227"/>
      <c r="AG593" s="227"/>
      <c r="AH593" s="227"/>
      <c r="AI593" s="227"/>
      <c r="AJ593" s="227"/>
      <c r="AK593" s="227"/>
      <c r="AL593" s="227"/>
      <c r="AM593" s="227"/>
      <c r="AN593" s="227"/>
      <c r="AO593" s="227"/>
      <c r="AP593" s="227"/>
      <c r="AQ593" s="227"/>
      <c r="AR593" s="227"/>
      <c r="AS593" s="227"/>
      <c r="AT593" s="227"/>
      <c r="AU593" s="227"/>
      <c r="AV593" s="227"/>
      <c r="AW593" s="227"/>
      <c r="AX593" s="227"/>
      <c r="AY593" s="227"/>
      <c r="AZ593" s="227"/>
      <c r="BA593" s="227"/>
      <c r="BB593" s="227"/>
      <c r="BC593" s="227"/>
      <c r="BD593" s="227"/>
      <c r="BE593" s="227"/>
      <c r="BF593" s="227"/>
      <c r="BG593" s="227"/>
      <c r="BH593" s="227"/>
      <c r="BI593" s="227"/>
    </row>
    <row r="594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  <c r="AB594" s="227"/>
      <c r="AC594" s="227"/>
      <c r="AD594" s="227"/>
      <c r="AE594" s="227"/>
      <c r="AF594" s="227"/>
      <c r="AG594" s="227"/>
      <c r="AH594" s="227"/>
      <c r="AI594" s="227"/>
      <c r="AJ594" s="227"/>
      <c r="AK594" s="227"/>
      <c r="AL594" s="227"/>
      <c r="AM594" s="227"/>
      <c r="AN594" s="227"/>
      <c r="AO594" s="227"/>
      <c r="AP594" s="227"/>
      <c r="AQ594" s="227"/>
      <c r="AR594" s="227"/>
      <c r="AS594" s="227"/>
      <c r="AT594" s="227"/>
      <c r="AU594" s="227"/>
      <c r="AV594" s="227"/>
      <c r="AW594" s="227"/>
      <c r="AX594" s="227"/>
      <c r="AY594" s="227"/>
      <c r="AZ594" s="227"/>
      <c r="BA594" s="227"/>
      <c r="BB594" s="227"/>
      <c r="BC594" s="227"/>
      <c r="BD594" s="227"/>
      <c r="BE594" s="227"/>
      <c r="BF594" s="227"/>
      <c r="BG594" s="227"/>
      <c r="BH594" s="227"/>
      <c r="BI594" s="227"/>
    </row>
    <row r="595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  <c r="AB595" s="227"/>
      <c r="AC595" s="227"/>
      <c r="AD595" s="227"/>
      <c r="AE595" s="227"/>
      <c r="AF595" s="227"/>
      <c r="AG595" s="227"/>
      <c r="AH595" s="227"/>
      <c r="AI595" s="227"/>
      <c r="AJ595" s="227"/>
      <c r="AK595" s="227"/>
      <c r="AL595" s="227"/>
      <c r="AM595" s="227"/>
      <c r="AN595" s="227"/>
      <c r="AO595" s="227"/>
      <c r="AP595" s="227"/>
      <c r="AQ595" s="227"/>
      <c r="AR595" s="227"/>
      <c r="AS595" s="227"/>
      <c r="AT595" s="227"/>
      <c r="AU595" s="227"/>
      <c r="AV595" s="227"/>
      <c r="AW595" s="227"/>
      <c r="AX595" s="227"/>
      <c r="AY595" s="227"/>
      <c r="AZ595" s="227"/>
      <c r="BA595" s="227"/>
      <c r="BB595" s="227"/>
      <c r="BC595" s="227"/>
      <c r="BD595" s="227"/>
      <c r="BE595" s="227"/>
      <c r="BF595" s="227"/>
      <c r="BG595" s="227"/>
      <c r="BH595" s="227"/>
      <c r="BI595" s="227"/>
    </row>
    <row r="59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  <c r="AB596" s="227"/>
      <c r="AC596" s="227"/>
      <c r="AD596" s="227"/>
      <c r="AE596" s="227"/>
      <c r="AF596" s="227"/>
      <c r="AG596" s="227"/>
      <c r="AH596" s="227"/>
      <c r="AI596" s="227"/>
      <c r="AJ596" s="227"/>
      <c r="AK596" s="227"/>
      <c r="AL596" s="227"/>
      <c r="AM596" s="227"/>
      <c r="AN596" s="227"/>
      <c r="AO596" s="227"/>
      <c r="AP596" s="227"/>
      <c r="AQ596" s="227"/>
      <c r="AR596" s="227"/>
      <c r="AS596" s="227"/>
      <c r="AT596" s="227"/>
      <c r="AU596" s="227"/>
      <c r="AV596" s="227"/>
      <c r="AW596" s="227"/>
      <c r="AX596" s="227"/>
      <c r="AY596" s="227"/>
      <c r="AZ596" s="227"/>
      <c r="BA596" s="227"/>
      <c r="BB596" s="227"/>
      <c r="BC596" s="227"/>
      <c r="BD596" s="227"/>
      <c r="BE596" s="227"/>
      <c r="BF596" s="227"/>
      <c r="BG596" s="227"/>
      <c r="BH596" s="227"/>
      <c r="BI596" s="227"/>
    </row>
    <row r="597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  <c r="AB597" s="227"/>
      <c r="AC597" s="227"/>
      <c r="AD597" s="227"/>
      <c r="AE597" s="227"/>
      <c r="AF597" s="227"/>
      <c r="AG597" s="227"/>
      <c r="AH597" s="227"/>
      <c r="AI597" s="227"/>
      <c r="AJ597" s="227"/>
      <c r="AK597" s="227"/>
      <c r="AL597" s="227"/>
      <c r="AM597" s="227"/>
      <c r="AN597" s="227"/>
      <c r="AO597" s="227"/>
      <c r="AP597" s="227"/>
      <c r="AQ597" s="227"/>
      <c r="AR597" s="227"/>
      <c r="AS597" s="227"/>
      <c r="AT597" s="227"/>
      <c r="AU597" s="227"/>
      <c r="AV597" s="227"/>
      <c r="AW597" s="227"/>
      <c r="AX597" s="227"/>
      <c r="AY597" s="227"/>
      <c r="AZ597" s="227"/>
      <c r="BA597" s="227"/>
      <c r="BB597" s="227"/>
      <c r="BC597" s="227"/>
      <c r="BD597" s="227"/>
      <c r="BE597" s="227"/>
      <c r="BF597" s="227"/>
      <c r="BG597" s="227"/>
      <c r="BH597" s="227"/>
      <c r="BI597" s="227"/>
    </row>
    <row r="598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  <c r="AB598" s="227"/>
      <c r="AC598" s="227"/>
      <c r="AD598" s="227"/>
      <c r="AE598" s="227"/>
      <c r="AF598" s="227"/>
      <c r="AG598" s="227"/>
      <c r="AH598" s="227"/>
      <c r="AI598" s="227"/>
      <c r="AJ598" s="227"/>
      <c r="AK598" s="227"/>
      <c r="AL598" s="227"/>
      <c r="AM598" s="227"/>
      <c r="AN598" s="227"/>
      <c r="AO598" s="227"/>
      <c r="AP598" s="227"/>
      <c r="AQ598" s="227"/>
      <c r="AR598" s="227"/>
      <c r="AS598" s="227"/>
      <c r="AT598" s="227"/>
      <c r="AU598" s="227"/>
      <c r="AV598" s="227"/>
      <c r="AW598" s="227"/>
      <c r="AX598" s="227"/>
      <c r="AY598" s="227"/>
      <c r="AZ598" s="227"/>
      <c r="BA598" s="227"/>
      <c r="BB598" s="227"/>
      <c r="BC598" s="227"/>
      <c r="BD598" s="227"/>
      <c r="BE598" s="227"/>
      <c r="BF598" s="227"/>
      <c r="BG598" s="227"/>
      <c r="BH598" s="227"/>
      <c r="BI598" s="227"/>
    </row>
    <row r="599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  <c r="AB599" s="227"/>
      <c r="AC599" s="227"/>
      <c r="AD599" s="227"/>
      <c r="AE599" s="227"/>
      <c r="AF599" s="227"/>
      <c r="AG599" s="227"/>
      <c r="AH599" s="227"/>
      <c r="AI599" s="227"/>
      <c r="AJ599" s="227"/>
      <c r="AK599" s="227"/>
      <c r="AL599" s="227"/>
      <c r="AM599" s="227"/>
      <c r="AN599" s="227"/>
      <c r="AO599" s="227"/>
      <c r="AP599" s="227"/>
      <c r="AQ599" s="227"/>
      <c r="AR599" s="227"/>
      <c r="AS599" s="227"/>
      <c r="AT599" s="227"/>
      <c r="AU599" s="227"/>
      <c r="AV599" s="227"/>
      <c r="AW599" s="227"/>
      <c r="AX599" s="227"/>
      <c r="AY599" s="227"/>
      <c r="AZ599" s="227"/>
      <c r="BA599" s="227"/>
      <c r="BB599" s="227"/>
      <c r="BC599" s="227"/>
      <c r="BD599" s="227"/>
      <c r="BE599" s="227"/>
      <c r="BF599" s="227"/>
      <c r="BG599" s="227"/>
      <c r="BH599" s="227"/>
      <c r="BI599" s="227"/>
    </row>
    <row r="600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  <c r="AB600" s="227"/>
      <c r="AC600" s="227"/>
      <c r="AD600" s="227"/>
      <c r="AE600" s="227"/>
      <c r="AF600" s="227"/>
      <c r="AG600" s="227"/>
      <c r="AH600" s="227"/>
      <c r="AI600" s="227"/>
      <c r="AJ600" s="227"/>
      <c r="AK600" s="227"/>
      <c r="AL600" s="227"/>
      <c r="AM600" s="227"/>
      <c r="AN600" s="227"/>
      <c r="AO600" s="227"/>
      <c r="AP600" s="227"/>
      <c r="AQ600" s="227"/>
      <c r="AR600" s="227"/>
      <c r="AS600" s="227"/>
      <c r="AT600" s="227"/>
      <c r="AU600" s="227"/>
      <c r="AV600" s="227"/>
      <c r="AW600" s="227"/>
      <c r="AX600" s="227"/>
      <c r="AY600" s="227"/>
      <c r="AZ600" s="227"/>
      <c r="BA600" s="227"/>
      <c r="BB600" s="227"/>
      <c r="BC600" s="227"/>
      <c r="BD600" s="227"/>
      <c r="BE600" s="227"/>
      <c r="BF600" s="227"/>
      <c r="BG600" s="227"/>
      <c r="BH600" s="227"/>
      <c r="BI600" s="227"/>
    </row>
    <row r="60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  <c r="AB601" s="227"/>
      <c r="AC601" s="227"/>
      <c r="AD601" s="227"/>
      <c r="AE601" s="227"/>
      <c r="AF601" s="227"/>
      <c r="AG601" s="227"/>
      <c r="AH601" s="227"/>
      <c r="AI601" s="227"/>
      <c r="AJ601" s="227"/>
      <c r="AK601" s="227"/>
      <c r="AL601" s="227"/>
      <c r="AM601" s="227"/>
      <c r="AN601" s="227"/>
      <c r="AO601" s="227"/>
      <c r="AP601" s="227"/>
      <c r="AQ601" s="227"/>
      <c r="AR601" s="227"/>
      <c r="AS601" s="227"/>
      <c r="AT601" s="227"/>
      <c r="AU601" s="227"/>
      <c r="AV601" s="227"/>
      <c r="AW601" s="227"/>
      <c r="AX601" s="227"/>
      <c r="AY601" s="227"/>
      <c r="AZ601" s="227"/>
      <c r="BA601" s="227"/>
      <c r="BB601" s="227"/>
      <c r="BC601" s="227"/>
      <c r="BD601" s="227"/>
      <c r="BE601" s="227"/>
      <c r="BF601" s="227"/>
      <c r="BG601" s="227"/>
      <c r="BH601" s="227"/>
      <c r="BI601" s="227"/>
    </row>
    <row r="602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  <c r="AB602" s="227"/>
      <c r="AC602" s="227"/>
      <c r="AD602" s="227"/>
      <c r="AE602" s="227"/>
      <c r="AF602" s="227"/>
      <c r="AG602" s="227"/>
      <c r="AH602" s="227"/>
      <c r="AI602" s="227"/>
      <c r="AJ602" s="227"/>
      <c r="AK602" s="227"/>
      <c r="AL602" s="227"/>
      <c r="AM602" s="227"/>
      <c r="AN602" s="227"/>
      <c r="AO602" s="227"/>
      <c r="AP602" s="227"/>
      <c r="AQ602" s="227"/>
      <c r="AR602" s="227"/>
      <c r="AS602" s="227"/>
      <c r="AT602" s="227"/>
      <c r="AU602" s="227"/>
      <c r="AV602" s="227"/>
      <c r="AW602" s="227"/>
      <c r="AX602" s="227"/>
      <c r="AY602" s="227"/>
      <c r="AZ602" s="227"/>
      <c r="BA602" s="227"/>
      <c r="BB602" s="227"/>
      <c r="BC602" s="227"/>
      <c r="BD602" s="227"/>
      <c r="BE602" s="227"/>
      <c r="BF602" s="227"/>
      <c r="BG602" s="227"/>
      <c r="BH602" s="227"/>
      <c r="BI602" s="227"/>
    </row>
    <row r="603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  <c r="AB603" s="227"/>
      <c r="AC603" s="227"/>
      <c r="AD603" s="227"/>
      <c r="AE603" s="227"/>
      <c r="AF603" s="227"/>
      <c r="AG603" s="227"/>
      <c r="AH603" s="227"/>
      <c r="AI603" s="227"/>
      <c r="AJ603" s="227"/>
      <c r="AK603" s="227"/>
      <c r="AL603" s="227"/>
      <c r="AM603" s="227"/>
      <c r="AN603" s="227"/>
      <c r="AO603" s="227"/>
      <c r="AP603" s="227"/>
      <c r="AQ603" s="227"/>
      <c r="AR603" s="227"/>
      <c r="AS603" s="227"/>
      <c r="AT603" s="227"/>
      <c r="AU603" s="227"/>
      <c r="AV603" s="227"/>
      <c r="AW603" s="227"/>
      <c r="AX603" s="227"/>
      <c r="AY603" s="227"/>
      <c r="AZ603" s="227"/>
      <c r="BA603" s="227"/>
      <c r="BB603" s="227"/>
      <c r="BC603" s="227"/>
      <c r="BD603" s="227"/>
      <c r="BE603" s="227"/>
      <c r="BF603" s="227"/>
      <c r="BG603" s="227"/>
      <c r="BH603" s="227"/>
      <c r="BI603" s="227"/>
    </row>
    <row r="604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27"/>
      <c r="AL604" s="227"/>
      <c r="AM604" s="227"/>
      <c r="AN604" s="227"/>
      <c r="AO604" s="227"/>
      <c r="AP604" s="227"/>
      <c r="AQ604" s="227"/>
      <c r="AR604" s="227"/>
      <c r="AS604" s="227"/>
      <c r="AT604" s="227"/>
      <c r="AU604" s="227"/>
      <c r="AV604" s="227"/>
      <c r="AW604" s="227"/>
      <c r="AX604" s="227"/>
      <c r="AY604" s="227"/>
      <c r="AZ604" s="227"/>
      <c r="BA604" s="227"/>
      <c r="BB604" s="227"/>
      <c r="BC604" s="227"/>
      <c r="BD604" s="227"/>
      <c r="BE604" s="227"/>
      <c r="BF604" s="227"/>
      <c r="BG604" s="227"/>
      <c r="BH604" s="227"/>
      <c r="BI604" s="227"/>
    </row>
    <row r="605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  <c r="AB605" s="227"/>
      <c r="AC605" s="227"/>
      <c r="AD605" s="227"/>
      <c r="AE605" s="227"/>
      <c r="AF605" s="227"/>
      <c r="AG605" s="227"/>
      <c r="AH605" s="227"/>
      <c r="AI605" s="227"/>
      <c r="AJ605" s="227"/>
      <c r="AK605" s="227"/>
      <c r="AL605" s="227"/>
      <c r="AM605" s="227"/>
      <c r="AN605" s="227"/>
      <c r="AO605" s="227"/>
      <c r="AP605" s="227"/>
      <c r="AQ605" s="227"/>
      <c r="AR605" s="227"/>
      <c r="AS605" s="227"/>
      <c r="AT605" s="227"/>
      <c r="AU605" s="227"/>
      <c r="AV605" s="227"/>
      <c r="AW605" s="227"/>
      <c r="AX605" s="227"/>
      <c r="AY605" s="227"/>
      <c r="AZ605" s="227"/>
      <c r="BA605" s="227"/>
      <c r="BB605" s="227"/>
      <c r="BC605" s="227"/>
      <c r="BD605" s="227"/>
      <c r="BE605" s="227"/>
      <c r="BF605" s="227"/>
      <c r="BG605" s="227"/>
      <c r="BH605" s="227"/>
      <c r="BI605" s="227"/>
    </row>
    <row r="60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  <c r="AB606" s="227"/>
      <c r="AC606" s="227"/>
      <c r="AD606" s="227"/>
      <c r="AE606" s="227"/>
      <c r="AF606" s="227"/>
      <c r="AG606" s="227"/>
      <c r="AH606" s="227"/>
      <c r="AI606" s="227"/>
      <c r="AJ606" s="227"/>
      <c r="AK606" s="227"/>
      <c r="AL606" s="227"/>
      <c r="AM606" s="227"/>
      <c r="AN606" s="227"/>
      <c r="AO606" s="227"/>
      <c r="AP606" s="227"/>
      <c r="AQ606" s="227"/>
      <c r="AR606" s="227"/>
      <c r="AS606" s="227"/>
      <c r="AT606" s="227"/>
      <c r="AU606" s="227"/>
      <c r="AV606" s="227"/>
      <c r="AW606" s="227"/>
      <c r="AX606" s="227"/>
      <c r="AY606" s="227"/>
      <c r="AZ606" s="227"/>
      <c r="BA606" s="227"/>
      <c r="BB606" s="227"/>
      <c r="BC606" s="227"/>
      <c r="BD606" s="227"/>
      <c r="BE606" s="227"/>
      <c r="BF606" s="227"/>
      <c r="BG606" s="227"/>
      <c r="BH606" s="227"/>
      <c r="BI606" s="227"/>
    </row>
    <row r="607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  <c r="AB607" s="227"/>
      <c r="AC607" s="227"/>
      <c r="AD607" s="227"/>
      <c r="AE607" s="227"/>
      <c r="AF607" s="227"/>
      <c r="AG607" s="227"/>
      <c r="AH607" s="227"/>
      <c r="AI607" s="227"/>
      <c r="AJ607" s="227"/>
      <c r="AK607" s="227"/>
      <c r="AL607" s="227"/>
      <c r="AM607" s="227"/>
      <c r="AN607" s="227"/>
      <c r="AO607" s="227"/>
      <c r="AP607" s="227"/>
      <c r="AQ607" s="227"/>
      <c r="AR607" s="227"/>
      <c r="AS607" s="227"/>
      <c r="AT607" s="227"/>
      <c r="AU607" s="227"/>
      <c r="AV607" s="227"/>
      <c r="AW607" s="227"/>
      <c r="AX607" s="227"/>
      <c r="AY607" s="227"/>
      <c r="AZ607" s="227"/>
      <c r="BA607" s="227"/>
      <c r="BB607" s="227"/>
      <c r="BC607" s="227"/>
      <c r="BD607" s="227"/>
      <c r="BE607" s="227"/>
      <c r="BF607" s="227"/>
      <c r="BG607" s="227"/>
      <c r="BH607" s="227"/>
      <c r="BI607" s="227"/>
    </row>
    <row r="608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  <c r="AB608" s="227"/>
      <c r="AC608" s="227"/>
      <c r="AD608" s="227"/>
      <c r="AE608" s="227"/>
      <c r="AF608" s="227"/>
      <c r="AG608" s="227"/>
      <c r="AH608" s="227"/>
      <c r="AI608" s="227"/>
      <c r="AJ608" s="227"/>
      <c r="AK608" s="227"/>
      <c r="AL608" s="227"/>
      <c r="AM608" s="227"/>
      <c r="AN608" s="227"/>
      <c r="AO608" s="227"/>
      <c r="AP608" s="227"/>
      <c r="AQ608" s="227"/>
      <c r="AR608" s="227"/>
      <c r="AS608" s="227"/>
      <c r="AT608" s="227"/>
      <c r="AU608" s="227"/>
      <c r="AV608" s="227"/>
      <c r="AW608" s="227"/>
      <c r="AX608" s="227"/>
      <c r="AY608" s="227"/>
      <c r="AZ608" s="227"/>
      <c r="BA608" s="227"/>
      <c r="BB608" s="227"/>
      <c r="BC608" s="227"/>
      <c r="BD608" s="227"/>
      <c r="BE608" s="227"/>
      <c r="BF608" s="227"/>
      <c r="BG608" s="227"/>
      <c r="BH608" s="227"/>
      <c r="BI608" s="227"/>
    </row>
    <row r="609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  <c r="AB609" s="227"/>
      <c r="AC609" s="227"/>
      <c r="AD609" s="227"/>
      <c r="AE609" s="227"/>
      <c r="AF609" s="227"/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27"/>
      <c r="BC609" s="227"/>
      <c r="BD609" s="227"/>
      <c r="BE609" s="227"/>
      <c r="BF609" s="227"/>
      <c r="BG609" s="227"/>
      <c r="BH609" s="227"/>
      <c r="BI609" s="227"/>
    </row>
    <row r="610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  <c r="AB610" s="227"/>
      <c r="AC610" s="227"/>
      <c r="AD610" s="227"/>
      <c r="AE610" s="227"/>
      <c r="AF610" s="227"/>
      <c r="AG610" s="227"/>
      <c r="AH610" s="227"/>
      <c r="AI610" s="227"/>
      <c r="AJ610" s="227"/>
      <c r="AK610" s="227"/>
      <c r="AL610" s="227"/>
      <c r="AM610" s="227"/>
      <c r="AN610" s="227"/>
      <c r="AO610" s="227"/>
      <c r="AP610" s="227"/>
      <c r="AQ610" s="227"/>
      <c r="AR610" s="227"/>
      <c r="AS610" s="227"/>
      <c r="AT610" s="227"/>
      <c r="AU610" s="227"/>
      <c r="AV610" s="227"/>
      <c r="AW610" s="227"/>
      <c r="AX610" s="227"/>
      <c r="AY610" s="227"/>
      <c r="AZ610" s="227"/>
      <c r="BA610" s="227"/>
      <c r="BB610" s="227"/>
      <c r="BC610" s="227"/>
      <c r="BD610" s="227"/>
      <c r="BE610" s="227"/>
      <c r="BF610" s="227"/>
      <c r="BG610" s="227"/>
      <c r="BH610" s="227"/>
      <c r="BI610" s="227"/>
    </row>
    <row r="61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  <c r="AB611" s="227"/>
      <c r="AC611" s="227"/>
      <c r="AD611" s="227"/>
      <c r="AE611" s="227"/>
      <c r="AF611" s="227"/>
      <c r="AG611" s="227"/>
      <c r="AH611" s="227"/>
      <c r="AI611" s="227"/>
      <c r="AJ611" s="227"/>
      <c r="AK611" s="227"/>
      <c r="AL611" s="227"/>
      <c r="AM611" s="227"/>
      <c r="AN611" s="227"/>
      <c r="AO611" s="227"/>
      <c r="AP611" s="227"/>
      <c r="AQ611" s="227"/>
      <c r="AR611" s="227"/>
      <c r="AS611" s="227"/>
      <c r="AT611" s="227"/>
      <c r="AU611" s="227"/>
      <c r="AV611" s="227"/>
      <c r="AW611" s="227"/>
      <c r="AX611" s="227"/>
      <c r="AY611" s="227"/>
      <c r="AZ611" s="227"/>
      <c r="BA611" s="227"/>
      <c r="BB611" s="227"/>
      <c r="BC611" s="227"/>
      <c r="BD611" s="227"/>
      <c r="BE611" s="227"/>
      <c r="BF611" s="227"/>
      <c r="BG611" s="227"/>
      <c r="BH611" s="227"/>
      <c r="BI611" s="227"/>
    </row>
    <row r="612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  <c r="AB612" s="227"/>
      <c r="AC612" s="227"/>
      <c r="AD612" s="227"/>
      <c r="AE612" s="227"/>
      <c r="AF612" s="227"/>
      <c r="AG612" s="227"/>
      <c r="AH612" s="227"/>
      <c r="AI612" s="227"/>
      <c r="AJ612" s="227"/>
      <c r="AK612" s="227"/>
      <c r="AL612" s="227"/>
      <c r="AM612" s="227"/>
      <c r="AN612" s="227"/>
      <c r="AO612" s="227"/>
      <c r="AP612" s="227"/>
      <c r="AQ612" s="227"/>
      <c r="AR612" s="227"/>
      <c r="AS612" s="227"/>
      <c r="AT612" s="227"/>
      <c r="AU612" s="227"/>
      <c r="AV612" s="227"/>
      <c r="AW612" s="227"/>
      <c r="AX612" s="227"/>
      <c r="AY612" s="227"/>
      <c r="AZ612" s="227"/>
      <c r="BA612" s="227"/>
      <c r="BB612" s="227"/>
      <c r="BC612" s="227"/>
      <c r="BD612" s="227"/>
      <c r="BE612" s="227"/>
      <c r="BF612" s="227"/>
      <c r="BG612" s="227"/>
      <c r="BH612" s="227"/>
      <c r="BI612" s="227"/>
    </row>
    <row r="613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  <c r="AB613" s="227"/>
      <c r="AC613" s="227"/>
      <c r="AD613" s="227"/>
      <c r="AE613" s="227"/>
      <c r="AF613" s="227"/>
      <c r="AG613" s="227"/>
      <c r="AH613" s="227"/>
      <c r="AI613" s="227"/>
      <c r="AJ613" s="227"/>
      <c r="AK613" s="227"/>
      <c r="AL613" s="227"/>
      <c r="AM613" s="227"/>
      <c r="AN613" s="227"/>
      <c r="AO613" s="227"/>
      <c r="AP613" s="227"/>
      <c r="AQ613" s="227"/>
      <c r="AR613" s="227"/>
      <c r="AS613" s="227"/>
      <c r="AT613" s="227"/>
      <c r="AU613" s="227"/>
      <c r="AV613" s="227"/>
      <c r="AW613" s="227"/>
      <c r="AX613" s="227"/>
      <c r="AY613" s="227"/>
      <c r="AZ613" s="227"/>
      <c r="BA613" s="227"/>
      <c r="BB613" s="227"/>
      <c r="BC613" s="227"/>
      <c r="BD613" s="227"/>
      <c r="BE613" s="227"/>
      <c r="BF613" s="227"/>
      <c r="BG613" s="227"/>
      <c r="BH613" s="227"/>
      <c r="BI613" s="227"/>
    </row>
    <row r="614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  <c r="AB614" s="227"/>
      <c r="AC614" s="227"/>
      <c r="AD614" s="227"/>
      <c r="AE614" s="227"/>
      <c r="AF614" s="227"/>
      <c r="AG614" s="227"/>
      <c r="AH614" s="227"/>
      <c r="AI614" s="227"/>
      <c r="AJ614" s="227"/>
      <c r="AK614" s="227"/>
      <c r="AL614" s="227"/>
      <c r="AM614" s="227"/>
      <c r="AN614" s="227"/>
      <c r="AO614" s="227"/>
      <c r="AP614" s="227"/>
      <c r="AQ614" s="227"/>
      <c r="AR614" s="227"/>
      <c r="AS614" s="227"/>
      <c r="AT614" s="227"/>
      <c r="AU614" s="227"/>
      <c r="AV614" s="227"/>
      <c r="AW614" s="227"/>
      <c r="AX614" s="227"/>
      <c r="AY614" s="227"/>
      <c r="AZ614" s="227"/>
      <c r="BA614" s="227"/>
      <c r="BB614" s="227"/>
      <c r="BC614" s="227"/>
      <c r="BD614" s="227"/>
      <c r="BE614" s="227"/>
      <c r="BF614" s="227"/>
      <c r="BG614" s="227"/>
      <c r="BH614" s="227"/>
      <c r="BI614" s="227"/>
    </row>
    <row r="615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  <c r="AB615" s="227"/>
      <c r="AC615" s="227"/>
      <c r="AD615" s="227"/>
      <c r="AE615" s="227"/>
      <c r="AF615" s="227"/>
      <c r="AG615" s="227"/>
      <c r="AH615" s="227"/>
      <c r="AI615" s="227"/>
      <c r="AJ615" s="227"/>
      <c r="AK615" s="227"/>
      <c r="AL615" s="227"/>
      <c r="AM615" s="227"/>
      <c r="AN615" s="227"/>
      <c r="AO615" s="227"/>
      <c r="AP615" s="227"/>
      <c r="AQ615" s="227"/>
      <c r="AR615" s="227"/>
      <c r="AS615" s="227"/>
      <c r="AT615" s="227"/>
      <c r="AU615" s="227"/>
      <c r="AV615" s="227"/>
      <c r="AW615" s="227"/>
      <c r="AX615" s="227"/>
      <c r="AY615" s="227"/>
      <c r="AZ615" s="227"/>
      <c r="BA615" s="227"/>
      <c r="BB615" s="227"/>
      <c r="BC615" s="227"/>
      <c r="BD615" s="227"/>
      <c r="BE615" s="227"/>
      <c r="BF615" s="227"/>
      <c r="BG615" s="227"/>
      <c r="BH615" s="227"/>
      <c r="BI615" s="227"/>
    </row>
    <row r="61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27"/>
      <c r="AL616" s="227"/>
      <c r="AM616" s="227"/>
      <c r="AN616" s="227"/>
      <c r="AO616" s="227"/>
      <c r="AP616" s="227"/>
      <c r="AQ616" s="227"/>
      <c r="AR616" s="227"/>
      <c r="AS616" s="227"/>
      <c r="AT616" s="227"/>
      <c r="AU616" s="227"/>
      <c r="AV616" s="227"/>
      <c r="AW616" s="227"/>
      <c r="AX616" s="227"/>
      <c r="AY616" s="227"/>
      <c r="AZ616" s="227"/>
      <c r="BA616" s="227"/>
      <c r="BB616" s="227"/>
      <c r="BC616" s="227"/>
      <c r="BD616" s="227"/>
      <c r="BE616" s="227"/>
      <c r="BF616" s="227"/>
      <c r="BG616" s="227"/>
      <c r="BH616" s="227"/>
      <c r="BI616" s="227"/>
    </row>
    <row r="617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7"/>
      <c r="AN617" s="227"/>
      <c r="AO617" s="227"/>
      <c r="AP617" s="227"/>
      <c r="AQ617" s="227"/>
      <c r="AR617" s="227"/>
      <c r="AS617" s="227"/>
      <c r="AT617" s="227"/>
      <c r="AU617" s="227"/>
      <c r="AV617" s="227"/>
      <c r="AW617" s="227"/>
      <c r="AX617" s="227"/>
      <c r="AY617" s="227"/>
      <c r="AZ617" s="227"/>
      <c r="BA617" s="227"/>
      <c r="BB617" s="227"/>
      <c r="BC617" s="227"/>
      <c r="BD617" s="227"/>
      <c r="BE617" s="227"/>
      <c r="BF617" s="227"/>
      <c r="BG617" s="227"/>
      <c r="BH617" s="227"/>
      <c r="BI617" s="227"/>
    </row>
    <row r="618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  <c r="AB618" s="227"/>
      <c r="AC618" s="227"/>
      <c r="AD618" s="227"/>
      <c r="AE618" s="227"/>
      <c r="AF618" s="227"/>
      <c r="AG618" s="227"/>
      <c r="AH618" s="227"/>
      <c r="AI618" s="227"/>
      <c r="AJ618" s="227"/>
      <c r="AK618" s="227"/>
      <c r="AL618" s="227"/>
      <c r="AM618" s="227"/>
      <c r="AN618" s="227"/>
      <c r="AO618" s="227"/>
      <c r="AP618" s="227"/>
      <c r="AQ618" s="227"/>
      <c r="AR618" s="227"/>
      <c r="AS618" s="227"/>
      <c r="AT618" s="227"/>
      <c r="AU618" s="227"/>
      <c r="AV618" s="227"/>
      <c r="AW618" s="227"/>
      <c r="AX618" s="227"/>
      <c r="AY618" s="227"/>
      <c r="AZ618" s="227"/>
      <c r="BA618" s="227"/>
      <c r="BB618" s="227"/>
      <c r="BC618" s="227"/>
      <c r="BD618" s="227"/>
      <c r="BE618" s="227"/>
      <c r="BF618" s="227"/>
      <c r="BG618" s="227"/>
      <c r="BH618" s="227"/>
      <c r="BI618" s="227"/>
    </row>
    <row r="619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27"/>
      <c r="AK619" s="227"/>
      <c r="AL619" s="227"/>
      <c r="AM619" s="227"/>
      <c r="AN619" s="227"/>
      <c r="AO619" s="227"/>
      <c r="AP619" s="227"/>
      <c r="AQ619" s="227"/>
      <c r="AR619" s="227"/>
      <c r="AS619" s="227"/>
      <c r="AT619" s="227"/>
      <c r="AU619" s="227"/>
      <c r="AV619" s="227"/>
      <c r="AW619" s="227"/>
      <c r="AX619" s="227"/>
      <c r="AY619" s="227"/>
      <c r="AZ619" s="227"/>
      <c r="BA619" s="227"/>
      <c r="BB619" s="227"/>
      <c r="BC619" s="227"/>
      <c r="BD619" s="227"/>
      <c r="BE619" s="227"/>
      <c r="BF619" s="227"/>
      <c r="BG619" s="227"/>
      <c r="BH619" s="227"/>
      <c r="BI619" s="227"/>
    </row>
    <row r="620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  <c r="AB620" s="227"/>
      <c r="AC620" s="227"/>
      <c r="AD620" s="227"/>
      <c r="AE620" s="227"/>
      <c r="AF620" s="227"/>
      <c r="AG620" s="227"/>
      <c r="AH620" s="227"/>
      <c r="AI620" s="227"/>
      <c r="AJ620" s="227"/>
      <c r="AK620" s="227"/>
      <c r="AL620" s="227"/>
      <c r="AM620" s="227"/>
      <c r="AN620" s="227"/>
      <c r="AO620" s="227"/>
      <c r="AP620" s="227"/>
      <c r="AQ620" s="227"/>
      <c r="AR620" s="227"/>
      <c r="AS620" s="227"/>
      <c r="AT620" s="227"/>
      <c r="AU620" s="227"/>
      <c r="AV620" s="227"/>
      <c r="AW620" s="227"/>
      <c r="AX620" s="227"/>
      <c r="AY620" s="227"/>
      <c r="AZ620" s="227"/>
      <c r="BA620" s="227"/>
      <c r="BB620" s="227"/>
      <c r="BC620" s="227"/>
      <c r="BD620" s="227"/>
      <c r="BE620" s="227"/>
      <c r="BF620" s="227"/>
      <c r="BG620" s="227"/>
      <c r="BH620" s="227"/>
      <c r="BI620" s="227"/>
    </row>
    <row r="62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  <c r="AB621" s="227"/>
      <c r="AC621" s="227"/>
      <c r="AD621" s="227"/>
      <c r="AE621" s="227"/>
      <c r="AF621" s="227"/>
      <c r="AG621" s="227"/>
      <c r="AH621" s="227"/>
      <c r="AI621" s="227"/>
      <c r="AJ621" s="227"/>
      <c r="AK621" s="227"/>
      <c r="AL621" s="227"/>
      <c r="AM621" s="227"/>
      <c r="AN621" s="227"/>
      <c r="AO621" s="227"/>
      <c r="AP621" s="227"/>
      <c r="AQ621" s="227"/>
      <c r="AR621" s="227"/>
      <c r="AS621" s="227"/>
      <c r="AT621" s="227"/>
      <c r="AU621" s="227"/>
      <c r="AV621" s="227"/>
      <c r="AW621" s="227"/>
      <c r="AX621" s="227"/>
      <c r="AY621" s="227"/>
      <c r="AZ621" s="227"/>
      <c r="BA621" s="227"/>
      <c r="BB621" s="227"/>
      <c r="BC621" s="227"/>
      <c r="BD621" s="227"/>
      <c r="BE621" s="227"/>
      <c r="BF621" s="227"/>
      <c r="BG621" s="227"/>
      <c r="BH621" s="227"/>
      <c r="BI621" s="227"/>
    </row>
    <row r="622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  <c r="AB622" s="227"/>
      <c r="AC622" s="227"/>
      <c r="AD622" s="227"/>
      <c r="AE622" s="227"/>
      <c r="AF622" s="227"/>
      <c r="AG622" s="227"/>
      <c r="AH622" s="227"/>
      <c r="AI622" s="227"/>
      <c r="AJ622" s="227"/>
      <c r="AK622" s="227"/>
      <c r="AL622" s="227"/>
      <c r="AM622" s="227"/>
      <c r="AN622" s="227"/>
      <c r="AO622" s="227"/>
      <c r="AP622" s="227"/>
      <c r="AQ622" s="227"/>
      <c r="AR622" s="227"/>
      <c r="AS622" s="227"/>
      <c r="AT622" s="227"/>
      <c r="AU622" s="227"/>
      <c r="AV622" s="227"/>
      <c r="AW622" s="227"/>
      <c r="AX622" s="227"/>
      <c r="AY622" s="227"/>
      <c r="AZ622" s="227"/>
      <c r="BA622" s="227"/>
      <c r="BB622" s="227"/>
      <c r="BC622" s="227"/>
      <c r="BD622" s="227"/>
      <c r="BE622" s="227"/>
      <c r="BF622" s="227"/>
      <c r="BG622" s="227"/>
      <c r="BH622" s="227"/>
      <c r="BI622" s="227"/>
    </row>
    <row r="623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  <c r="AB623" s="227"/>
      <c r="AC623" s="227"/>
      <c r="AD623" s="227"/>
      <c r="AE623" s="227"/>
      <c r="AF623" s="227"/>
      <c r="AG623" s="227"/>
      <c r="AH623" s="227"/>
      <c r="AI623" s="227"/>
      <c r="AJ623" s="227"/>
      <c r="AK623" s="227"/>
      <c r="AL623" s="227"/>
      <c r="AM623" s="227"/>
      <c r="AN623" s="227"/>
      <c r="AO623" s="227"/>
      <c r="AP623" s="227"/>
      <c r="AQ623" s="227"/>
      <c r="AR623" s="227"/>
      <c r="AS623" s="227"/>
      <c r="AT623" s="227"/>
      <c r="AU623" s="227"/>
      <c r="AV623" s="227"/>
      <c r="AW623" s="227"/>
      <c r="AX623" s="227"/>
      <c r="AY623" s="227"/>
      <c r="AZ623" s="227"/>
      <c r="BA623" s="227"/>
      <c r="BB623" s="227"/>
      <c r="BC623" s="227"/>
      <c r="BD623" s="227"/>
      <c r="BE623" s="227"/>
      <c r="BF623" s="227"/>
      <c r="BG623" s="227"/>
      <c r="BH623" s="227"/>
      <c r="BI623" s="227"/>
    </row>
    <row r="624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  <c r="AB624" s="227"/>
      <c r="AC624" s="227"/>
      <c r="AD624" s="227"/>
      <c r="AE624" s="227"/>
      <c r="AF624" s="227"/>
      <c r="AG624" s="227"/>
      <c r="AH624" s="227"/>
      <c r="AI624" s="227"/>
      <c r="AJ624" s="227"/>
      <c r="AK624" s="227"/>
      <c r="AL624" s="227"/>
      <c r="AM624" s="227"/>
      <c r="AN624" s="227"/>
      <c r="AO624" s="227"/>
      <c r="AP624" s="227"/>
      <c r="AQ624" s="227"/>
      <c r="AR624" s="227"/>
      <c r="AS624" s="227"/>
      <c r="AT624" s="227"/>
      <c r="AU624" s="227"/>
      <c r="AV624" s="227"/>
      <c r="AW624" s="227"/>
      <c r="AX624" s="227"/>
      <c r="AY624" s="227"/>
      <c r="AZ624" s="227"/>
      <c r="BA624" s="227"/>
      <c r="BB624" s="227"/>
      <c r="BC624" s="227"/>
      <c r="BD624" s="227"/>
      <c r="BE624" s="227"/>
      <c r="BF624" s="227"/>
      <c r="BG624" s="227"/>
      <c r="BH624" s="227"/>
      <c r="BI624" s="227"/>
    </row>
    <row r="625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  <c r="AB625" s="227"/>
      <c r="AC625" s="227"/>
      <c r="AD625" s="227"/>
      <c r="AE625" s="227"/>
      <c r="AF625" s="227"/>
      <c r="AG625" s="227"/>
      <c r="AH625" s="227"/>
      <c r="AI625" s="227"/>
      <c r="AJ625" s="227"/>
      <c r="AK625" s="227"/>
      <c r="AL625" s="227"/>
      <c r="AM625" s="227"/>
      <c r="AN625" s="227"/>
      <c r="AO625" s="227"/>
      <c r="AP625" s="227"/>
      <c r="AQ625" s="227"/>
      <c r="AR625" s="227"/>
      <c r="AS625" s="227"/>
      <c r="AT625" s="227"/>
      <c r="AU625" s="227"/>
      <c r="AV625" s="227"/>
      <c r="AW625" s="227"/>
      <c r="AX625" s="227"/>
      <c r="AY625" s="227"/>
      <c r="AZ625" s="227"/>
      <c r="BA625" s="227"/>
      <c r="BB625" s="227"/>
      <c r="BC625" s="227"/>
      <c r="BD625" s="227"/>
      <c r="BE625" s="227"/>
      <c r="BF625" s="227"/>
      <c r="BG625" s="227"/>
      <c r="BH625" s="227"/>
      <c r="BI625" s="227"/>
    </row>
    <row r="6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  <c r="AB626" s="227"/>
      <c r="AC626" s="227"/>
      <c r="AD626" s="227"/>
      <c r="AE626" s="227"/>
      <c r="AF626" s="227"/>
      <c r="AG626" s="227"/>
      <c r="AH626" s="227"/>
      <c r="AI626" s="227"/>
      <c r="AJ626" s="227"/>
      <c r="AK626" s="227"/>
      <c r="AL626" s="227"/>
      <c r="AM626" s="227"/>
      <c r="AN626" s="227"/>
      <c r="AO626" s="227"/>
      <c r="AP626" s="227"/>
      <c r="AQ626" s="227"/>
      <c r="AR626" s="227"/>
      <c r="AS626" s="227"/>
      <c r="AT626" s="227"/>
      <c r="AU626" s="227"/>
      <c r="AV626" s="227"/>
      <c r="AW626" s="227"/>
      <c r="AX626" s="227"/>
      <c r="AY626" s="227"/>
      <c r="AZ626" s="227"/>
      <c r="BA626" s="227"/>
      <c r="BB626" s="227"/>
      <c r="BC626" s="227"/>
      <c r="BD626" s="227"/>
      <c r="BE626" s="227"/>
      <c r="BF626" s="227"/>
      <c r="BG626" s="227"/>
      <c r="BH626" s="227"/>
      <c r="BI626" s="227"/>
    </row>
    <row r="627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  <c r="AB627" s="227"/>
      <c r="AC627" s="227"/>
      <c r="AD627" s="227"/>
      <c r="AE627" s="227"/>
      <c r="AF627" s="227"/>
      <c r="AG627" s="227"/>
      <c r="AH627" s="227"/>
      <c r="AI627" s="227"/>
      <c r="AJ627" s="227"/>
      <c r="AK627" s="227"/>
      <c r="AL627" s="227"/>
      <c r="AM627" s="227"/>
      <c r="AN627" s="227"/>
      <c r="AO627" s="227"/>
      <c r="AP627" s="227"/>
      <c r="AQ627" s="227"/>
      <c r="AR627" s="227"/>
      <c r="AS627" s="227"/>
      <c r="AT627" s="227"/>
      <c r="AU627" s="227"/>
      <c r="AV627" s="227"/>
      <c r="AW627" s="227"/>
      <c r="AX627" s="227"/>
      <c r="AY627" s="227"/>
      <c r="AZ627" s="227"/>
      <c r="BA627" s="227"/>
      <c r="BB627" s="227"/>
      <c r="BC627" s="227"/>
      <c r="BD627" s="227"/>
      <c r="BE627" s="227"/>
      <c r="BF627" s="227"/>
      <c r="BG627" s="227"/>
      <c r="BH627" s="227"/>
      <c r="BI627" s="227"/>
    </row>
    <row r="628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27"/>
      <c r="AL628" s="227"/>
      <c r="AM628" s="227"/>
      <c r="AN628" s="227"/>
      <c r="AO628" s="227"/>
      <c r="AP628" s="227"/>
      <c r="AQ628" s="227"/>
      <c r="AR628" s="227"/>
      <c r="AS628" s="227"/>
      <c r="AT628" s="227"/>
      <c r="AU628" s="227"/>
      <c r="AV628" s="227"/>
      <c r="AW628" s="227"/>
      <c r="AX628" s="227"/>
      <c r="AY628" s="227"/>
      <c r="AZ628" s="227"/>
      <c r="BA628" s="227"/>
      <c r="BB628" s="227"/>
      <c r="BC628" s="227"/>
      <c r="BD628" s="227"/>
      <c r="BE628" s="227"/>
      <c r="BF628" s="227"/>
      <c r="BG628" s="227"/>
      <c r="BH628" s="227"/>
      <c r="BI628" s="227"/>
    </row>
    <row r="629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  <c r="AB629" s="227"/>
      <c r="AC629" s="227"/>
      <c r="AD629" s="227"/>
      <c r="AE629" s="227"/>
      <c r="AF629" s="227"/>
      <c r="AG629" s="227"/>
      <c r="AH629" s="227"/>
      <c r="AI629" s="227"/>
      <c r="AJ629" s="227"/>
      <c r="AK629" s="227"/>
      <c r="AL629" s="227"/>
      <c r="AM629" s="227"/>
      <c r="AN629" s="227"/>
      <c r="AO629" s="227"/>
      <c r="AP629" s="227"/>
      <c r="AQ629" s="227"/>
      <c r="AR629" s="227"/>
      <c r="AS629" s="227"/>
      <c r="AT629" s="227"/>
      <c r="AU629" s="227"/>
      <c r="AV629" s="227"/>
      <c r="AW629" s="227"/>
      <c r="AX629" s="227"/>
      <c r="AY629" s="227"/>
      <c r="AZ629" s="227"/>
      <c r="BA629" s="227"/>
      <c r="BB629" s="227"/>
      <c r="BC629" s="227"/>
      <c r="BD629" s="227"/>
      <c r="BE629" s="227"/>
      <c r="BF629" s="227"/>
      <c r="BG629" s="227"/>
      <c r="BH629" s="227"/>
      <c r="BI629" s="227"/>
    </row>
    <row r="630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  <c r="AB630" s="227"/>
      <c r="AC630" s="227"/>
      <c r="AD630" s="227"/>
      <c r="AE630" s="227"/>
      <c r="AF630" s="227"/>
      <c r="AG630" s="227"/>
      <c r="AH630" s="227"/>
      <c r="AI630" s="227"/>
      <c r="AJ630" s="227"/>
      <c r="AK630" s="227"/>
      <c r="AL630" s="227"/>
      <c r="AM630" s="227"/>
      <c r="AN630" s="227"/>
      <c r="AO630" s="227"/>
      <c r="AP630" s="227"/>
      <c r="AQ630" s="227"/>
      <c r="AR630" s="227"/>
      <c r="AS630" s="227"/>
      <c r="AT630" s="227"/>
      <c r="AU630" s="227"/>
      <c r="AV630" s="227"/>
      <c r="AW630" s="227"/>
      <c r="AX630" s="227"/>
      <c r="AY630" s="227"/>
      <c r="AZ630" s="227"/>
      <c r="BA630" s="227"/>
      <c r="BB630" s="227"/>
      <c r="BC630" s="227"/>
      <c r="BD630" s="227"/>
      <c r="BE630" s="227"/>
      <c r="BF630" s="227"/>
      <c r="BG630" s="227"/>
      <c r="BH630" s="227"/>
      <c r="BI630" s="227"/>
    </row>
    <row r="63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  <c r="AB631" s="227"/>
      <c r="AC631" s="227"/>
      <c r="AD631" s="227"/>
      <c r="AE631" s="227"/>
      <c r="AF631" s="227"/>
      <c r="AG631" s="227"/>
      <c r="AH631" s="227"/>
      <c r="AI631" s="227"/>
      <c r="AJ631" s="227"/>
      <c r="AK631" s="227"/>
      <c r="AL631" s="227"/>
      <c r="AM631" s="227"/>
      <c r="AN631" s="227"/>
      <c r="AO631" s="227"/>
      <c r="AP631" s="227"/>
      <c r="AQ631" s="227"/>
      <c r="AR631" s="227"/>
      <c r="AS631" s="227"/>
      <c r="AT631" s="227"/>
      <c r="AU631" s="227"/>
      <c r="AV631" s="227"/>
      <c r="AW631" s="227"/>
      <c r="AX631" s="227"/>
      <c r="AY631" s="227"/>
      <c r="AZ631" s="227"/>
      <c r="BA631" s="227"/>
      <c r="BB631" s="227"/>
      <c r="BC631" s="227"/>
      <c r="BD631" s="227"/>
      <c r="BE631" s="227"/>
      <c r="BF631" s="227"/>
      <c r="BG631" s="227"/>
      <c r="BH631" s="227"/>
      <c r="BI631" s="227"/>
    </row>
    <row r="632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  <c r="AB632" s="227"/>
      <c r="AC632" s="227"/>
      <c r="AD632" s="227"/>
      <c r="AE632" s="227"/>
      <c r="AF632" s="227"/>
      <c r="AG632" s="227"/>
      <c r="AH632" s="227"/>
      <c r="AI632" s="227"/>
      <c r="AJ632" s="227"/>
      <c r="AK632" s="227"/>
      <c r="AL632" s="227"/>
      <c r="AM632" s="227"/>
      <c r="AN632" s="227"/>
      <c r="AO632" s="227"/>
      <c r="AP632" s="227"/>
      <c r="AQ632" s="227"/>
      <c r="AR632" s="227"/>
      <c r="AS632" s="227"/>
      <c r="AT632" s="227"/>
      <c r="AU632" s="227"/>
      <c r="AV632" s="227"/>
      <c r="AW632" s="227"/>
      <c r="AX632" s="227"/>
      <c r="AY632" s="227"/>
      <c r="AZ632" s="227"/>
      <c r="BA632" s="227"/>
      <c r="BB632" s="227"/>
      <c r="BC632" s="227"/>
      <c r="BD632" s="227"/>
      <c r="BE632" s="227"/>
      <c r="BF632" s="227"/>
      <c r="BG632" s="227"/>
      <c r="BH632" s="227"/>
      <c r="BI632" s="227"/>
    </row>
    <row r="633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  <c r="AB633" s="227"/>
      <c r="AC633" s="227"/>
      <c r="AD633" s="227"/>
      <c r="AE633" s="227"/>
      <c r="AF633" s="227"/>
      <c r="AG633" s="227"/>
      <c r="AH633" s="227"/>
      <c r="AI633" s="227"/>
      <c r="AJ633" s="227"/>
      <c r="AK633" s="227"/>
      <c r="AL633" s="227"/>
      <c r="AM633" s="227"/>
      <c r="AN633" s="227"/>
      <c r="AO633" s="227"/>
      <c r="AP633" s="227"/>
      <c r="AQ633" s="227"/>
      <c r="AR633" s="227"/>
      <c r="AS633" s="227"/>
      <c r="AT633" s="227"/>
      <c r="AU633" s="227"/>
      <c r="AV633" s="227"/>
      <c r="AW633" s="227"/>
      <c r="AX633" s="227"/>
      <c r="AY633" s="227"/>
      <c r="AZ633" s="227"/>
      <c r="BA633" s="227"/>
      <c r="BB633" s="227"/>
      <c r="BC633" s="227"/>
      <c r="BD633" s="227"/>
      <c r="BE633" s="227"/>
      <c r="BF633" s="227"/>
      <c r="BG633" s="227"/>
      <c r="BH633" s="227"/>
      <c r="BI633" s="227"/>
    </row>
    <row r="634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  <c r="AB634" s="227"/>
      <c r="AC634" s="227"/>
      <c r="AD634" s="227"/>
      <c r="AE634" s="227"/>
      <c r="AF634" s="227"/>
      <c r="AG634" s="227"/>
      <c r="AH634" s="227"/>
      <c r="AI634" s="227"/>
      <c r="AJ634" s="227"/>
      <c r="AK634" s="227"/>
      <c r="AL634" s="227"/>
      <c r="AM634" s="227"/>
      <c r="AN634" s="227"/>
      <c r="AO634" s="227"/>
      <c r="AP634" s="227"/>
      <c r="AQ634" s="227"/>
      <c r="AR634" s="227"/>
      <c r="AS634" s="227"/>
      <c r="AT634" s="227"/>
      <c r="AU634" s="227"/>
      <c r="AV634" s="227"/>
      <c r="AW634" s="227"/>
      <c r="AX634" s="227"/>
      <c r="AY634" s="227"/>
      <c r="AZ634" s="227"/>
      <c r="BA634" s="227"/>
      <c r="BB634" s="227"/>
      <c r="BC634" s="227"/>
      <c r="BD634" s="227"/>
      <c r="BE634" s="227"/>
      <c r="BF634" s="227"/>
      <c r="BG634" s="227"/>
      <c r="BH634" s="227"/>
      <c r="BI634" s="227"/>
    </row>
    <row r="63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  <c r="AB635" s="227"/>
      <c r="AC635" s="227"/>
      <c r="AD635" s="227"/>
      <c r="AE635" s="227"/>
      <c r="AF635" s="227"/>
      <c r="AG635" s="227"/>
      <c r="AH635" s="227"/>
      <c r="AI635" s="227"/>
      <c r="AJ635" s="227"/>
      <c r="AK635" s="227"/>
      <c r="AL635" s="227"/>
      <c r="AM635" s="227"/>
      <c r="AN635" s="227"/>
      <c r="AO635" s="227"/>
      <c r="AP635" s="227"/>
      <c r="AQ635" s="227"/>
      <c r="AR635" s="227"/>
      <c r="AS635" s="227"/>
      <c r="AT635" s="227"/>
      <c r="AU635" s="227"/>
      <c r="AV635" s="227"/>
      <c r="AW635" s="227"/>
      <c r="AX635" s="227"/>
      <c r="AY635" s="227"/>
      <c r="AZ635" s="227"/>
      <c r="BA635" s="227"/>
      <c r="BB635" s="227"/>
      <c r="BC635" s="227"/>
      <c r="BD635" s="227"/>
      <c r="BE635" s="227"/>
      <c r="BF635" s="227"/>
      <c r="BG635" s="227"/>
      <c r="BH635" s="227"/>
      <c r="BI635" s="227"/>
    </row>
    <row r="63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  <c r="AB636" s="227"/>
      <c r="AC636" s="227"/>
      <c r="AD636" s="227"/>
      <c r="AE636" s="227"/>
      <c r="AF636" s="227"/>
      <c r="AG636" s="227"/>
      <c r="AH636" s="227"/>
      <c r="AI636" s="227"/>
      <c r="AJ636" s="227"/>
      <c r="AK636" s="227"/>
      <c r="AL636" s="227"/>
      <c r="AM636" s="227"/>
      <c r="AN636" s="227"/>
      <c r="AO636" s="227"/>
      <c r="AP636" s="227"/>
      <c r="AQ636" s="227"/>
      <c r="AR636" s="227"/>
      <c r="AS636" s="227"/>
      <c r="AT636" s="227"/>
      <c r="AU636" s="227"/>
      <c r="AV636" s="227"/>
      <c r="AW636" s="227"/>
      <c r="AX636" s="227"/>
      <c r="AY636" s="227"/>
      <c r="AZ636" s="227"/>
      <c r="BA636" s="227"/>
      <c r="BB636" s="227"/>
      <c r="BC636" s="227"/>
      <c r="BD636" s="227"/>
      <c r="BE636" s="227"/>
      <c r="BF636" s="227"/>
      <c r="BG636" s="227"/>
      <c r="BH636" s="227"/>
      <c r="BI636" s="227"/>
    </row>
    <row r="637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  <c r="AB637" s="227"/>
      <c r="AC637" s="227"/>
      <c r="AD637" s="227"/>
      <c r="AE637" s="227"/>
      <c r="AF637" s="227"/>
      <c r="AG637" s="227"/>
      <c r="AH637" s="227"/>
      <c r="AI637" s="227"/>
      <c r="AJ637" s="227"/>
      <c r="AK637" s="227"/>
      <c r="AL637" s="227"/>
      <c r="AM637" s="227"/>
      <c r="AN637" s="227"/>
      <c r="AO637" s="227"/>
      <c r="AP637" s="227"/>
      <c r="AQ637" s="227"/>
      <c r="AR637" s="227"/>
      <c r="AS637" s="227"/>
      <c r="AT637" s="227"/>
      <c r="AU637" s="227"/>
      <c r="AV637" s="227"/>
      <c r="AW637" s="227"/>
      <c r="AX637" s="227"/>
      <c r="AY637" s="227"/>
      <c r="AZ637" s="227"/>
      <c r="BA637" s="227"/>
      <c r="BB637" s="227"/>
      <c r="BC637" s="227"/>
      <c r="BD637" s="227"/>
      <c r="BE637" s="227"/>
      <c r="BF637" s="227"/>
      <c r="BG637" s="227"/>
      <c r="BH637" s="227"/>
      <c r="BI637" s="227"/>
    </row>
    <row r="638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  <c r="AB638" s="227"/>
      <c r="AC638" s="227"/>
      <c r="AD638" s="227"/>
      <c r="AE638" s="227"/>
      <c r="AF638" s="227"/>
      <c r="AG638" s="227"/>
      <c r="AH638" s="227"/>
      <c r="AI638" s="227"/>
      <c r="AJ638" s="227"/>
      <c r="AK638" s="227"/>
      <c r="AL638" s="227"/>
      <c r="AM638" s="227"/>
      <c r="AN638" s="227"/>
      <c r="AO638" s="227"/>
      <c r="AP638" s="227"/>
      <c r="AQ638" s="227"/>
      <c r="AR638" s="227"/>
      <c r="AS638" s="227"/>
      <c r="AT638" s="227"/>
      <c r="AU638" s="227"/>
      <c r="AV638" s="227"/>
      <c r="AW638" s="227"/>
      <c r="AX638" s="227"/>
      <c r="AY638" s="227"/>
      <c r="AZ638" s="227"/>
      <c r="BA638" s="227"/>
      <c r="BB638" s="227"/>
      <c r="BC638" s="227"/>
      <c r="BD638" s="227"/>
      <c r="BE638" s="227"/>
      <c r="BF638" s="227"/>
      <c r="BG638" s="227"/>
      <c r="BH638" s="227"/>
      <c r="BI638" s="227"/>
    </row>
    <row r="639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7"/>
      <c r="AG639" s="227"/>
      <c r="AH639" s="227"/>
      <c r="AI639" s="227"/>
      <c r="AJ639" s="227"/>
      <c r="AK639" s="227"/>
      <c r="AL639" s="227"/>
      <c r="AM639" s="227"/>
      <c r="AN639" s="227"/>
      <c r="AO639" s="227"/>
      <c r="AP639" s="227"/>
      <c r="AQ639" s="227"/>
      <c r="AR639" s="227"/>
      <c r="AS639" s="227"/>
      <c r="AT639" s="227"/>
      <c r="AU639" s="227"/>
      <c r="AV639" s="227"/>
      <c r="AW639" s="227"/>
      <c r="AX639" s="227"/>
      <c r="AY639" s="227"/>
      <c r="AZ639" s="227"/>
      <c r="BA639" s="227"/>
      <c r="BB639" s="227"/>
      <c r="BC639" s="227"/>
      <c r="BD639" s="227"/>
      <c r="BE639" s="227"/>
      <c r="BF639" s="227"/>
      <c r="BG639" s="227"/>
      <c r="BH639" s="227"/>
      <c r="BI639" s="227"/>
    </row>
    <row r="640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27"/>
      <c r="AL640" s="227"/>
      <c r="AM640" s="227"/>
      <c r="AN640" s="227"/>
      <c r="AO640" s="227"/>
      <c r="AP640" s="227"/>
      <c r="AQ640" s="227"/>
      <c r="AR640" s="227"/>
      <c r="AS640" s="227"/>
      <c r="AT640" s="227"/>
      <c r="AU640" s="227"/>
      <c r="AV640" s="227"/>
      <c r="AW640" s="227"/>
      <c r="AX640" s="227"/>
      <c r="AY640" s="227"/>
      <c r="AZ640" s="227"/>
      <c r="BA640" s="227"/>
      <c r="BB640" s="227"/>
      <c r="BC640" s="227"/>
      <c r="BD640" s="227"/>
      <c r="BE640" s="227"/>
      <c r="BF640" s="227"/>
      <c r="BG640" s="227"/>
      <c r="BH640" s="227"/>
      <c r="BI640" s="227"/>
    </row>
    <row r="64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  <c r="AB641" s="227"/>
      <c r="AC641" s="227"/>
      <c r="AD641" s="227"/>
      <c r="AE641" s="227"/>
      <c r="AF641" s="227"/>
      <c r="AG641" s="227"/>
      <c r="AH641" s="227"/>
      <c r="AI641" s="227"/>
      <c r="AJ641" s="227"/>
      <c r="AK641" s="227"/>
      <c r="AL641" s="227"/>
      <c r="AM641" s="227"/>
      <c r="AN641" s="227"/>
      <c r="AO641" s="227"/>
      <c r="AP641" s="227"/>
      <c r="AQ641" s="227"/>
      <c r="AR641" s="227"/>
      <c r="AS641" s="227"/>
      <c r="AT641" s="227"/>
      <c r="AU641" s="227"/>
      <c r="AV641" s="227"/>
      <c r="AW641" s="227"/>
      <c r="AX641" s="227"/>
      <c r="AY641" s="227"/>
      <c r="AZ641" s="227"/>
      <c r="BA641" s="227"/>
      <c r="BB641" s="227"/>
      <c r="BC641" s="227"/>
      <c r="BD641" s="227"/>
      <c r="BE641" s="227"/>
      <c r="BF641" s="227"/>
      <c r="BG641" s="227"/>
      <c r="BH641" s="227"/>
      <c r="BI641" s="227"/>
    </row>
    <row r="642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  <c r="AB642" s="227"/>
      <c r="AC642" s="227"/>
      <c r="AD642" s="227"/>
      <c r="AE642" s="227"/>
      <c r="AF642" s="227"/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27"/>
      <c r="BC642" s="227"/>
      <c r="BD642" s="227"/>
      <c r="BE642" s="227"/>
      <c r="BF642" s="227"/>
      <c r="BG642" s="227"/>
      <c r="BH642" s="227"/>
      <c r="BI642" s="227"/>
    </row>
    <row r="643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  <c r="AB643" s="227"/>
      <c r="AC643" s="227"/>
      <c r="AD643" s="227"/>
      <c r="AE643" s="227"/>
      <c r="AF643" s="227"/>
      <c r="AG643" s="227"/>
      <c r="AH643" s="227"/>
      <c r="AI643" s="227"/>
      <c r="AJ643" s="227"/>
      <c r="AK643" s="227"/>
      <c r="AL643" s="227"/>
      <c r="AM643" s="227"/>
      <c r="AN643" s="227"/>
      <c r="AO643" s="227"/>
      <c r="AP643" s="227"/>
      <c r="AQ643" s="227"/>
      <c r="AR643" s="227"/>
      <c r="AS643" s="227"/>
      <c r="AT643" s="227"/>
      <c r="AU643" s="227"/>
      <c r="AV643" s="227"/>
      <c r="AW643" s="227"/>
      <c r="AX643" s="227"/>
      <c r="AY643" s="227"/>
      <c r="AZ643" s="227"/>
      <c r="BA643" s="227"/>
      <c r="BB643" s="227"/>
      <c r="BC643" s="227"/>
      <c r="BD643" s="227"/>
      <c r="BE643" s="227"/>
      <c r="BF643" s="227"/>
      <c r="BG643" s="227"/>
      <c r="BH643" s="227"/>
      <c r="BI643" s="227"/>
    </row>
    <row r="644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  <c r="AB644" s="227"/>
      <c r="AC644" s="227"/>
      <c r="AD644" s="227"/>
      <c r="AE644" s="227"/>
      <c r="AF644" s="227"/>
      <c r="AG644" s="227"/>
      <c r="AH644" s="227"/>
      <c r="AI644" s="227"/>
      <c r="AJ644" s="227"/>
      <c r="AK644" s="227"/>
      <c r="AL644" s="227"/>
      <c r="AM644" s="227"/>
      <c r="AN644" s="227"/>
      <c r="AO644" s="227"/>
      <c r="AP644" s="227"/>
      <c r="AQ644" s="227"/>
      <c r="AR644" s="227"/>
      <c r="AS644" s="227"/>
      <c r="AT644" s="227"/>
      <c r="AU644" s="227"/>
      <c r="AV644" s="227"/>
      <c r="AW644" s="227"/>
      <c r="AX644" s="227"/>
      <c r="AY644" s="227"/>
      <c r="AZ644" s="227"/>
      <c r="BA644" s="227"/>
      <c r="BB644" s="227"/>
      <c r="BC644" s="227"/>
      <c r="BD644" s="227"/>
      <c r="BE644" s="227"/>
      <c r="BF644" s="227"/>
      <c r="BG644" s="227"/>
      <c r="BH644" s="227"/>
      <c r="BI644" s="227"/>
    </row>
    <row r="645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  <c r="AB645" s="227"/>
      <c r="AC645" s="227"/>
      <c r="AD645" s="227"/>
      <c r="AE645" s="227"/>
      <c r="AF645" s="227"/>
      <c r="AG645" s="227"/>
      <c r="AH645" s="227"/>
      <c r="AI645" s="227"/>
      <c r="AJ645" s="227"/>
      <c r="AK645" s="227"/>
      <c r="AL645" s="227"/>
      <c r="AM645" s="227"/>
      <c r="AN645" s="227"/>
      <c r="AO645" s="227"/>
      <c r="AP645" s="227"/>
      <c r="AQ645" s="227"/>
      <c r="AR645" s="227"/>
      <c r="AS645" s="227"/>
      <c r="AT645" s="227"/>
      <c r="AU645" s="227"/>
      <c r="AV645" s="227"/>
      <c r="AW645" s="227"/>
      <c r="AX645" s="227"/>
      <c r="AY645" s="227"/>
      <c r="AZ645" s="227"/>
      <c r="BA645" s="227"/>
      <c r="BB645" s="227"/>
      <c r="BC645" s="227"/>
      <c r="BD645" s="227"/>
      <c r="BE645" s="227"/>
      <c r="BF645" s="227"/>
      <c r="BG645" s="227"/>
      <c r="BH645" s="227"/>
      <c r="BI645" s="227"/>
    </row>
    <row r="64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  <c r="AB646" s="227"/>
      <c r="AC646" s="227"/>
      <c r="AD646" s="227"/>
      <c r="AE646" s="227"/>
      <c r="AF646" s="227"/>
      <c r="AG646" s="227"/>
      <c r="AH646" s="227"/>
      <c r="AI646" s="227"/>
      <c r="AJ646" s="227"/>
      <c r="AK646" s="227"/>
      <c r="AL646" s="227"/>
      <c r="AM646" s="227"/>
      <c r="AN646" s="227"/>
      <c r="AO646" s="227"/>
      <c r="AP646" s="227"/>
      <c r="AQ646" s="227"/>
      <c r="AR646" s="227"/>
      <c r="AS646" s="227"/>
      <c r="AT646" s="227"/>
      <c r="AU646" s="227"/>
      <c r="AV646" s="227"/>
      <c r="AW646" s="227"/>
      <c r="AX646" s="227"/>
      <c r="AY646" s="227"/>
      <c r="AZ646" s="227"/>
      <c r="BA646" s="227"/>
      <c r="BB646" s="227"/>
      <c r="BC646" s="227"/>
      <c r="BD646" s="227"/>
      <c r="BE646" s="227"/>
      <c r="BF646" s="227"/>
      <c r="BG646" s="227"/>
      <c r="BH646" s="227"/>
      <c r="BI646" s="227"/>
    </row>
    <row r="647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7"/>
      <c r="AR647" s="227"/>
      <c r="AS647" s="227"/>
      <c r="AT647" s="227"/>
      <c r="AU647" s="227"/>
      <c r="AV647" s="227"/>
      <c r="AW647" s="227"/>
      <c r="AX647" s="227"/>
      <c r="AY647" s="227"/>
      <c r="AZ647" s="227"/>
      <c r="BA647" s="227"/>
      <c r="BB647" s="227"/>
      <c r="BC647" s="227"/>
      <c r="BD647" s="227"/>
      <c r="BE647" s="227"/>
      <c r="BF647" s="227"/>
      <c r="BG647" s="227"/>
      <c r="BH647" s="227"/>
      <c r="BI647" s="227"/>
    </row>
    <row r="648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  <c r="AB648" s="227"/>
      <c r="AC648" s="227"/>
      <c r="AD648" s="227"/>
      <c r="AE648" s="227"/>
      <c r="AF648" s="227"/>
      <c r="AG648" s="227"/>
      <c r="AH648" s="227"/>
      <c r="AI648" s="227"/>
      <c r="AJ648" s="227"/>
      <c r="AK648" s="227"/>
      <c r="AL648" s="227"/>
      <c r="AM648" s="227"/>
      <c r="AN648" s="227"/>
      <c r="AO648" s="227"/>
      <c r="AP648" s="227"/>
      <c r="AQ648" s="227"/>
      <c r="AR648" s="227"/>
      <c r="AS648" s="227"/>
      <c r="AT648" s="227"/>
      <c r="AU648" s="227"/>
      <c r="AV648" s="227"/>
      <c r="AW648" s="227"/>
      <c r="AX648" s="227"/>
      <c r="AY648" s="227"/>
      <c r="AZ648" s="227"/>
      <c r="BA648" s="227"/>
      <c r="BB648" s="227"/>
      <c r="BC648" s="227"/>
      <c r="BD648" s="227"/>
      <c r="BE648" s="227"/>
      <c r="BF648" s="227"/>
      <c r="BG648" s="227"/>
      <c r="BH648" s="227"/>
      <c r="BI648" s="227"/>
    </row>
    <row r="649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7"/>
      <c r="AR649" s="227"/>
      <c r="AS649" s="227"/>
      <c r="AT649" s="227"/>
      <c r="AU649" s="227"/>
      <c r="AV649" s="227"/>
      <c r="AW649" s="227"/>
      <c r="AX649" s="227"/>
      <c r="AY649" s="227"/>
      <c r="AZ649" s="227"/>
      <c r="BA649" s="227"/>
      <c r="BB649" s="227"/>
      <c r="BC649" s="227"/>
      <c r="BD649" s="227"/>
      <c r="BE649" s="227"/>
      <c r="BF649" s="227"/>
      <c r="BG649" s="227"/>
      <c r="BH649" s="227"/>
      <c r="BI649" s="227"/>
    </row>
    <row r="650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  <c r="AB650" s="227"/>
      <c r="AC650" s="227"/>
      <c r="AD650" s="227"/>
      <c r="AE650" s="227"/>
      <c r="AF650" s="227"/>
      <c r="AG650" s="227"/>
      <c r="AH650" s="227"/>
      <c r="AI650" s="227"/>
      <c r="AJ650" s="227"/>
      <c r="AK650" s="227"/>
      <c r="AL650" s="227"/>
      <c r="AM650" s="227"/>
      <c r="AN650" s="227"/>
      <c r="AO650" s="227"/>
      <c r="AP650" s="227"/>
      <c r="AQ650" s="227"/>
      <c r="AR650" s="227"/>
      <c r="AS650" s="227"/>
      <c r="AT650" s="227"/>
      <c r="AU650" s="227"/>
      <c r="AV650" s="227"/>
      <c r="AW650" s="227"/>
      <c r="AX650" s="227"/>
      <c r="AY650" s="227"/>
      <c r="AZ650" s="227"/>
      <c r="BA650" s="227"/>
      <c r="BB650" s="227"/>
      <c r="BC650" s="227"/>
      <c r="BD650" s="227"/>
      <c r="BE650" s="227"/>
      <c r="BF650" s="227"/>
      <c r="BG650" s="227"/>
      <c r="BH650" s="227"/>
      <c r="BI650" s="227"/>
    </row>
    <row r="65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  <c r="AB651" s="227"/>
      <c r="AC651" s="227"/>
      <c r="AD651" s="227"/>
      <c r="AE651" s="227"/>
      <c r="AF651" s="227"/>
      <c r="AG651" s="227"/>
      <c r="AH651" s="227"/>
      <c r="AI651" s="227"/>
      <c r="AJ651" s="227"/>
      <c r="AK651" s="227"/>
      <c r="AL651" s="227"/>
      <c r="AM651" s="227"/>
      <c r="AN651" s="227"/>
      <c r="AO651" s="227"/>
      <c r="AP651" s="227"/>
      <c r="AQ651" s="227"/>
      <c r="AR651" s="227"/>
      <c r="AS651" s="227"/>
      <c r="AT651" s="227"/>
      <c r="AU651" s="227"/>
      <c r="AV651" s="227"/>
      <c r="AW651" s="227"/>
      <c r="AX651" s="227"/>
      <c r="AY651" s="227"/>
      <c r="AZ651" s="227"/>
      <c r="BA651" s="227"/>
      <c r="BB651" s="227"/>
      <c r="BC651" s="227"/>
      <c r="BD651" s="227"/>
      <c r="BE651" s="227"/>
      <c r="BF651" s="227"/>
      <c r="BG651" s="227"/>
      <c r="BH651" s="227"/>
      <c r="BI651" s="227"/>
    </row>
    <row r="652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27"/>
      <c r="AL652" s="227"/>
      <c r="AM652" s="227"/>
      <c r="AN652" s="227"/>
      <c r="AO652" s="227"/>
      <c r="AP652" s="227"/>
      <c r="AQ652" s="227"/>
      <c r="AR652" s="227"/>
      <c r="AS652" s="227"/>
      <c r="AT652" s="227"/>
      <c r="AU652" s="227"/>
      <c r="AV652" s="227"/>
      <c r="AW652" s="227"/>
      <c r="AX652" s="227"/>
      <c r="AY652" s="227"/>
      <c r="AZ652" s="227"/>
      <c r="BA652" s="227"/>
      <c r="BB652" s="227"/>
      <c r="BC652" s="227"/>
      <c r="BD652" s="227"/>
      <c r="BE652" s="227"/>
      <c r="BF652" s="227"/>
      <c r="BG652" s="227"/>
      <c r="BH652" s="227"/>
      <c r="BI652" s="227"/>
    </row>
    <row r="653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  <c r="AB653" s="227"/>
      <c r="AC653" s="227"/>
      <c r="AD653" s="227"/>
      <c r="AE653" s="227"/>
      <c r="AF653" s="227"/>
      <c r="AG653" s="227"/>
      <c r="AH653" s="227"/>
      <c r="AI653" s="227"/>
      <c r="AJ653" s="227"/>
      <c r="AK653" s="227"/>
      <c r="AL653" s="227"/>
      <c r="AM653" s="227"/>
      <c r="AN653" s="227"/>
      <c r="AO653" s="227"/>
      <c r="AP653" s="227"/>
      <c r="AQ653" s="227"/>
      <c r="AR653" s="227"/>
      <c r="AS653" s="227"/>
      <c r="AT653" s="227"/>
      <c r="AU653" s="227"/>
      <c r="AV653" s="227"/>
      <c r="AW653" s="227"/>
      <c r="AX653" s="227"/>
      <c r="AY653" s="227"/>
      <c r="AZ653" s="227"/>
      <c r="BA653" s="227"/>
      <c r="BB653" s="227"/>
      <c r="BC653" s="227"/>
      <c r="BD653" s="227"/>
      <c r="BE653" s="227"/>
      <c r="BF653" s="227"/>
      <c r="BG653" s="227"/>
      <c r="BH653" s="227"/>
      <c r="BI653" s="227"/>
    </row>
    <row r="654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  <c r="AB654" s="227"/>
      <c r="AC654" s="227"/>
      <c r="AD654" s="227"/>
      <c r="AE654" s="227"/>
      <c r="AF654" s="227"/>
      <c r="AG654" s="227"/>
      <c r="AH654" s="227"/>
      <c r="AI654" s="227"/>
      <c r="AJ654" s="227"/>
      <c r="AK654" s="227"/>
      <c r="AL654" s="227"/>
      <c r="AM654" s="227"/>
      <c r="AN654" s="227"/>
      <c r="AO654" s="227"/>
      <c r="AP654" s="227"/>
      <c r="AQ654" s="227"/>
      <c r="AR654" s="227"/>
      <c r="AS654" s="227"/>
      <c r="AT654" s="227"/>
      <c r="AU654" s="227"/>
      <c r="AV654" s="227"/>
      <c r="AW654" s="227"/>
      <c r="AX654" s="227"/>
      <c r="AY654" s="227"/>
      <c r="AZ654" s="227"/>
      <c r="BA654" s="227"/>
      <c r="BB654" s="227"/>
      <c r="BC654" s="227"/>
      <c r="BD654" s="227"/>
      <c r="BE654" s="227"/>
      <c r="BF654" s="227"/>
      <c r="BG654" s="227"/>
      <c r="BH654" s="227"/>
      <c r="BI654" s="227"/>
    </row>
    <row r="655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7"/>
      <c r="AR655" s="227"/>
      <c r="AS655" s="227"/>
      <c r="AT655" s="227"/>
      <c r="AU655" s="227"/>
      <c r="AV655" s="227"/>
      <c r="AW655" s="227"/>
      <c r="AX655" s="227"/>
      <c r="AY655" s="227"/>
      <c r="AZ655" s="227"/>
      <c r="BA655" s="227"/>
      <c r="BB655" s="227"/>
      <c r="BC655" s="227"/>
      <c r="BD655" s="227"/>
      <c r="BE655" s="227"/>
      <c r="BF655" s="227"/>
      <c r="BG655" s="227"/>
      <c r="BH655" s="227"/>
      <c r="BI655" s="227"/>
    </row>
    <row r="65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  <c r="AB656" s="227"/>
      <c r="AC656" s="227"/>
      <c r="AD656" s="227"/>
      <c r="AE656" s="227"/>
      <c r="AF656" s="227"/>
      <c r="AG656" s="227"/>
      <c r="AH656" s="227"/>
      <c r="AI656" s="227"/>
      <c r="AJ656" s="227"/>
      <c r="AK656" s="227"/>
      <c r="AL656" s="227"/>
      <c r="AM656" s="227"/>
      <c r="AN656" s="227"/>
      <c r="AO656" s="227"/>
      <c r="AP656" s="227"/>
      <c r="AQ656" s="227"/>
      <c r="AR656" s="227"/>
      <c r="AS656" s="227"/>
      <c r="AT656" s="227"/>
      <c r="AU656" s="227"/>
      <c r="AV656" s="227"/>
      <c r="AW656" s="227"/>
      <c r="AX656" s="227"/>
      <c r="AY656" s="227"/>
      <c r="AZ656" s="227"/>
      <c r="BA656" s="227"/>
      <c r="BB656" s="227"/>
      <c r="BC656" s="227"/>
      <c r="BD656" s="227"/>
      <c r="BE656" s="227"/>
      <c r="BF656" s="227"/>
      <c r="BG656" s="227"/>
      <c r="BH656" s="227"/>
      <c r="BI656" s="227"/>
    </row>
    <row r="657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  <c r="AB657" s="227"/>
      <c r="AC657" s="227"/>
      <c r="AD657" s="227"/>
      <c r="AE657" s="227"/>
      <c r="AF657" s="227"/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27"/>
      <c r="BC657" s="227"/>
      <c r="BD657" s="227"/>
      <c r="BE657" s="227"/>
      <c r="BF657" s="227"/>
      <c r="BG657" s="227"/>
      <c r="BH657" s="227"/>
      <c r="BI657" s="227"/>
    </row>
    <row r="658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  <c r="AB658" s="227"/>
      <c r="AC658" s="227"/>
      <c r="AD658" s="227"/>
      <c r="AE658" s="227"/>
      <c r="AF658" s="227"/>
      <c r="AG658" s="227"/>
      <c r="AH658" s="227"/>
      <c r="AI658" s="227"/>
      <c r="AJ658" s="227"/>
      <c r="AK658" s="227"/>
      <c r="AL658" s="227"/>
      <c r="AM658" s="227"/>
      <c r="AN658" s="227"/>
      <c r="AO658" s="227"/>
      <c r="AP658" s="227"/>
      <c r="AQ658" s="227"/>
      <c r="AR658" s="227"/>
      <c r="AS658" s="227"/>
      <c r="AT658" s="227"/>
      <c r="AU658" s="227"/>
      <c r="AV658" s="227"/>
      <c r="AW658" s="227"/>
      <c r="AX658" s="227"/>
      <c r="AY658" s="227"/>
      <c r="AZ658" s="227"/>
      <c r="BA658" s="227"/>
      <c r="BB658" s="227"/>
      <c r="BC658" s="227"/>
      <c r="BD658" s="227"/>
      <c r="BE658" s="227"/>
      <c r="BF658" s="227"/>
      <c r="BG658" s="227"/>
      <c r="BH658" s="227"/>
      <c r="BI658" s="227"/>
    </row>
    <row r="659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  <c r="AB659" s="227"/>
      <c r="AC659" s="227"/>
      <c r="AD659" s="227"/>
      <c r="AE659" s="227"/>
      <c r="AF659" s="227"/>
      <c r="AG659" s="227"/>
      <c r="AH659" s="227"/>
      <c r="AI659" s="227"/>
      <c r="AJ659" s="227"/>
      <c r="AK659" s="227"/>
      <c r="AL659" s="227"/>
      <c r="AM659" s="227"/>
      <c r="AN659" s="227"/>
      <c r="AO659" s="227"/>
      <c r="AP659" s="227"/>
      <c r="AQ659" s="227"/>
      <c r="AR659" s="227"/>
      <c r="AS659" s="227"/>
      <c r="AT659" s="227"/>
      <c r="AU659" s="227"/>
      <c r="AV659" s="227"/>
      <c r="AW659" s="227"/>
      <c r="AX659" s="227"/>
      <c r="AY659" s="227"/>
      <c r="AZ659" s="227"/>
      <c r="BA659" s="227"/>
      <c r="BB659" s="227"/>
      <c r="BC659" s="227"/>
      <c r="BD659" s="227"/>
      <c r="BE659" s="227"/>
      <c r="BF659" s="227"/>
      <c r="BG659" s="227"/>
      <c r="BH659" s="227"/>
      <c r="BI659" s="227"/>
    </row>
    <row r="660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  <c r="AB660" s="227"/>
      <c r="AC660" s="227"/>
      <c r="AD660" s="227"/>
      <c r="AE660" s="227"/>
      <c r="AF660" s="227"/>
      <c r="AG660" s="227"/>
      <c r="AH660" s="227"/>
      <c r="AI660" s="227"/>
      <c r="AJ660" s="227"/>
      <c r="AK660" s="227"/>
      <c r="AL660" s="227"/>
      <c r="AM660" s="227"/>
      <c r="AN660" s="227"/>
      <c r="AO660" s="227"/>
      <c r="AP660" s="227"/>
      <c r="AQ660" s="227"/>
      <c r="AR660" s="227"/>
      <c r="AS660" s="227"/>
      <c r="AT660" s="227"/>
      <c r="AU660" s="227"/>
      <c r="AV660" s="227"/>
      <c r="AW660" s="227"/>
      <c r="AX660" s="227"/>
      <c r="AY660" s="227"/>
      <c r="AZ660" s="227"/>
      <c r="BA660" s="227"/>
      <c r="BB660" s="227"/>
      <c r="BC660" s="227"/>
      <c r="BD660" s="227"/>
      <c r="BE660" s="227"/>
      <c r="BF660" s="227"/>
      <c r="BG660" s="227"/>
      <c r="BH660" s="227"/>
      <c r="BI660" s="227"/>
    </row>
    <row r="66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  <c r="AB661" s="227"/>
      <c r="AC661" s="227"/>
      <c r="AD661" s="227"/>
      <c r="AE661" s="227"/>
      <c r="AF661" s="227"/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27"/>
      <c r="BC661" s="227"/>
      <c r="BD661" s="227"/>
      <c r="BE661" s="227"/>
      <c r="BF661" s="227"/>
      <c r="BG661" s="227"/>
      <c r="BH661" s="227"/>
      <c r="BI661" s="227"/>
    </row>
    <row r="662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  <c r="AB662" s="227"/>
      <c r="AC662" s="227"/>
      <c r="AD662" s="227"/>
      <c r="AE662" s="227"/>
      <c r="AF662" s="227"/>
      <c r="AG662" s="227"/>
      <c r="AH662" s="227"/>
      <c r="AI662" s="227"/>
      <c r="AJ662" s="227"/>
      <c r="AK662" s="227"/>
      <c r="AL662" s="227"/>
      <c r="AM662" s="227"/>
      <c r="AN662" s="227"/>
      <c r="AO662" s="227"/>
      <c r="AP662" s="227"/>
      <c r="AQ662" s="227"/>
      <c r="AR662" s="227"/>
      <c r="AS662" s="227"/>
      <c r="AT662" s="227"/>
      <c r="AU662" s="227"/>
      <c r="AV662" s="227"/>
      <c r="AW662" s="227"/>
      <c r="AX662" s="227"/>
      <c r="AY662" s="227"/>
      <c r="AZ662" s="227"/>
      <c r="BA662" s="227"/>
      <c r="BB662" s="227"/>
      <c r="BC662" s="227"/>
      <c r="BD662" s="227"/>
      <c r="BE662" s="227"/>
      <c r="BF662" s="227"/>
      <c r="BG662" s="227"/>
      <c r="BH662" s="227"/>
      <c r="BI662" s="227"/>
    </row>
    <row r="663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7"/>
      <c r="AR663" s="227"/>
      <c r="AS663" s="227"/>
      <c r="AT663" s="227"/>
      <c r="AU663" s="227"/>
      <c r="AV663" s="227"/>
      <c r="AW663" s="227"/>
      <c r="AX663" s="227"/>
      <c r="AY663" s="227"/>
      <c r="AZ663" s="227"/>
      <c r="BA663" s="227"/>
      <c r="BB663" s="227"/>
      <c r="BC663" s="227"/>
      <c r="BD663" s="227"/>
      <c r="BE663" s="227"/>
      <c r="BF663" s="227"/>
      <c r="BG663" s="227"/>
      <c r="BH663" s="227"/>
      <c r="BI663" s="227"/>
    </row>
    <row r="664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27"/>
      <c r="AL664" s="227"/>
      <c r="AM664" s="227"/>
      <c r="AN664" s="227"/>
      <c r="AO664" s="227"/>
      <c r="AP664" s="227"/>
      <c r="AQ664" s="227"/>
      <c r="AR664" s="227"/>
      <c r="AS664" s="227"/>
      <c r="AT664" s="227"/>
      <c r="AU664" s="227"/>
      <c r="AV664" s="227"/>
      <c r="AW664" s="227"/>
      <c r="AX664" s="227"/>
      <c r="AY664" s="227"/>
      <c r="AZ664" s="227"/>
      <c r="BA664" s="227"/>
      <c r="BB664" s="227"/>
      <c r="BC664" s="227"/>
      <c r="BD664" s="227"/>
      <c r="BE664" s="227"/>
      <c r="BF664" s="227"/>
      <c r="BG664" s="227"/>
      <c r="BH664" s="227"/>
      <c r="BI664" s="227"/>
    </row>
    <row r="665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27"/>
      <c r="BC665" s="227"/>
      <c r="BD665" s="227"/>
      <c r="BE665" s="227"/>
      <c r="BF665" s="227"/>
      <c r="BG665" s="227"/>
      <c r="BH665" s="227"/>
      <c r="BI665" s="227"/>
    </row>
    <row r="66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  <c r="AB666" s="227"/>
      <c r="AC666" s="227"/>
      <c r="AD666" s="227"/>
      <c r="AE666" s="227"/>
      <c r="AF666" s="227"/>
      <c r="AG666" s="227"/>
      <c r="AH666" s="227"/>
      <c r="AI666" s="227"/>
      <c r="AJ666" s="227"/>
      <c r="AK666" s="227"/>
      <c r="AL666" s="227"/>
      <c r="AM666" s="227"/>
      <c r="AN666" s="227"/>
      <c r="AO666" s="227"/>
      <c r="AP666" s="227"/>
      <c r="AQ666" s="227"/>
      <c r="AR666" s="227"/>
      <c r="AS666" s="227"/>
      <c r="AT666" s="227"/>
      <c r="AU666" s="227"/>
      <c r="AV666" s="227"/>
      <c r="AW666" s="227"/>
      <c r="AX666" s="227"/>
      <c r="AY666" s="227"/>
      <c r="AZ666" s="227"/>
      <c r="BA666" s="227"/>
      <c r="BB666" s="227"/>
      <c r="BC666" s="227"/>
      <c r="BD666" s="227"/>
      <c r="BE666" s="227"/>
      <c r="BF666" s="227"/>
      <c r="BG666" s="227"/>
      <c r="BH666" s="227"/>
      <c r="BI666" s="227"/>
    </row>
    <row r="667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  <c r="AB667" s="227"/>
      <c r="AC667" s="227"/>
      <c r="AD667" s="227"/>
      <c r="AE667" s="227"/>
      <c r="AF667" s="227"/>
      <c r="AG667" s="227"/>
      <c r="AH667" s="227"/>
      <c r="AI667" s="227"/>
      <c r="AJ667" s="227"/>
      <c r="AK667" s="227"/>
      <c r="AL667" s="227"/>
      <c r="AM667" s="227"/>
      <c r="AN667" s="227"/>
      <c r="AO667" s="227"/>
      <c r="AP667" s="227"/>
      <c r="AQ667" s="227"/>
      <c r="AR667" s="227"/>
      <c r="AS667" s="227"/>
      <c r="AT667" s="227"/>
      <c r="AU667" s="227"/>
      <c r="AV667" s="227"/>
      <c r="AW667" s="227"/>
      <c r="AX667" s="227"/>
      <c r="AY667" s="227"/>
      <c r="AZ667" s="227"/>
      <c r="BA667" s="227"/>
      <c r="BB667" s="227"/>
      <c r="BC667" s="227"/>
      <c r="BD667" s="227"/>
      <c r="BE667" s="227"/>
      <c r="BF667" s="227"/>
      <c r="BG667" s="227"/>
      <c r="BH667" s="227"/>
      <c r="BI667" s="227"/>
    </row>
    <row r="668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  <c r="AB668" s="227"/>
      <c r="AC668" s="227"/>
      <c r="AD668" s="227"/>
      <c r="AE668" s="227"/>
      <c r="AF668" s="227"/>
      <c r="AG668" s="227"/>
      <c r="AH668" s="227"/>
      <c r="AI668" s="227"/>
      <c r="AJ668" s="227"/>
      <c r="AK668" s="227"/>
      <c r="AL668" s="227"/>
      <c r="AM668" s="227"/>
      <c r="AN668" s="227"/>
      <c r="AO668" s="227"/>
      <c r="AP668" s="227"/>
      <c r="AQ668" s="227"/>
      <c r="AR668" s="227"/>
      <c r="AS668" s="227"/>
      <c r="AT668" s="227"/>
      <c r="AU668" s="227"/>
      <c r="AV668" s="227"/>
      <c r="AW668" s="227"/>
      <c r="AX668" s="227"/>
      <c r="AY668" s="227"/>
      <c r="AZ668" s="227"/>
      <c r="BA668" s="227"/>
      <c r="BB668" s="227"/>
      <c r="BC668" s="227"/>
      <c r="BD668" s="227"/>
      <c r="BE668" s="227"/>
      <c r="BF668" s="227"/>
      <c r="BG668" s="227"/>
      <c r="BH668" s="227"/>
      <c r="BI668" s="227"/>
    </row>
    <row r="669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  <c r="AB669" s="227"/>
      <c r="AC669" s="227"/>
      <c r="AD669" s="227"/>
      <c r="AE669" s="227"/>
      <c r="AF669" s="227"/>
      <c r="AG669" s="227"/>
      <c r="AH669" s="227"/>
      <c r="AI669" s="227"/>
      <c r="AJ669" s="227"/>
      <c r="AK669" s="227"/>
      <c r="AL669" s="227"/>
      <c r="AM669" s="227"/>
      <c r="AN669" s="227"/>
      <c r="AO669" s="227"/>
      <c r="AP669" s="227"/>
      <c r="AQ669" s="227"/>
      <c r="AR669" s="227"/>
      <c r="AS669" s="227"/>
      <c r="AT669" s="227"/>
      <c r="AU669" s="227"/>
      <c r="AV669" s="227"/>
      <c r="AW669" s="227"/>
      <c r="AX669" s="227"/>
      <c r="AY669" s="227"/>
      <c r="AZ669" s="227"/>
      <c r="BA669" s="227"/>
      <c r="BB669" s="227"/>
      <c r="BC669" s="227"/>
      <c r="BD669" s="227"/>
      <c r="BE669" s="227"/>
      <c r="BF669" s="227"/>
      <c r="BG669" s="227"/>
      <c r="BH669" s="227"/>
      <c r="BI669" s="227"/>
    </row>
    <row r="670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  <c r="AB670" s="227"/>
      <c r="AC670" s="227"/>
      <c r="AD670" s="227"/>
      <c r="AE670" s="227"/>
      <c r="AF670" s="227"/>
      <c r="AG670" s="227"/>
      <c r="AH670" s="227"/>
      <c r="AI670" s="227"/>
      <c r="AJ670" s="227"/>
      <c r="AK670" s="227"/>
      <c r="AL670" s="227"/>
      <c r="AM670" s="227"/>
      <c r="AN670" s="227"/>
      <c r="AO670" s="227"/>
      <c r="AP670" s="227"/>
      <c r="AQ670" s="227"/>
      <c r="AR670" s="227"/>
      <c r="AS670" s="227"/>
      <c r="AT670" s="227"/>
      <c r="AU670" s="227"/>
      <c r="AV670" s="227"/>
      <c r="AW670" s="227"/>
      <c r="AX670" s="227"/>
      <c r="AY670" s="227"/>
      <c r="AZ670" s="227"/>
      <c r="BA670" s="227"/>
      <c r="BB670" s="227"/>
      <c r="BC670" s="227"/>
      <c r="BD670" s="227"/>
      <c r="BE670" s="227"/>
      <c r="BF670" s="227"/>
      <c r="BG670" s="227"/>
      <c r="BH670" s="227"/>
      <c r="BI670" s="227"/>
    </row>
    <row r="67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  <c r="AB671" s="227"/>
      <c r="AC671" s="227"/>
      <c r="AD671" s="227"/>
      <c r="AE671" s="227"/>
      <c r="AF671" s="227"/>
      <c r="AG671" s="227"/>
      <c r="AH671" s="227"/>
      <c r="AI671" s="227"/>
      <c r="AJ671" s="227"/>
      <c r="AK671" s="227"/>
      <c r="AL671" s="227"/>
      <c r="AM671" s="227"/>
      <c r="AN671" s="227"/>
      <c r="AO671" s="227"/>
      <c r="AP671" s="227"/>
      <c r="AQ671" s="227"/>
      <c r="AR671" s="227"/>
      <c r="AS671" s="227"/>
      <c r="AT671" s="227"/>
      <c r="AU671" s="227"/>
      <c r="AV671" s="227"/>
      <c r="AW671" s="227"/>
      <c r="AX671" s="227"/>
      <c r="AY671" s="227"/>
      <c r="AZ671" s="227"/>
      <c r="BA671" s="227"/>
      <c r="BB671" s="227"/>
      <c r="BC671" s="227"/>
      <c r="BD671" s="227"/>
      <c r="BE671" s="227"/>
      <c r="BF671" s="227"/>
      <c r="BG671" s="227"/>
      <c r="BH671" s="227"/>
      <c r="BI671" s="227"/>
    </row>
    <row r="672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  <c r="AB672" s="227"/>
      <c r="AC672" s="227"/>
      <c r="AD672" s="227"/>
      <c r="AE672" s="227"/>
      <c r="AF672" s="227"/>
      <c r="AG672" s="227"/>
      <c r="AH672" s="227"/>
      <c r="AI672" s="227"/>
      <c r="AJ672" s="227"/>
      <c r="AK672" s="227"/>
      <c r="AL672" s="227"/>
      <c r="AM672" s="227"/>
      <c r="AN672" s="227"/>
      <c r="AO672" s="227"/>
      <c r="AP672" s="227"/>
      <c r="AQ672" s="227"/>
      <c r="AR672" s="227"/>
      <c r="AS672" s="227"/>
      <c r="AT672" s="227"/>
      <c r="AU672" s="227"/>
      <c r="AV672" s="227"/>
      <c r="AW672" s="227"/>
      <c r="AX672" s="227"/>
      <c r="AY672" s="227"/>
      <c r="AZ672" s="227"/>
      <c r="BA672" s="227"/>
      <c r="BB672" s="227"/>
      <c r="BC672" s="227"/>
      <c r="BD672" s="227"/>
      <c r="BE672" s="227"/>
      <c r="BF672" s="227"/>
      <c r="BG672" s="227"/>
      <c r="BH672" s="227"/>
      <c r="BI672" s="227"/>
    </row>
    <row r="673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  <c r="AB673" s="227"/>
      <c r="AC673" s="227"/>
      <c r="AD673" s="227"/>
      <c r="AE673" s="227"/>
      <c r="AF673" s="227"/>
      <c r="AG673" s="227"/>
      <c r="AH673" s="227"/>
      <c r="AI673" s="227"/>
      <c r="AJ673" s="227"/>
      <c r="AK673" s="227"/>
      <c r="AL673" s="227"/>
      <c r="AM673" s="227"/>
      <c r="AN673" s="227"/>
      <c r="AO673" s="227"/>
      <c r="AP673" s="227"/>
      <c r="AQ673" s="227"/>
      <c r="AR673" s="227"/>
      <c r="AS673" s="227"/>
      <c r="AT673" s="227"/>
      <c r="AU673" s="227"/>
      <c r="AV673" s="227"/>
      <c r="AW673" s="227"/>
      <c r="AX673" s="227"/>
      <c r="AY673" s="227"/>
      <c r="AZ673" s="227"/>
      <c r="BA673" s="227"/>
      <c r="BB673" s="227"/>
      <c r="BC673" s="227"/>
      <c r="BD673" s="227"/>
      <c r="BE673" s="227"/>
      <c r="BF673" s="227"/>
      <c r="BG673" s="227"/>
      <c r="BH673" s="227"/>
      <c r="BI673" s="227"/>
    </row>
    <row r="674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  <c r="AB674" s="227"/>
      <c r="AC674" s="227"/>
      <c r="AD674" s="227"/>
      <c r="AE674" s="227"/>
      <c r="AF674" s="227"/>
      <c r="AG674" s="227"/>
      <c r="AH674" s="227"/>
      <c r="AI674" s="227"/>
      <c r="AJ674" s="227"/>
      <c r="AK674" s="227"/>
      <c r="AL674" s="227"/>
      <c r="AM674" s="227"/>
      <c r="AN674" s="227"/>
      <c r="AO674" s="227"/>
      <c r="AP674" s="227"/>
      <c r="AQ674" s="227"/>
      <c r="AR674" s="227"/>
      <c r="AS674" s="227"/>
      <c r="AT674" s="227"/>
      <c r="AU674" s="227"/>
      <c r="AV674" s="227"/>
      <c r="AW674" s="227"/>
      <c r="AX674" s="227"/>
      <c r="AY674" s="227"/>
      <c r="AZ674" s="227"/>
      <c r="BA674" s="227"/>
      <c r="BB674" s="227"/>
      <c r="BC674" s="227"/>
      <c r="BD674" s="227"/>
      <c r="BE674" s="227"/>
      <c r="BF674" s="227"/>
      <c r="BG674" s="227"/>
      <c r="BH674" s="227"/>
      <c r="BI674" s="227"/>
    </row>
    <row r="67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7"/>
      <c r="AR675" s="227"/>
      <c r="AS675" s="227"/>
      <c r="AT675" s="227"/>
      <c r="AU675" s="227"/>
      <c r="AV675" s="227"/>
      <c r="AW675" s="227"/>
      <c r="AX675" s="227"/>
      <c r="AY675" s="227"/>
      <c r="AZ675" s="227"/>
      <c r="BA675" s="227"/>
      <c r="BB675" s="227"/>
      <c r="BC675" s="227"/>
      <c r="BD675" s="227"/>
      <c r="BE675" s="227"/>
      <c r="BF675" s="227"/>
      <c r="BG675" s="227"/>
      <c r="BH675" s="227"/>
      <c r="BI675" s="227"/>
    </row>
    <row r="67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27"/>
      <c r="AL676" s="227"/>
      <c r="AM676" s="227"/>
      <c r="AN676" s="227"/>
      <c r="AO676" s="227"/>
      <c r="AP676" s="227"/>
      <c r="AQ676" s="227"/>
      <c r="AR676" s="227"/>
      <c r="AS676" s="227"/>
      <c r="AT676" s="227"/>
      <c r="AU676" s="227"/>
      <c r="AV676" s="227"/>
      <c r="AW676" s="227"/>
      <c r="AX676" s="227"/>
      <c r="AY676" s="227"/>
      <c r="AZ676" s="227"/>
      <c r="BA676" s="227"/>
      <c r="BB676" s="227"/>
      <c r="BC676" s="227"/>
      <c r="BD676" s="227"/>
      <c r="BE676" s="227"/>
      <c r="BF676" s="227"/>
      <c r="BG676" s="227"/>
      <c r="BH676" s="227"/>
      <c r="BI676" s="227"/>
    </row>
    <row r="677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  <c r="AB677" s="227"/>
      <c r="AC677" s="227"/>
      <c r="AD677" s="227"/>
      <c r="AE677" s="227"/>
      <c r="AF677" s="227"/>
      <c r="AG677" s="227"/>
      <c r="AH677" s="227"/>
      <c r="AI677" s="227"/>
      <c r="AJ677" s="227"/>
      <c r="AK677" s="227"/>
      <c r="AL677" s="227"/>
      <c r="AM677" s="227"/>
      <c r="AN677" s="227"/>
      <c r="AO677" s="227"/>
      <c r="AP677" s="227"/>
      <c r="AQ677" s="227"/>
      <c r="AR677" s="227"/>
      <c r="AS677" s="227"/>
      <c r="AT677" s="227"/>
      <c r="AU677" s="227"/>
      <c r="AV677" s="227"/>
      <c r="AW677" s="227"/>
      <c r="AX677" s="227"/>
      <c r="AY677" s="227"/>
      <c r="AZ677" s="227"/>
      <c r="BA677" s="227"/>
      <c r="BB677" s="227"/>
      <c r="BC677" s="227"/>
      <c r="BD677" s="227"/>
      <c r="BE677" s="227"/>
      <c r="BF677" s="227"/>
      <c r="BG677" s="227"/>
      <c r="BH677" s="227"/>
      <c r="BI677" s="227"/>
    </row>
    <row r="678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  <c r="AB678" s="227"/>
      <c r="AC678" s="227"/>
      <c r="AD678" s="227"/>
      <c r="AE678" s="227"/>
      <c r="AF678" s="227"/>
      <c r="AG678" s="227"/>
      <c r="AH678" s="227"/>
      <c r="AI678" s="227"/>
      <c r="AJ678" s="227"/>
      <c r="AK678" s="227"/>
      <c r="AL678" s="227"/>
      <c r="AM678" s="227"/>
      <c r="AN678" s="227"/>
      <c r="AO678" s="227"/>
      <c r="AP678" s="227"/>
      <c r="AQ678" s="227"/>
      <c r="AR678" s="227"/>
      <c r="AS678" s="227"/>
      <c r="AT678" s="227"/>
      <c r="AU678" s="227"/>
      <c r="AV678" s="227"/>
      <c r="AW678" s="227"/>
      <c r="AX678" s="227"/>
      <c r="AY678" s="227"/>
      <c r="AZ678" s="227"/>
      <c r="BA678" s="227"/>
      <c r="BB678" s="227"/>
      <c r="BC678" s="227"/>
      <c r="BD678" s="227"/>
      <c r="BE678" s="227"/>
      <c r="BF678" s="227"/>
      <c r="BG678" s="227"/>
      <c r="BH678" s="227"/>
      <c r="BI678" s="227"/>
    </row>
    <row r="679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  <c r="AB679" s="227"/>
      <c r="AC679" s="227"/>
      <c r="AD679" s="227"/>
      <c r="AE679" s="227"/>
      <c r="AF679" s="227"/>
      <c r="AG679" s="227"/>
      <c r="AH679" s="227"/>
      <c r="AI679" s="227"/>
      <c r="AJ679" s="227"/>
      <c r="AK679" s="227"/>
      <c r="AL679" s="227"/>
      <c r="AM679" s="227"/>
      <c r="AN679" s="227"/>
      <c r="AO679" s="227"/>
      <c r="AP679" s="227"/>
      <c r="AQ679" s="227"/>
      <c r="AR679" s="227"/>
      <c r="AS679" s="227"/>
      <c r="AT679" s="227"/>
      <c r="AU679" s="227"/>
      <c r="AV679" s="227"/>
      <c r="AW679" s="227"/>
      <c r="AX679" s="227"/>
      <c r="AY679" s="227"/>
      <c r="AZ679" s="227"/>
      <c r="BA679" s="227"/>
      <c r="BB679" s="227"/>
      <c r="BC679" s="227"/>
      <c r="BD679" s="227"/>
      <c r="BE679" s="227"/>
      <c r="BF679" s="227"/>
      <c r="BG679" s="227"/>
      <c r="BH679" s="227"/>
      <c r="BI679" s="227"/>
    </row>
    <row r="680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  <c r="AB680" s="227"/>
      <c r="AC680" s="227"/>
      <c r="AD680" s="227"/>
      <c r="AE680" s="227"/>
      <c r="AF680" s="227"/>
      <c r="AG680" s="227"/>
      <c r="AH680" s="227"/>
      <c r="AI680" s="227"/>
      <c r="AJ680" s="227"/>
      <c r="AK680" s="227"/>
      <c r="AL680" s="227"/>
      <c r="AM680" s="227"/>
      <c r="AN680" s="227"/>
      <c r="AO680" s="227"/>
      <c r="AP680" s="227"/>
      <c r="AQ680" s="227"/>
      <c r="AR680" s="227"/>
      <c r="AS680" s="227"/>
      <c r="AT680" s="227"/>
      <c r="AU680" s="227"/>
      <c r="AV680" s="227"/>
      <c r="AW680" s="227"/>
      <c r="AX680" s="227"/>
      <c r="AY680" s="227"/>
      <c r="AZ680" s="227"/>
      <c r="BA680" s="227"/>
      <c r="BB680" s="227"/>
      <c r="BC680" s="227"/>
      <c r="BD680" s="227"/>
      <c r="BE680" s="227"/>
      <c r="BF680" s="227"/>
      <c r="BG680" s="227"/>
      <c r="BH680" s="227"/>
      <c r="BI680" s="227"/>
    </row>
    <row r="68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  <c r="AB681" s="227"/>
      <c r="AC681" s="227"/>
      <c r="AD681" s="227"/>
      <c r="AE681" s="227"/>
      <c r="AF681" s="227"/>
      <c r="AG681" s="227"/>
      <c r="AH681" s="227"/>
      <c r="AI681" s="227"/>
      <c r="AJ681" s="227"/>
      <c r="AK681" s="227"/>
      <c r="AL681" s="227"/>
      <c r="AM681" s="227"/>
      <c r="AN681" s="227"/>
      <c r="AO681" s="227"/>
      <c r="AP681" s="227"/>
      <c r="AQ681" s="227"/>
      <c r="AR681" s="227"/>
      <c r="AS681" s="227"/>
      <c r="AT681" s="227"/>
      <c r="AU681" s="227"/>
      <c r="AV681" s="227"/>
      <c r="AW681" s="227"/>
      <c r="AX681" s="227"/>
      <c r="AY681" s="227"/>
      <c r="AZ681" s="227"/>
      <c r="BA681" s="227"/>
      <c r="BB681" s="227"/>
      <c r="BC681" s="227"/>
      <c r="BD681" s="227"/>
      <c r="BE681" s="227"/>
      <c r="BF681" s="227"/>
      <c r="BG681" s="227"/>
      <c r="BH681" s="227"/>
      <c r="BI681" s="227"/>
    </row>
    <row r="682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  <c r="AB682" s="227"/>
      <c r="AC682" s="227"/>
      <c r="AD682" s="227"/>
      <c r="AE682" s="227"/>
      <c r="AF682" s="227"/>
      <c r="AG682" s="227"/>
      <c r="AH682" s="227"/>
      <c r="AI682" s="227"/>
      <c r="AJ682" s="227"/>
      <c r="AK682" s="227"/>
      <c r="AL682" s="227"/>
      <c r="AM682" s="227"/>
      <c r="AN682" s="227"/>
      <c r="AO682" s="227"/>
      <c r="AP682" s="227"/>
      <c r="AQ682" s="227"/>
      <c r="AR682" s="227"/>
      <c r="AS682" s="227"/>
      <c r="AT682" s="227"/>
      <c r="AU682" s="227"/>
      <c r="AV682" s="227"/>
      <c r="AW682" s="227"/>
      <c r="AX682" s="227"/>
      <c r="AY682" s="227"/>
      <c r="AZ682" s="227"/>
      <c r="BA682" s="227"/>
      <c r="BB682" s="227"/>
      <c r="BC682" s="227"/>
      <c r="BD682" s="227"/>
      <c r="BE682" s="227"/>
      <c r="BF682" s="227"/>
      <c r="BG682" s="227"/>
      <c r="BH682" s="227"/>
      <c r="BI682" s="227"/>
    </row>
    <row r="683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  <c r="AB683" s="227"/>
      <c r="AC683" s="227"/>
      <c r="AD683" s="227"/>
      <c r="AE683" s="227"/>
      <c r="AF683" s="227"/>
      <c r="AG683" s="227"/>
      <c r="AH683" s="227"/>
      <c r="AI683" s="227"/>
      <c r="AJ683" s="227"/>
      <c r="AK683" s="227"/>
      <c r="AL683" s="227"/>
      <c r="AM683" s="227"/>
      <c r="AN683" s="227"/>
      <c r="AO683" s="227"/>
      <c r="AP683" s="227"/>
      <c r="AQ683" s="227"/>
      <c r="AR683" s="227"/>
      <c r="AS683" s="227"/>
      <c r="AT683" s="227"/>
      <c r="AU683" s="227"/>
      <c r="AV683" s="227"/>
      <c r="AW683" s="227"/>
      <c r="AX683" s="227"/>
      <c r="AY683" s="227"/>
      <c r="AZ683" s="227"/>
      <c r="BA683" s="227"/>
      <c r="BB683" s="227"/>
      <c r="BC683" s="227"/>
      <c r="BD683" s="227"/>
      <c r="BE683" s="227"/>
      <c r="BF683" s="227"/>
      <c r="BG683" s="227"/>
      <c r="BH683" s="227"/>
      <c r="BI683" s="227"/>
    </row>
    <row r="684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  <c r="AB684" s="227"/>
      <c r="AC684" s="227"/>
      <c r="AD684" s="227"/>
      <c r="AE684" s="227"/>
      <c r="AF684" s="227"/>
      <c r="AG684" s="227"/>
      <c r="AH684" s="227"/>
      <c r="AI684" s="227"/>
      <c r="AJ684" s="227"/>
      <c r="AK684" s="227"/>
      <c r="AL684" s="227"/>
      <c r="AM684" s="227"/>
      <c r="AN684" s="227"/>
      <c r="AO684" s="227"/>
      <c r="AP684" s="227"/>
      <c r="AQ684" s="227"/>
      <c r="AR684" s="227"/>
      <c r="AS684" s="227"/>
      <c r="AT684" s="227"/>
      <c r="AU684" s="227"/>
      <c r="AV684" s="227"/>
      <c r="AW684" s="227"/>
      <c r="AX684" s="227"/>
      <c r="AY684" s="227"/>
      <c r="AZ684" s="227"/>
      <c r="BA684" s="227"/>
      <c r="BB684" s="227"/>
      <c r="BC684" s="227"/>
      <c r="BD684" s="227"/>
      <c r="BE684" s="227"/>
      <c r="BF684" s="227"/>
      <c r="BG684" s="227"/>
      <c r="BH684" s="227"/>
      <c r="BI684" s="227"/>
    </row>
    <row r="68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  <c r="AB685" s="227"/>
      <c r="AC685" s="227"/>
      <c r="AD685" s="227"/>
      <c r="AE685" s="227"/>
      <c r="AF685" s="227"/>
      <c r="AG685" s="227"/>
      <c r="AH685" s="227"/>
      <c r="AI685" s="227"/>
      <c r="AJ685" s="227"/>
      <c r="AK685" s="227"/>
      <c r="AL685" s="227"/>
      <c r="AM685" s="227"/>
      <c r="AN685" s="227"/>
      <c r="AO685" s="227"/>
      <c r="AP685" s="227"/>
      <c r="AQ685" s="227"/>
      <c r="AR685" s="227"/>
      <c r="AS685" s="227"/>
      <c r="AT685" s="227"/>
      <c r="AU685" s="227"/>
      <c r="AV685" s="227"/>
      <c r="AW685" s="227"/>
      <c r="AX685" s="227"/>
      <c r="AY685" s="227"/>
      <c r="AZ685" s="227"/>
      <c r="BA685" s="227"/>
      <c r="BB685" s="227"/>
      <c r="BC685" s="227"/>
      <c r="BD685" s="227"/>
      <c r="BE685" s="227"/>
      <c r="BF685" s="227"/>
      <c r="BG685" s="227"/>
      <c r="BH685" s="227"/>
      <c r="BI685" s="227"/>
    </row>
    <row r="68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  <c r="AB686" s="227"/>
      <c r="AC686" s="227"/>
      <c r="AD686" s="227"/>
      <c r="AE686" s="227"/>
      <c r="AF686" s="227"/>
      <c r="AG686" s="227"/>
      <c r="AH686" s="227"/>
      <c r="AI686" s="227"/>
      <c r="AJ686" s="227"/>
      <c r="AK686" s="227"/>
      <c r="AL686" s="227"/>
      <c r="AM686" s="227"/>
      <c r="AN686" s="227"/>
      <c r="AO686" s="227"/>
      <c r="AP686" s="227"/>
      <c r="AQ686" s="227"/>
      <c r="AR686" s="227"/>
      <c r="AS686" s="227"/>
      <c r="AT686" s="227"/>
      <c r="AU686" s="227"/>
      <c r="AV686" s="227"/>
      <c r="AW686" s="227"/>
      <c r="AX686" s="227"/>
      <c r="AY686" s="227"/>
      <c r="AZ686" s="227"/>
      <c r="BA686" s="227"/>
      <c r="BB686" s="227"/>
      <c r="BC686" s="227"/>
      <c r="BD686" s="227"/>
      <c r="BE686" s="227"/>
      <c r="BF686" s="227"/>
      <c r="BG686" s="227"/>
      <c r="BH686" s="227"/>
      <c r="BI686" s="227"/>
    </row>
    <row r="687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  <c r="AB687" s="227"/>
      <c r="AC687" s="227"/>
      <c r="AD687" s="227"/>
      <c r="AE687" s="227"/>
      <c r="AF687" s="227"/>
      <c r="AG687" s="227"/>
      <c r="AH687" s="227"/>
      <c r="AI687" s="227"/>
      <c r="AJ687" s="227"/>
      <c r="AK687" s="227"/>
      <c r="AL687" s="227"/>
      <c r="AM687" s="227"/>
      <c r="AN687" s="227"/>
      <c r="AO687" s="227"/>
      <c r="AP687" s="227"/>
      <c r="AQ687" s="227"/>
      <c r="AR687" s="227"/>
      <c r="AS687" s="227"/>
      <c r="AT687" s="227"/>
      <c r="AU687" s="227"/>
      <c r="AV687" s="227"/>
      <c r="AW687" s="227"/>
      <c r="AX687" s="227"/>
      <c r="AY687" s="227"/>
      <c r="AZ687" s="227"/>
      <c r="BA687" s="227"/>
      <c r="BB687" s="227"/>
      <c r="BC687" s="227"/>
      <c r="BD687" s="227"/>
      <c r="BE687" s="227"/>
      <c r="BF687" s="227"/>
      <c r="BG687" s="227"/>
      <c r="BH687" s="227"/>
      <c r="BI687" s="227"/>
    </row>
    <row r="688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27"/>
      <c r="AL688" s="227"/>
      <c r="AM688" s="227"/>
      <c r="AN688" s="227"/>
      <c r="AO688" s="227"/>
      <c r="AP688" s="227"/>
      <c r="AQ688" s="227"/>
      <c r="AR688" s="227"/>
      <c r="AS688" s="227"/>
      <c r="AT688" s="227"/>
      <c r="AU688" s="227"/>
      <c r="AV688" s="227"/>
      <c r="AW688" s="227"/>
      <c r="AX688" s="227"/>
      <c r="AY688" s="227"/>
      <c r="AZ688" s="227"/>
      <c r="BA688" s="227"/>
      <c r="BB688" s="227"/>
      <c r="BC688" s="227"/>
      <c r="BD688" s="227"/>
      <c r="BE688" s="227"/>
      <c r="BF688" s="227"/>
      <c r="BG688" s="227"/>
      <c r="BH688" s="227"/>
      <c r="BI688" s="227"/>
    </row>
    <row r="689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  <c r="AB689" s="227"/>
      <c r="AC689" s="227"/>
      <c r="AD689" s="227"/>
      <c r="AE689" s="227"/>
      <c r="AF689" s="227"/>
      <c r="AG689" s="227"/>
      <c r="AH689" s="227"/>
      <c r="AI689" s="227"/>
      <c r="AJ689" s="227"/>
      <c r="AK689" s="227"/>
      <c r="AL689" s="227"/>
      <c r="AM689" s="227"/>
      <c r="AN689" s="227"/>
      <c r="AO689" s="227"/>
      <c r="AP689" s="227"/>
      <c r="AQ689" s="227"/>
      <c r="AR689" s="227"/>
      <c r="AS689" s="227"/>
      <c r="AT689" s="227"/>
      <c r="AU689" s="227"/>
      <c r="AV689" s="227"/>
      <c r="AW689" s="227"/>
      <c r="AX689" s="227"/>
      <c r="AY689" s="227"/>
      <c r="AZ689" s="227"/>
      <c r="BA689" s="227"/>
      <c r="BB689" s="227"/>
      <c r="BC689" s="227"/>
      <c r="BD689" s="227"/>
      <c r="BE689" s="227"/>
      <c r="BF689" s="227"/>
      <c r="BG689" s="227"/>
      <c r="BH689" s="227"/>
      <c r="BI689" s="227"/>
    </row>
    <row r="690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  <c r="AB690" s="227"/>
      <c r="AC690" s="227"/>
      <c r="AD690" s="227"/>
      <c r="AE690" s="227"/>
      <c r="AF690" s="227"/>
      <c r="AG690" s="227"/>
      <c r="AH690" s="227"/>
      <c r="AI690" s="227"/>
      <c r="AJ690" s="227"/>
      <c r="AK690" s="227"/>
      <c r="AL690" s="227"/>
      <c r="AM690" s="227"/>
      <c r="AN690" s="227"/>
      <c r="AO690" s="227"/>
      <c r="AP690" s="227"/>
      <c r="AQ690" s="227"/>
      <c r="AR690" s="227"/>
      <c r="AS690" s="227"/>
      <c r="AT690" s="227"/>
      <c r="AU690" s="227"/>
      <c r="AV690" s="227"/>
      <c r="AW690" s="227"/>
      <c r="AX690" s="227"/>
      <c r="AY690" s="227"/>
      <c r="AZ690" s="227"/>
      <c r="BA690" s="227"/>
      <c r="BB690" s="227"/>
      <c r="BC690" s="227"/>
      <c r="BD690" s="227"/>
      <c r="BE690" s="227"/>
      <c r="BF690" s="227"/>
      <c r="BG690" s="227"/>
      <c r="BH690" s="227"/>
      <c r="BI690" s="227"/>
    </row>
    <row r="69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7"/>
      <c r="AR691" s="227"/>
      <c r="AS691" s="227"/>
      <c r="AT691" s="227"/>
      <c r="AU691" s="227"/>
      <c r="AV691" s="227"/>
      <c r="AW691" s="227"/>
      <c r="AX691" s="227"/>
      <c r="AY691" s="227"/>
      <c r="AZ691" s="227"/>
      <c r="BA691" s="227"/>
      <c r="BB691" s="227"/>
      <c r="BC691" s="227"/>
      <c r="BD691" s="227"/>
      <c r="BE691" s="227"/>
      <c r="BF691" s="227"/>
      <c r="BG691" s="227"/>
      <c r="BH691" s="227"/>
      <c r="BI691" s="227"/>
    </row>
    <row r="692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  <c r="AB692" s="227"/>
      <c r="AC692" s="227"/>
      <c r="AD692" s="227"/>
      <c r="AE692" s="227"/>
      <c r="AF692" s="227"/>
      <c r="AG692" s="227"/>
      <c r="AH692" s="227"/>
      <c r="AI692" s="227"/>
      <c r="AJ692" s="227"/>
      <c r="AK692" s="227"/>
      <c r="AL692" s="227"/>
      <c r="AM692" s="227"/>
      <c r="AN692" s="227"/>
      <c r="AO692" s="227"/>
      <c r="AP692" s="227"/>
      <c r="AQ692" s="227"/>
      <c r="AR692" s="227"/>
      <c r="AS692" s="227"/>
      <c r="AT692" s="227"/>
      <c r="AU692" s="227"/>
      <c r="AV692" s="227"/>
      <c r="AW692" s="227"/>
      <c r="AX692" s="227"/>
      <c r="AY692" s="227"/>
      <c r="AZ692" s="227"/>
      <c r="BA692" s="227"/>
      <c r="BB692" s="227"/>
      <c r="BC692" s="227"/>
      <c r="BD692" s="227"/>
      <c r="BE692" s="227"/>
      <c r="BF692" s="227"/>
      <c r="BG692" s="227"/>
      <c r="BH692" s="227"/>
      <c r="BI692" s="227"/>
    </row>
    <row r="693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7"/>
      <c r="AR693" s="227"/>
      <c r="AS693" s="227"/>
      <c r="AT693" s="227"/>
      <c r="AU693" s="227"/>
      <c r="AV693" s="227"/>
      <c r="AW693" s="227"/>
      <c r="AX693" s="227"/>
      <c r="AY693" s="227"/>
      <c r="AZ693" s="227"/>
      <c r="BA693" s="227"/>
      <c r="BB693" s="227"/>
      <c r="BC693" s="227"/>
      <c r="BD693" s="227"/>
      <c r="BE693" s="227"/>
      <c r="BF693" s="227"/>
      <c r="BG693" s="227"/>
      <c r="BH693" s="227"/>
      <c r="BI693" s="227"/>
    </row>
    <row r="694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  <c r="AB694" s="227"/>
      <c r="AC694" s="227"/>
      <c r="AD694" s="227"/>
      <c r="AE694" s="227"/>
      <c r="AF694" s="227"/>
      <c r="AG694" s="227"/>
      <c r="AH694" s="227"/>
      <c r="AI694" s="227"/>
      <c r="AJ694" s="227"/>
      <c r="AK694" s="227"/>
      <c r="AL694" s="227"/>
      <c r="AM694" s="227"/>
      <c r="AN694" s="227"/>
      <c r="AO694" s="227"/>
      <c r="AP694" s="227"/>
      <c r="AQ694" s="227"/>
      <c r="AR694" s="227"/>
      <c r="AS694" s="227"/>
      <c r="AT694" s="227"/>
      <c r="AU694" s="227"/>
      <c r="AV694" s="227"/>
      <c r="AW694" s="227"/>
      <c r="AX694" s="227"/>
      <c r="AY694" s="227"/>
      <c r="AZ694" s="227"/>
      <c r="BA694" s="227"/>
      <c r="BB694" s="227"/>
      <c r="BC694" s="227"/>
      <c r="BD694" s="227"/>
      <c r="BE694" s="227"/>
      <c r="BF694" s="227"/>
      <c r="BG694" s="227"/>
      <c r="BH694" s="227"/>
      <c r="BI694" s="227"/>
    </row>
    <row r="69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  <c r="AB695" s="227"/>
      <c r="AC695" s="227"/>
      <c r="AD695" s="227"/>
      <c r="AE695" s="227"/>
      <c r="AF695" s="227"/>
      <c r="AG695" s="227"/>
      <c r="AH695" s="227"/>
      <c r="AI695" s="227"/>
      <c r="AJ695" s="227"/>
      <c r="AK695" s="227"/>
      <c r="AL695" s="227"/>
      <c r="AM695" s="227"/>
      <c r="AN695" s="227"/>
      <c r="AO695" s="227"/>
      <c r="AP695" s="227"/>
      <c r="AQ695" s="227"/>
      <c r="AR695" s="227"/>
      <c r="AS695" s="227"/>
      <c r="AT695" s="227"/>
      <c r="AU695" s="227"/>
      <c r="AV695" s="227"/>
      <c r="AW695" s="227"/>
      <c r="AX695" s="227"/>
      <c r="AY695" s="227"/>
      <c r="AZ695" s="227"/>
      <c r="BA695" s="227"/>
      <c r="BB695" s="227"/>
      <c r="BC695" s="227"/>
      <c r="BD695" s="227"/>
      <c r="BE695" s="227"/>
      <c r="BF695" s="227"/>
      <c r="BG695" s="227"/>
      <c r="BH695" s="227"/>
      <c r="BI695" s="227"/>
    </row>
    <row r="69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  <c r="AB696" s="227"/>
      <c r="AC696" s="227"/>
      <c r="AD696" s="227"/>
      <c r="AE696" s="227"/>
      <c r="AF696" s="227"/>
      <c r="AG696" s="227"/>
      <c r="AH696" s="227"/>
      <c r="AI696" s="227"/>
      <c r="AJ696" s="227"/>
      <c r="AK696" s="227"/>
      <c r="AL696" s="227"/>
      <c r="AM696" s="227"/>
      <c r="AN696" s="227"/>
      <c r="AO696" s="227"/>
      <c r="AP696" s="227"/>
      <c r="AQ696" s="227"/>
      <c r="AR696" s="227"/>
      <c r="AS696" s="227"/>
      <c r="AT696" s="227"/>
      <c r="AU696" s="227"/>
      <c r="AV696" s="227"/>
      <c r="AW696" s="227"/>
      <c r="AX696" s="227"/>
      <c r="AY696" s="227"/>
      <c r="AZ696" s="227"/>
      <c r="BA696" s="227"/>
      <c r="BB696" s="227"/>
      <c r="BC696" s="227"/>
      <c r="BD696" s="227"/>
      <c r="BE696" s="227"/>
      <c r="BF696" s="227"/>
      <c r="BG696" s="227"/>
      <c r="BH696" s="227"/>
      <c r="BI696" s="227"/>
    </row>
    <row r="697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  <c r="AB697" s="227"/>
      <c r="AC697" s="227"/>
      <c r="AD697" s="227"/>
      <c r="AE697" s="227"/>
      <c r="AF697" s="227"/>
      <c r="AG697" s="227"/>
      <c r="AH697" s="227"/>
      <c r="AI697" s="227"/>
      <c r="AJ697" s="227"/>
      <c r="AK697" s="227"/>
      <c r="AL697" s="227"/>
      <c r="AM697" s="227"/>
      <c r="AN697" s="227"/>
      <c r="AO697" s="227"/>
      <c r="AP697" s="227"/>
      <c r="AQ697" s="227"/>
      <c r="AR697" s="227"/>
      <c r="AS697" s="227"/>
      <c r="AT697" s="227"/>
      <c r="AU697" s="227"/>
      <c r="AV697" s="227"/>
      <c r="AW697" s="227"/>
      <c r="AX697" s="227"/>
      <c r="AY697" s="227"/>
      <c r="AZ697" s="227"/>
      <c r="BA697" s="227"/>
      <c r="BB697" s="227"/>
      <c r="BC697" s="227"/>
      <c r="BD697" s="227"/>
      <c r="BE697" s="227"/>
      <c r="BF697" s="227"/>
      <c r="BG697" s="227"/>
      <c r="BH697" s="227"/>
      <c r="BI697" s="227"/>
    </row>
    <row r="698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  <c r="AB698" s="227"/>
      <c r="AC698" s="227"/>
      <c r="AD698" s="227"/>
      <c r="AE698" s="227"/>
      <c r="AF698" s="227"/>
      <c r="AG698" s="227"/>
      <c r="AH698" s="227"/>
      <c r="AI698" s="227"/>
      <c r="AJ698" s="227"/>
      <c r="AK698" s="227"/>
      <c r="AL698" s="227"/>
      <c r="AM698" s="227"/>
      <c r="AN698" s="227"/>
      <c r="AO698" s="227"/>
      <c r="AP698" s="227"/>
      <c r="AQ698" s="227"/>
      <c r="AR698" s="227"/>
      <c r="AS698" s="227"/>
      <c r="AT698" s="227"/>
      <c r="AU698" s="227"/>
      <c r="AV698" s="227"/>
      <c r="AW698" s="227"/>
      <c r="AX698" s="227"/>
      <c r="AY698" s="227"/>
      <c r="AZ698" s="227"/>
      <c r="BA698" s="227"/>
      <c r="BB698" s="227"/>
      <c r="BC698" s="227"/>
      <c r="BD698" s="227"/>
      <c r="BE698" s="227"/>
      <c r="BF698" s="227"/>
      <c r="BG698" s="227"/>
      <c r="BH698" s="227"/>
      <c r="BI698" s="227"/>
    </row>
    <row r="699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  <c r="AB699" s="227"/>
      <c r="AC699" s="227"/>
      <c r="AD699" s="227"/>
      <c r="AE699" s="227"/>
      <c r="AF699" s="227"/>
      <c r="AG699" s="227"/>
      <c r="AH699" s="227"/>
      <c r="AI699" s="227"/>
      <c r="AJ699" s="227"/>
      <c r="AK699" s="227"/>
      <c r="AL699" s="227"/>
      <c r="AM699" s="227"/>
      <c r="AN699" s="227"/>
      <c r="AO699" s="227"/>
      <c r="AP699" s="227"/>
      <c r="AQ699" s="227"/>
      <c r="AR699" s="227"/>
      <c r="AS699" s="227"/>
      <c r="AT699" s="227"/>
      <c r="AU699" s="227"/>
      <c r="AV699" s="227"/>
      <c r="AW699" s="227"/>
      <c r="AX699" s="227"/>
      <c r="AY699" s="227"/>
      <c r="AZ699" s="227"/>
      <c r="BA699" s="227"/>
      <c r="BB699" s="227"/>
      <c r="BC699" s="227"/>
      <c r="BD699" s="227"/>
      <c r="BE699" s="227"/>
      <c r="BF699" s="227"/>
      <c r="BG699" s="227"/>
      <c r="BH699" s="227"/>
      <c r="BI699" s="227"/>
    </row>
    <row r="700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27"/>
      <c r="AL700" s="227"/>
      <c r="AM700" s="227"/>
      <c r="AN700" s="227"/>
      <c r="AO700" s="227"/>
      <c r="AP700" s="227"/>
      <c r="AQ700" s="227"/>
      <c r="AR700" s="227"/>
      <c r="AS700" s="227"/>
      <c r="AT700" s="227"/>
      <c r="AU700" s="227"/>
      <c r="AV700" s="227"/>
      <c r="AW700" s="227"/>
      <c r="AX700" s="227"/>
      <c r="AY700" s="227"/>
      <c r="AZ700" s="227"/>
      <c r="BA700" s="227"/>
      <c r="BB700" s="227"/>
      <c r="BC700" s="227"/>
      <c r="BD700" s="227"/>
      <c r="BE700" s="227"/>
      <c r="BF700" s="227"/>
      <c r="BG700" s="227"/>
      <c r="BH700" s="227"/>
      <c r="BI700" s="227"/>
    </row>
    <row r="70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7"/>
      <c r="AR701" s="227"/>
      <c r="AS701" s="227"/>
      <c r="AT701" s="227"/>
      <c r="AU701" s="227"/>
      <c r="AV701" s="227"/>
      <c r="AW701" s="227"/>
      <c r="AX701" s="227"/>
      <c r="AY701" s="227"/>
      <c r="AZ701" s="227"/>
      <c r="BA701" s="227"/>
      <c r="BB701" s="227"/>
      <c r="BC701" s="227"/>
      <c r="BD701" s="227"/>
      <c r="BE701" s="227"/>
      <c r="BF701" s="227"/>
      <c r="BG701" s="227"/>
      <c r="BH701" s="227"/>
      <c r="BI701" s="227"/>
    </row>
    <row r="702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  <c r="AB702" s="227"/>
      <c r="AC702" s="227"/>
      <c r="AD702" s="227"/>
      <c r="AE702" s="227"/>
      <c r="AF702" s="227"/>
      <c r="AG702" s="227"/>
      <c r="AH702" s="227"/>
      <c r="AI702" s="227"/>
      <c r="AJ702" s="227"/>
      <c r="AK702" s="227"/>
      <c r="AL702" s="227"/>
      <c r="AM702" s="227"/>
      <c r="AN702" s="227"/>
      <c r="AO702" s="227"/>
      <c r="AP702" s="227"/>
      <c r="AQ702" s="227"/>
      <c r="AR702" s="227"/>
      <c r="AS702" s="227"/>
      <c r="AT702" s="227"/>
      <c r="AU702" s="227"/>
      <c r="AV702" s="227"/>
      <c r="AW702" s="227"/>
      <c r="AX702" s="227"/>
      <c r="AY702" s="227"/>
      <c r="AZ702" s="227"/>
      <c r="BA702" s="227"/>
      <c r="BB702" s="227"/>
      <c r="BC702" s="227"/>
      <c r="BD702" s="227"/>
      <c r="BE702" s="227"/>
      <c r="BF702" s="227"/>
      <c r="BG702" s="227"/>
      <c r="BH702" s="227"/>
      <c r="BI702" s="227"/>
    </row>
    <row r="703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7"/>
      <c r="AR703" s="227"/>
      <c r="AS703" s="227"/>
      <c r="AT703" s="227"/>
      <c r="AU703" s="227"/>
      <c r="AV703" s="227"/>
      <c r="AW703" s="227"/>
      <c r="AX703" s="227"/>
      <c r="AY703" s="227"/>
      <c r="AZ703" s="227"/>
      <c r="BA703" s="227"/>
      <c r="BB703" s="227"/>
      <c r="BC703" s="227"/>
      <c r="BD703" s="227"/>
      <c r="BE703" s="227"/>
      <c r="BF703" s="227"/>
      <c r="BG703" s="227"/>
      <c r="BH703" s="227"/>
      <c r="BI703" s="227"/>
    </row>
    <row r="704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  <c r="AB704" s="227"/>
      <c r="AC704" s="227"/>
      <c r="AD704" s="227"/>
      <c r="AE704" s="227"/>
      <c r="AF704" s="227"/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7"/>
      <c r="AQ704" s="227"/>
      <c r="AR704" s="227"/>
      <c r="AS704" s="227"/>
      <c r="AT704" s="227"/>
      <c r="AU704" s="227"/>
      <c r="AV704" s="227"/>
      <c r="AW704" s="227"/>
      <c r="AX704" s="227"/>
      <c r="AY704" s="227"/>
      <c r="AZ704" s="227"/>
      <c r="BA704" s="227"/>
      <c r="BB704" s="227"/>
      <c r="BC704" s="227"/>
      <c r="BD704" s="227"/>
      <c r="BE704" s="227"/>
      <c r="BF704" s="227"/>
      <c r="BG704" s="227"/>
      <c r="BH704" s="227"/>
      <c r="BI704" s="227"/>
    </row>
    <row r="705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7"/>
      <c r="AR705" s="227"/>
      <c r="AS705" s="227"/>
      <c r="AT705" s="227"/>
      <c r="AU705" s="227"/>
      <c r="AV705" s="227"/>
      <c r="AW705" s="227"/>
      <c r="AX705" s="227"/>
      <c r="AY705" s="227"/>
      <c r="AZ705" s="227"/>
      <c r="BA705" s="227"/>
      <c r="BB705" s="227"/>
      <c r="BC705" s="227"/>
      <c r="BD705" s="227"/>
      <c r="BE705" s="227"/>
      <c r="BF705" s="227"/>
      <c r="BG705" s="227"/>
      <c r="BH705" s="227"/>
      <c r="BI705" s="227"/>
    </row>
    <row r="70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  <c r="AB706" s="227"/>
      <c r="AC706" s="227"/>
      <c r="AD706" s="227"/>
      <c r="AE706" s="227"/>
      <c r="AF706" s="227"/>
      <c r="AG706" s="227"/>
      <c r="AH706" s="227"/>
      <c r="AI706" s="227"/>
      <c r="AJ706" s="227"/>
      <c r="AK706" s="227"/>
      <c r="AL706" s="227"/>
      <c r="AM706" s="227"/>
      <c r="AN706" s="227"/>
      <c r="AO706" s="227"/>
      <c r="AP706" s="227"/>
      <c r="AQ706" s="227"/>
      <c r="AR706" s="227"/>
      <c r="AS706" s="227"/>
      <c r="AT706" s="227"/>
      <c r="AU706" s="227"/>
      <c r="AV706" s="227"/>
      <c r="AW706" s="227"/>
      <c r="AX706" s="227"/>
      <c r="AY706" s="227"/>
      <c r="AZ706" s="227"/>
      <c r="BA706" s="227"/>
      <c r="BB706" s="227"/>
      <c r="BC706" s="227"/>
      <c r="BD706" s="227"/>
      <c r="BE706" s="227"/>
      <c r="BF706" s="227"/>
      <c r="BG706" s="227"/>
      <c r="BH706" s="227"/>
      <c r="BI706" s="227"/>
    </row>
    <row r="707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  <c r="AB707" s="227"/>
      <c r="AC707" s="227"/>
      <c r="AD707" s="227"/>
      <c r="AE707" s="227"/>
      <c r="AF707" s="227"/>
      <c r="AG707" s="227"/>
      <c r="AH707" s="227"/>
      <c r="AI707" s="227"/>
      <c r="AJ707" s="227"/>
      <c r="AK707" s="227"/>
      <c r="AL707" s="227"/>
      <c r="AM707" s="227"/>
      <c r="AN707" s="227"/>
      <c r="AO707" s="227"/>
      <c r="AP707" s="227"/>
      <c r="AQ707" s="227"/>
      <c r="AR707" s="227"/>
      <c r="AS707" s="227"/>
      <c r="AT707" s="227"/>
      <c r="AU707" s="227"/>
      <c r="AV707" s="227"/>
      <c r="AW707" s="227"/>
      <c r="AX707" s="227"/>
      <c r="AY707" s="227"/>
      <c r="AZ707" s="227"/>
      <c r="BA707" s="227"/>
      <c r="BB707" s="227"/>
      <c r="BC707" s="227"/>
      <c r="BD707" s="227"/>
      <c r="BE707" s="227"/>
      <c r="BF707" s="227"/>
      <c r="BG707" s="227"/>
      <c r="BH707" s="227"/>
      <c r="BI707" s="227"/>
    </row>
    <row r="708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  <c r="AB708" s="227"/>
      <c r="AC708" s="227"/>
      <c r="AD708" s="227"/>
      <c r="AE708" s="227"/>
      <c r="AF708" s="227"/>
      <c r="AG708" s="227"/>
      <c r="AH708" s="227"/>
      <c r="AI708" s="227"/>
      <c r="AJ708" s="227"/>
      <c r="AK708" s="227"/>
      <c r="AL708" s="227"/>
      <c r="AM708" s="227"/>
      <c r="AN708" s="227"/>
      <c r="AO708" s="227"/>
      <c r="AP708" s="227"/>
      <c r="AQ708" s="227"/>
      <c r="AR708" s="227"/>
      <c r="AS708" s="227"/>
      <c r="AT708" s="227"/>
      <c r="AU708" s="227"/>
      <c r="AV708" s="227"/>
      <c r="AW708" s="227"/>
      <c r="AX708" s="227"/>
      <c r="AY708" s="227"/>
      <c r="AZ708" s="227"/>
      <c r="BA708" s="227"/>
      <c r="BB708" s="227"/>
      <c r="BC708" s="227"/>
      <c r="BD708" s="227"/>
      <c r="BE708" s="227"/>
      <c r="BF708" s="227"/>
      <c r="BG708" s="227"/>
      <c r="BH708" s="227"/>
      <c r="BI708" s="227"/>
    </row>
    <row r="709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7"/>
      <c r="AR709" s="227"/>
      <c r="AS709" s="227"/>
      <c r="AT709" s="227"/>
      <c r="AU709" s="227"/>
      <c r="AV709" s="227"/>
      <c r="AW709" s="227"/>
      <c r="AX709" s="227"/>
      <c r="AY709" s="227"/>
      <c r="AZ709" s="227"/>
      <c r="BA709" s="227"/>
      <c r="BB709" s="227"/>
      <c r="BC709" s="227"/>
      <c r="BD709" s="227"/>
      <c r="BE709" s="227"/>
      <c r="BF709" s="227"/>
      <c r="BG709" s="227"/>
      <c r="BH709" s="227"/>
      <c r="BI709" s="227"/>
    </row>
    <row r="710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  <c r="AB710" s="227"/>
      <c r="AC710" s="227"/>
      <c r="AD710" s="227"/>
      <c r="AE710" s="227"/>
      <c r="AF710" s="227"/>
      <c r="AG710" s="227"/>
      <c r="AH710" s="227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227"/>
      <c r="AT710" s="227"/>
      <c r="AU710" s="227"/>
      <c r="AV710" s="227"/>
      <c r="AW710" s="227"/>
      <c r="AX710" s="227"/>
      <c r="AY710" s="227"/>
      <c r="AZ710" s="227"/>
      <c r="BA710" s="227"/>
      <c r="BB710" s="227"/>
      <c r="BC710" s="227"/>
      <c r="BD710" s="227"/>
      <c r="BE710" s="227"/>
      <c r="BF710" s="227"/>
      <c r="BG710" s="227"/>
      <c r="BH710" s="227"/>
      <c r="BI710" s="227"/>
    </row>
    <row r="71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7"/>
      <c r="AR711" s="227"/>
      <c r="AS711" s="227"/>
      <c r="AT711" s="227"/>
      <c r="AU711" s="227"/>
      <c r="AV711" s="227"/>
      <c r="AW711" s="227"/>
      <c r="AX711" s="227"/>
      <c r="AY711" s="227"/>
      <c r="AZ711" s="227"/>
      <c r="BA711" s="227"/>
      <c r="BB711" s="227"/>
      <c r="BC711" s="227"/>
      <c r="BD711" s="227"/>
      <c r="BE711" s="227"/>
      <c r="BF711" s="227"/>
      <c r="BG711" s="227"/>
      <c r="BH711" s="227"/>
      <c r="BI711" s="227"/>
    </row>
    <row r="712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27"/>
      <c r="AL712" s="227"/>
      <c r="AM712" s="227"/>
      <c r="AN712" s="227"/>
      <c r="AO712" s="227"/>
      <c r="AP712" s="227"/>
      <c r="AQ712" s="227"/>
      <c r="AR712" s="227"/>
      <c r="AS712" s="227"/>
      <c r="AT712" s="227"/>
      <c r="AU712" s="227"/>
      <c r="AV712" s="227"/>
      <c r="AW712" s="227"/>
      <c r="AX712" s="227"/>
      <c r="AY712" s="227"/>
      <c r="AZ712" s="227"/>
      <c r="BA712" s="227"/>
      <c r="BB712" s="227"/>
      <c r="BC712" s="227"/>
      <c r="BD712" s="227"/>
      <c r="BE712" s="227"/>
      <c r="BF712" s="227"/>
      <c r="BG712" s="227"/>
      <c r="BH712" s="227"/>
      <c r="BI712" s="227"/>
    </row>
    <row r="713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7"/>
      <c r="AR713" s="227"/>
      <c r="AS713" s="227"/>
      <c r="AT713" s="227"/>
      <c r="AU713" s="227"/>
      <c r="AV713" s="227"/>
      <c r="AW713" s="227"/>
      <c r="AX713" s="227"/>
      <c r="AY713" s="227"/>
      <c r="AZ713" s="227"/>
      <c r="BA713" s="227"/>
      <c r="BB713" s="227"/>
      <c r="BC713" s="227"/>
      <c r="BD713" s="227"/>
      <c r="BE713" s="227"/>
      <c r="BF713" s="227"/>
      <c r="BG713" s="227"/>
      <c r="BH713" s="227"/>
      <c r="BI713" s="227"/>
    </row>
    <row r="714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  <c r="AB714" s="227"/>
      <c r="AC714" s="227"/>
      <c r="AD714" s="227"/>
      <c r="AE714" s="227"/>
      <c r="AF714" s="227"/>
      <c r="AG714" s="227"/>
      <c r="AH714" s="227"/>
      <c r="AI714" s="227"/>
      <c r="AJ714" s="227"/>
      <c r="AK714" s="227"/>
      <c r="AL714" s="227"/>
      <c r="AM714" s="227"/>
      <c r="AN714" s="227"/>
      <c r="AO714" s="227"/>
      <c r="AP714" s="227"/>
      <c r="AQ714" s="227"/>
      <c r="AR714" s="227"/>
      <c r="AS714" s="227"/>
      <c r="AT714" s="227"/>
      <c r="AU714" s="227"/>
      <c r="AV714" s="227"/>
      <c r="AW714" s="227"/>
      <c r="AX714" s="227"/>
      <c r="AY714" s="227"/>
      <c r="AZ714" s="227"/>
      <c r="BA714" s="227"/>
      <c r="BB714" s="227"/>
      <c r="BC714" s="227"/>
      <c r="BD714" s="227"/>
      <c r="BE714" s="227"/>
      <c r="BF714" s="227"/>
      <c r="BG714" s="227"/>
      <c r="BH714" s="227"/>
      <c r="BI714" s="227"/>
    </row>
    <row r="715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7"/>
      <c r="AR715" s="227"/>
      <c r="AS715" s="227"/>
      <c r="AT715" s="227"/>
      <c r="AU715" s="227"/>
      <c r="AV715" s="227"/>
      <c r="AW715" s="227"/>
      <c r="AX715" s="227"/>
      <c r="AY715" s="227"/>
      <c r="AZ715" s="227"/>
      <c r="BA715" s="227"/>
      <c r="BB715" s="227"/>
      <c r="BC715" s="227"/>
      <c r="BD715" s="227"/>
      <c r="BE715" s="227"/>
      <c r="BF715" s="227"/>
      <c r="BG715" s="227"/>
      <c r="BH715" s="227"/>
      <c r="BI715" s="227"/>
    </row>
    <row r="71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  <c r="AE716" s="227"/>
      <c r="AF716" s="227"/>
      <c r="AG716" s="227"/>
      <c r="AH716" s="227"/>
      <c r="AI716" s="227"/>
      <c r="AJ716" s="227"/>
      <c r="AK716" s="227"/>
      <c r="AL716" s="227"/>
      <c r="AM716" s="227"/>
      <c r="AN716" s="227"/>
      <c r="AO716" s="227"/>
      <c r="AP716" s="227"/>
      <c r="AQ716" s="227"/>
      <c r="AR716" s="227"/>
      <c r="AS716" s="227"/>
      <c r="AT716" s="227"/>
      <c r="AU716" s="227"/>
      <c r="AV716" s="227"/>
      <c r="AW716" s="227"/>
      <c r="AX716" s="227"/>
      <c r="AY716" s="227"/>
      <c r="AZ716" s="227"/>
      <c r="BA716" s="227"/>
      <c r="BB716" s="227"/>
      <c r="BC716" s="227"/>
      <c r="BD716" s="227"/>
      <c r="BE716" s="227"/>
      <c r="BF716" s="227"/>
      <c r="BG716" s="227"/>
      <c r="BH716" s="227"/>
      <c r="BI716" s="227"/>
    </row>
    <row r="717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7"/>
      <c r="AR717" s="227"/>
      <c r="AS717" s="227"/>
      <c r="AT717" s="227"/>
      <c r="AU717" s="227"/>
      <c r="AV717" s="227"/>
      <c r="AW717" s="227"/>
      <c r="AX717" s="227"/>
      <c r="AY717" s="227"/>
      <c r="AZ717" s="227"/>
      <c r="BA717" s="227"/>
      <c r="BB717" s="227"/>
      <c r="BC717" s="227"/>
      <c r="BD717" s="227"/>
      <c r="BE717" s="227"/>
      <c r="BF717" s="227"/>
      <c r="BG717" s="227"/>
      <c r="BH717" s="227"/>
      <c r="BI717" s="227"/>
    </row>
    <row r="718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  <c r="AE718" s="227"/>
      <c r="AF718" s="227"/>
      <c r="AG718" s="227"/>
      <c r="AH718" s="227"/>
      <c r="AI718" s="227"/>
      <c r="AJ718" s="227"/>
      <c r="AK718" s="227"/>
      <c r="AL718" s="227"/>
      <c r="AM718" s="227"/>
      <c r="AN718" s="227"/>
      <c r="AO718" s="227"/>
      <c r="AP718" s="227"/>
      <c r="AQ718" s="227"/>
      <c r="AR718" s="227"/>
      <c r="AS718" s="227"/>
      <c r="AT718" s="227"/>
      <c r="AU718" s="227"/>
      <c r="AV718" s="227"/>
      <c r="AW718" s="227"/>
      <c r="AX718" s="227"/>
      <c r="AY718" s="227"/>
      <c r="AZ718" s="227"/>
      <c r="BA718" s="227"/>
      <c r="BB718" s="227"/>
      <c r="BC718" s="227"/>
      <c r="BD718" s="227"/>
      <c r="BE718" s="227"/>
      <c r="BF718" s="227"/>
      <c r="BG718" s="227"/>
      <c r="BH718" s="227"/>
      <c r="BI718" s="227"/>
    </row>
    <row r="719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7"/>
      <c r="AR719" s="227"/>
      <c r="AS719" s="227"/>
      <c r="AT719" s="227"/>
      <c r="AU719" s="227"/>
      <c r="AV719" s="227"/>
      <c r="AW719" s="227"/>
      <c r="AX719" s="227"/>
      <c r="AY719" s="227"/>
      <c r="AZ719" s="227"/>
      <c r="BA719" s="227"/>
      <c r="BB719" s="227"/>
      <c r="BC719" s="227"/>
      <c r="BD719" s="227"/>
      <c r="BE719" s="227"/>
      <c r="BF719" s="227"/>
      <c r="BG719" s="227"/>
      <c r="BH719" s="227"/>
      <c r="BI719" s="227"/>
    </row>
    <row r="720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  <c r="AE720" s="227"/>
      <c r="AF720" s="227"/>
      <c r="AG720" s="227"/>
      <c r="AH720" s="227"/>
      <c r="AI720" s="227"/>
      <c r="AJ720" s="227"/>
      <c r="AK720" s="227"/>
      <c r="AL720" s="227"/>
      <c r="AM720" s="227"/>
      <c r="AN720" s="227"/>
      <c r="AO720" s="227"/>
      <c r="AP720" s="227"/>
      <c r="AQ720" s="227"/>
      <c r="AR720" s="227"/>
      <c r="AS720" s="227"/>
      <c r="AT720" s="227"/>
      <c r="AU720" s="227"/>
      <c r="AV720" s="227"/>
      <c r="AW720" s="227"/>
      <c r="AX720" s="227"/>
      <c r="AY720" s="227"/>
      <c r="AZ720" s="227"/>
      <c r="BA720" s="227"/>
      <c r="BB720" s="227"/>
      <c r="BC720" s="227"/>
      <c r="BD720" s="227"/>
      <c r="BE720" s="227"/>
      <c r="BF720" s="227"/>
      <c r="BG720" s="227"/>
      <c r="BH720" s="227"/>
      <c r="BI720" s="227"/>
    </row>
    <row r="72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7"/>
      <c r="AR721" s="227"/>
      <c r="AS721" s="227"/>
      <c r="AT721" s="227"/>
      <c r="AU721" s="227"/>
      <c r="AV721" s="227"/>
      <c r="AW721" s="227"/>
      <c r="AX721" s="227"/>
      <c r="AY721" s="227"/>
      <c r="AZ721" s="227"/>
      <c r="BA721" s="227"/>
      <c r="BB721" s="227"/>
      <c r="BC721" s="227"/>
      <c r="BD721" s="227"/>
      <c r="BE721" s="227"/>
      <c r="BF721" s="227"/>
      <c r="BG721" s="227"/>
      <c r="BH721" s="227"/>
      <c r="BI721" s="227"/>
    </row>
    <row r="722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  <c r="AE722" s="227"/>
      <c r="AF722" s="227"/>
      <c r="AG722" s="227"/>
      <c r="AH722" s="227"/>
      <c r="AI722" s="227"/>
      <c r="AJ722" s="227"/>
      <c r="AK722" s="227"/>
      <c r="AL722" s="227"/>
      <c r="AM722" s="227"/>
      <c r="AN722" s="227"/>
      <c r="AO722" s="227"/>
      <c r="AP722" s="227"/>
      <c r="AQ722" s="227"/>
      <c r="AR722" s="227"/>
      <c r="AS722" s="227"/>
      <c r="AT722" s="227"/>
      <c r="AU722" s="227"/>
      <c r="AV722" s="227"/>
      <c r="AW722" s="227"/>
      <c r="AX722" s="227"/>
      <c r="AY722" s="227"/>
      <c r="AZ722" s="227"/>
      <c r="BA722" s="227"/>
      <c r="BB722" s="227"/>
      <c r="BC722" s="227"/>
      <c r="BD722" s="227"/>
      <c r="BE722" s="227"/>
      <c r="BF722" s="227"/>
      <c r="BG722" s="227"/>
      <c r="BH722" s="227"/>
      <c r="BI722" s="227"/>
    </row>
    <row r="723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7"/>
      <c r="AR723" s="227"/>
      <c r="AS723" s="227"/>
      <c r="AT723" s="227"/>
      <c r="AU723" s="227"/>
      <c r="AV723" s="227"/>
      <c r="AW723" s="227"/>
      <c r="AX723" s="227"/>
      <c r="AY723" s="227"/>
      <c r="AZ723" s="227"/>
      <c r="BA723" s="227"/>
      <c r="BB723" s="227"/>
      <c r="BC723" s="227"/>
      <c r="BD723" s="227"/>
      <c r="BE723" s="227"/>
      <c r="BF723" s="227"/>
      <c r="BG723" s="227"/>
      <c r="BH723" s="227"/>
      <c r="BI723" s="227"/>
    </row>
    <row r="724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  <c r="AE724" s="227"/>
      <c r="AF724" s="227"/>
      <c r="AG724" s="227"/>
      <c r="AH724" s="227"/>
      <c r="AI724" s="227"/>
      <c r="AJ724" s="227"/>
      <c r="AK724" s="227"/>
      <c r="AL724" s="227"/>
      <c r="AM724" s="227"/>
      <c r="AN724" s="227"/>
      <c r="AO724" s="227"/>
      <c r="AP724" s="227"/>
      <c r="AQ724" s="227"/>
      <c r="AR724" s="227"/>
      <c r="AS724" s="227"/>
      <c r="AT724" s="227"/>
      <c r="AU724" s="227"/>
      <c r="AV724" s="227"/>
      <c r="AW724" s="227"/>
      <c r="AX724" s="227"/>
      <c r="AY724" s="227"/>
      <c r="AZ724" s="227"/>
      <c r="BA724" s="227"/>
      <c r="BB724" s="227"/>
      <c r="BC724" s="227"/>
      <c r="BD724" s="227"/>
      <c r="BE724" s="227"/>
      <c r="BF724" s="227"/>
      <c r="BG724" s="227"/>
      <c r="BH724" s="227"/>
      <c r="BI724" s="227"/>
    </row>
    <row r="725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7"/>
      <c r="AR725" s="227"/>
      <c r="AS725" s="227"/>
      <c r="AT725" s="227"/>
      <c r="AU725" s="227"/>
      <c r="AV725" s="227"/>
      <c r="AW725" s="227"/>
      <c r="AX725" s="227"/>
      <c r="AY725" s="227"/>
      <c r="AZ725" s="227"/>
      <c r="BA725" s="227"/>
      <c r="BB725" s="227"/>
      <c r="BC725" s="227"/>
      <c r="BD725" s="227"/>
      <c r="BE725" s="227"/>
      <c r="BF725" s="227"/>
      <c r="BG725" s="227"/>
      <c r="BH725" s="227"/>
      <c r="BI725" s="227"/>
    </row>
    <row r="7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  <c r="AE726" s="227"/>
      <c r="AF726" s="227"/>
      <c r="AG726" s="227"/>
      <c r="AH726" s="227"/>
      <c r="AI726" s="227"/>
      <c r="AJ726" s="227"/>
      <c r="AK726" s="227"/>
      <c r="AL726" s="227"/>
      <c r="AM726" s="227"/>
      <c r="AN726" s="227"/>
      <c r="AO726" s="227"/>
      <c r="AP726" s="227"/>
      <c r="AQ726" s="227"/>
      <c r="AR726" s="227"/>
      <c r="AS726" s="227"/>
      <c r="AT726" s="227"/>
      <c r="AU726" s="227"/>
      <c r="AV726" s="227"/>
      <c r="AW726" s="227"/>
      <c r="AX726" s="227"/>
      <c r="AY726" s="227"/>
      <c r="AZ726" s="227"/>
      <c r="BA726" s="227"/>
      <c r="BB726" s="227"/>
      <c r="BC726" s="227"/>
      <c r="BD726" s="227"/>
      <c r="BE726" s="227"/>
      <c r="BF726" s="227"/>
      <c r="BG726" s="227"/>
      <c r="BH726" s="227"/>
      <c r="BI726" s="227"/>
    </row>
    <row r="727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7"/>
      <c r="AR727" s="227"/>
      <c r="AS727" s="227"/>
      <c r="AT727" s="227"/>
      <c r="AU727" s="227"/>
      <c r="AV727" s="227"/>
      <c r="AW727" s="227"/>
      <c r="AX727" s="227"/>
      <c r="AY727" s="227"/>
      <c r="AZ727" s="227"/>
      <c r="BA727" s="227"/>
      <c r="BB727" s="227"/>
      <c r="BC727" s="227"/>
      <c r="BD727" s="227"/>
      <c r="BE727" s="227"/>
      <c r="BF727" s="227"/>
      <c r="BG727" s="227"/>
      <c r="BH727" s="227"/>
      <c r="BI727" s="227"/>
    </row>
    <row r="728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  <c r="AE728" s="227"/>
      <c r="AF728" s="227"/>
      <c r="AG728" s="227"/>
      <c r="AH728" s="227"/>
      <c r="AI728" s="227"/>
      <c r="AJ728" s="227"/>
      <c r="AK728" s="227"/>
      <c r="AL728" s="227"/>
      <c r="AM728" s="227"/>
      <c r="AN728" s="227"/>
      <c r="AO728" s="227"/>
      <c r="AP728" s="227"/>
      <c r="AQ728" s="227"/>
      <c r="AR728" s="227"/>
      <c r="AS728" s="227"/>
      <c r="AT728" s="227"/>
      <c r="AU728" s="227"/>
      <c r="AV728" s="227"/>
      <c r="AW728" s="227"/>
      <c r="AX728" s="227"/>
      <c r="AY728" s="227"/>
      <c r="AZ728" s="227"/>
      <c r="BA728" s="227"/>
      <c r="BB728" s="227"/>
      <c r="BC728" s="227"/>
      <c r="BD728" s="227"/>
      <c r="BE728" s="227"/>
      <c r="BF728" s="227"/>
      <c r="BG728" s="227"/>
      <c r="BH728" s="227"/>
      <c r="BI728" s="227"/>
    </row>
    <row r="729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7"/>
      <c r="AR729" s="227"/>
      <c r="AS729" s="227"/>
      <c r="AT729" s="227"/>
      <c r="AU729" s="227"/>
      <c r="AV729" s="227"/>
      <c r="AW729" s="227"/>
      <c r="AX729" s="227"/>
      <c r="AY729" s="227"/>
      <c r="AZ729" s="227"/>
      <c r="BA729" s="227"/>
      <c r="BB729" s="227"/>
      <c r="BC729" s="227"/>
      <c r="BD729" s="227"/>
      <c r="BE729" s="227"/>
      <c r="BF729" s="227"/>
      <c r="BG729" s="227"/>
      <c r="BH729" s="227"/>
      <c r="BI729" s="227"/>
    </row>
    <row r="730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  <c r="AE730" s="227"/>
      <c r="AF730" s="227"/>
      <c r="AG730" s="227"/>
      <c r="AH730" s="227"/>
      <c r="AI730" s="227"/>
      <c r="AJ730" s="227"/>
      <c r="AK730" s="227"/>
      <c r="AL730" s="227"/>
      <c r="AM730" s="227"/>
      <c r="AN730" s="227"/>
      <c r="AO730" s="227"/>
      <c r="AP730" s="227"/>
      <c r="AQ730" s="227"/>
      <c r="AR730" s="227"/>
      <c r="AS730" s="227"/>
      <c r="AT730" s="227"/>
      <c r="AU730" s="227"/>
      <c r="AV730" s="227"/>
      <c r="AW730" s="227"/>
      <c r="AX730" s="227"/>
      <c r="AY730" s="227"/>
      <c r="AZ730" s="227"/>
      <c r="BA730" s="227"/>
      <c r="BB730" s="227"/>
      <c r="BC730" s="227"/>
      <c r="BD730" s="227"/>
      <c r="BE730" s="227"/>
      <c r="BF730" s="227"/>
      <c r="BG730" s="227"/>
      <c r="BH730" s="227"/>
      <c r="BI730" s="227"/>
    </row>
    <row r="73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7"/>
      <c r="AR731" s="227"/>
      <c r="AS731" s="227"/>
      <c r="AT731" s="227"/>
      <c r="AU731" s="227"/>
      <c r="AV731" s="227"/>
      <c r="AW731" s="227"/>
      <c r="AX731" s="227"/>
      <c r="AY731" s="227"/>
      <c r="AZ731" s="227"/>
      <c r="BA731" s="227"/>
      <c r="BB731" s="227"/>
      <c r="BC731" s="227"/>
      <c r="BD731" s="227"/>
      <c r="BE731" s="227"/>
      <c r="BF731" s="227"/>
      <c r="BG731" s="227"/>
      <c r="BH731" s="227"/>
      <c r="BI731" s="227"/>
    </row>
    <row r="732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  <c r="AE732" s="227"/>
      <c r="AF732" s="227"/>
      <c r="AG732" s="227"/>
      <c r="AH732" s="227"/>
      <c r="AI732" s="227"/>
      <c r="AJ732" s="227"/>
      <c r="AK732" s="227"/>
      <c r="AL732" s="227"/>
      <c r="AM732" s="227"/>
      <c r="AN732" s="227"/>
      <c r="AO732" s="227"/>
      <c r="AP732" s="227"/>
      <c r="AQ732" s="227"/>
      <c r="AR732" s="227"/>
      <c r="AS732" s="227"/>
      <c r="AT732" s="227"/>
      <c r="AU732" s="227"/>
      <c r="AV732" s="227"/>
      <c r="AW732" s="227"/>
      <c r="AX732" s="227"/>
      <c r="AY732" s="227"/>
      <c r="AZ732" s="227"/>
      <c r="BA732" s="227"/>
      <c r="BB732" s="227"/>
      <c r="BC732" s="227"/>
      <c r="BD732" s="227"/>
      <c r="BE732" s="227"/>
      <c r="BF732" s="227"/>
      <c r="BG732" s="227"/>
      <c r="BH732" s="227"/>
      <c r="BI732" s="227"/>
    </row>
    <row r="733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7"/>
      <c r="AR733" s="227"/>
      <c r="AS733" s="227"/>
      <c r="AT733" s="227"/>
      <c r="AU733" s="227"/>
      <c r="AV733" s="227"/>
      <c r="AW733" s="227"/>
      <c r="AX733" s="227"/>
      <c r="AY733" s="227"/>
      <c r="AZ733" s="227"/>
      <c r="BA733" s="227"/>
      <c r="BB733" s="227"/>
      <c r="BC733" s="227"/>
      <c r="BD733" s="227"/>
      <c r="BE733" s="227"/>
      <c r="BF733" s="227"/>
      <c r="BG733" s="227"/>
      <c r="BH733" s="227"/>
      <c r="BI733" s="227"/>
    </row>
    <row r="734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  <c r="AE734" s="227"/>
      <c r="AF734" s="227"/>
      <c r="AG734" s="227"/>
      <c r="AH734" s="227"/>
      <c r="AI734" s="227"/>
      <c r="AJ734" s="227"/>
      <c r="AK734" s="227"/>
      <c r="AL734" s="227"/>
      <c r="AM734" s="227"/>
      <c r="AN734" s="227"/>
      <c r="AO734" s="227"/>
      <c r="AP734" s="227"/>
      <c r="AQ734" s="227"/>
      <c r="AR734" s="227"/>
      <c r="AS734" s="227"/>
      <c r="AT734" s="227"/>
      <c r="AU734" s="227"/>
      <c r="AV734" s="227"/>
      <c r="AW734" s="227"/>
      <c r="AX734" s="227"/>
      <c r="AY734" s="227"/>
      <c r="AZ734" s="227"/>
      <c r="BA734" s="227"/>
      <c r="BB734" s="227"/>
      <c r="BC734" s="227"/>
      <c r="BD734" s="227"/>
      <c r="BE734" s="227"/>
      <c r="BF734" s="227"/>
      <c r="BG734" s="227"/>
      <c r="BH734" s="227"/>
      <c r="BI734" s="227"/>
    </row>
    <row r="735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7"/>
      <c r="AR735" s="227"/>
      <c r="AS735" s="227"/>
      <c r="AT735" s="227"/>
      <c r="AU735" s="227"/>
      <c r="AV735" s="227"/>
      <c r="AW735" s="227"/>
      <c r="AX735" s="227"/>
      <c r="AY735" s="227"/>
      <c r="AZ735" s="227"/>
      <c r="BA735" s="227"/>
      <c r="BB735" s="227"/>
      <c r="BC735" s="227"/>
      <c r="BD735" s="227"/>
      <c r="BE735" s="227"/>
      <c r="BF735" s="227"/>
      <c r="BG735" s="227"/>
      <c r="BH735" s="227"/>
      <c r="BI735" s="227"/>
    </row>
    <row r="73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  <c r="AE736" s="227"/>
      <c r="AF736" s="227"/>
      <c r="AG736" s="227"/>
      <c r="AH736" s="227"/>
      <c r="AI736" s="227"/>
      <c r="AJ736" s="227"/>
      <c r="AK736" s="227"/>
      <c r="AL736" s="227"/>
      <c r="AM736" s="227"/>
      <c r="AN736" s="227"/>
      <c r="AO736" s="227"/>
      <c r="AP736" s="227"/>
      <c r="AQ736" s="227"/>
      <c r="AR736" s="227"/>
      <c r="AS736" s="227"/>
      <c r="AT736" s="227"/>
      <c r="AU736" s="227"/>
      <c r="AV736" s="227"/>
      <c r="AW736" s="227"/>
      <c r="AX736" s="227"/>
      <c r="AY736" s="227"/>
      <c r="AZ736" s="227"/>
      <c r="BA736" s="227"/>
      <c r="BB736" s="227"/>
      <c r="BC736" s="227"/>
      <c r="BD736" s="227"/>
      <c r="BE736" s="227"/>
      <c r="BF736" s="227"/>
      <c r="BG736" s="227"/>
      <c r="BH736" s="227"/>
      <c r="BI736" s="227"/>
    </row>
    <row r="737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7"/>
      <c r="AR737" s="227"/>
      <c r="AS737" s="227"/>
      <c r="AT737" s="227"/>
      <c r="AU737" s="227"/>
      <c r="AV737" s="227"/>
      <c r="AW737" s="227"/>
      <c r="AX737" s="227"/>
      <c r="AY737" s="227"/>
      <c r="AZ737" s="227"/>
      <c r="BA737" s="227"/>
      <c r="BB737" s="227"/>
      <c r="BC737" s="227"/>
      <c r="BD737" s="227"/>
      <c r="BE737" s="227"/>
      <c r="BF737" s="227"/>
      <c r="BG737" s="227"/>
      <c r="BH737" s="227"/>
      <c r="BI737" s="227"/>
    </row>
    <row r="738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  <c r="AE738" s="227"/>
      <c r="AF738" s="227"/>
      <c r="AG738" s="227"/>
      <c r="AH738" s="227"/>
      <c r="AI738" s="227"/>
      <c r="AJ738" s="227"/>
      <c r="AK738" s="227"/>
      <c r="AL738" s="227"/>
      <c r="AM738" s="227"/>
      <c r="AN738" s="227"/>
      <c r="AO738" s="227"/>
      <c r="AP738" s="227"/>
      <c r="AQ738" s="227"/>
      <c r="AR738" s="227"/>
      <c r="AS738" s="227"/>
      <c r="AT738" s="227"/>
      <c r="AU738" s="227"/>
      <c r="AV738" s="227"/>
      <c r="AW738" s="227"/>
      <c r="AX738" s="227"/>
      <c r="AY738" s="227"/>
      <c r="AZ738" s="227"/>
      <c r="BA738" s="227"/>
      <c r="BB738" s="227"/>
      <c r="BC738" s="227"/>
      <c r="BD738" s="227"/>
      <c r="BE738" s="227"/>
      <c r="BF738" s="227"/>
      <c r="BG738" s="227"/>
      <c r="BH738" s="227"/>
      <c r="BI738" s="227"/>
    </row>
    <row r="739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7"/>
      <c r="AR739" s="227"/>
      <c r="AS739" s="227"/>
      <c r="AT739" s="227"/>
      <c r="AU739" s="227"/>
      <c r="AV739" s="227"/>
      <c r="AW739" s="227"/>
      <c r="AX739" s="227"/>
      <c r="AY739" s="227"/>
      <c r="AZ739" s="227"/>
      <c r="BA739" s="227"/>
      <c r="BB739" s="227"/>
      <c r="BC739" s="227"/>
      <c r="BD739" s="227"/>
      <c r="BE739" s="227"/>
      <c r="BF739" s="227"/>
      <c r="BG739" s="227"/>
      <c r="BH739" s="227"/>
      <c r="BI739" s="227"/>
    </row>
    <row r="740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  <c r="AE740" s="227"/>
      <c r="AF740" s="227"/>
      <c r="AG740" s="227"/>
      <c r="AH740" s="227"/>
      <c r="AI740" s="227"/>
      <c r="AJ740" s="227"/>
      <c r="AK740" s="227"/>
      <c r="AL740" s="227"/>
      <c r="AM740" s="227"/>
      <c r="AN740" s="227"/>
      <c r="AO740" s="227"/>
      <c r="AP740" s="227"/>
      <c r="AQ740" s="227"/>
      <c r="AR740" s="227"/>
      <c r="AS740" s="227"/>
      <c r="AT740" s="227"/>
      <c r="AU740" s="227"/>
      <c r="AV740" s="227"/>
      <c r="AW740" s="227"/>
      <c r="AX740" s="227"/>
      <c r="AY740" s="227"/>
      <c r="AZ740" s="227"/>
      <c r="BA740" s="227"/>
      <c r="BB740" s="227"/>
      <c r="BC740" s="227"/>
      <c r="BD740" s="227"/>
      <c r="BE740" s="227"/>
      <c r="BF740" s="227"/>
      <c r="BG740" s="227"/>
      <c r="BH740" s="227"/>
      <c r="BI740" s="227"/>
    </row>
    <row r="74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7"/>
      <c r="AR741" s="227"/>
      <c r="AS741" s="227"/>
      <c r="AT741" s="227"/>
      <c r="AU741" s="227"/>
      <c r="AV741" s="227"/>
      <c r="AW741" s="227"/>
      <c r="AX741" s="227"/>
      <c r="AY741" s="227"/>
      <c r="AZ741" s="227"/>
      <c r="BA741" s="227"/>
      <c r="BB741" s="227"/>
      <c r="BC741" s="227"/>
      <c r="BD741" s="227"/>
      <c r="BE741" s="227"/>
      <c r="BF741" s="227"/>
      <c r="BG741" s="227"/>
      <c r="BH741" s="227"/>
      <c r="BI741" s="227"/>
    </row>
    <row r="742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  <c r="AE742" s="227"/>
      <c r="AF742" s="227"/>
      <c r="AG742" s="227"/>
      <c r="AH742" s="227"/>
      <c r="AI742" s="227"/>
      <c r="AJ742" s="227"/>
      <c r="AK742" s="227"/>
      <c r="AL742" s="227"/>
      <c r="AM742" s="227"/>
      <c r="AN742" s="227"/>
      <c r="AO742" s="227"/>
      <c r="AP742" s="227"/>
      <c r="AQ742" s="227"/>
      <c r="AR742" s="227"/>
      <c r="AS742" s="227"/>
      <c r="AT742" s="227"/>
      <c r="AU742" s="227"/>
      <c r="AV742" s="227"/>
      <c r="AW742" s="227"/>
      <c r="AX742" s="227"/>
      <c r="AY742" s="227"/>
      <c r="AZ742" s="227"/>
      <c r="BA742" s="227"/>
      <c r="BB742" s="227"/>
      <c r="BC742" s="227"/>
      <c r="BD742" s="227"/>
      <c r="BE742" s="227"/>
      <c r="BF742" s="227"/>
      <c r="BG742" s="227"/>
      <c r="BH742" s="227"/>
      <c r="BI742" s="227"/>
    </row>
    <row r="743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7"/>
      <c r="AR743" s="227"/>
      <c r="AS743" s="227"/>
      <c r="AT743" s="227"/>
      <c r="AU743" s="227"/>
      <c r="AV743" s="227"/>
      <c r="AW743" s="227"/>
      <c r="AX743" s="227"/>
      <c r="AY743" s="227"/>
      <c r="AZ743" s="227"/>
      <c r="BA743" s="227"/>
      <c r="BB743" s="227"/>
      <c r="BC743" s="227"/>
      <c r="BD743" s="227"/>
      <c r="BE743" s="227"/>
      <c r="BF743" s="227"/>
      <c r="BG743" s="227"/>
      <c r="BH743" s="227"/>
      <c r="BI743" s="227"/>
    </row>
    <row r="744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  <c r="AE744" s="227"/>
      <c r="AF744" s="227"/>
      <c r="AG744" s="227"/>
      <c r="AH744" s="227"/>
      <c r="AI744" s="227"/>
      <c r="AJ744" s="227"/>
      <c r="AK744" s="227"/>
      <c r="AL744" s="227"/>
      <c r="AM744" s="227"/>
      <c r="AN744" s="227"/>
      <c r="AO744" s="227"/>
      <c r="AP744" s="227"/>
      <c r="AQ744" s="227"/>
      <c r="AR744" s="227"/>
      <c r="AS744" s="227"/>
      <c r="AT744" s="227"/>
      <c r="AU744" s="227"/>
      <c r="AV744" s="227"/>
      <c r="AW744" s="227"/>
      <c r="AX744" s="227"/>
      <c r="AY744" s="227"/>
      <c r="AZ744" s="227"/>
      <c r="BA744" s="227"/>
      <c r="BB744" s="227"/>
      <c r="BC744" s="227"/>
      <c r="BD744" s="227"/>
      <c r="BE744" s="227"/>
      <c r="BF744" s="227"/>
      <c r="BG744" s="227"/>
      <c r="BH744" s="227"/>
      <c r="BI744" s="227"/>
    </row>
    <row r="745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7"/>
      <c r="AR745" s="227"/>
      <c r="AS745" s="227"/>
      <c r="AT745" s="227"/>
      <c r="AU745" s="227"/>
      <c r="AV745" s="227"/>
      <c r="AW745" s="227"/>
      <c r="AX745" s="227"/>
      <c r="AY745" s="227"/>
      <c r="AZ745" s="227"/>
      <c r="BA745" s="227"/>
      <c r="BB745" s="227"/>
      <c r="BC745" s="227"/>
      <c r="BD745" s="227"/>
      <c r="BE745" s="227"/>
      <c r="BF745" s="227"/>
      <c r="BG745" s="227"/>
      <c r="BH745" s="227"/>
      <c r="BI745" s="227"/>
    </row>
    <row r="74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  <c r="AE746" s="227"/>
      <c r="AF746" s="227"/>
      <c r="AG746" s="227"/>
      <c r="AH746" s="227"/>
      <c r="AI746" s="227"/>
      <c r="AJ746" s="227"/>
      <c r="AK746" s="227"/>
      <c r="AL746" s="227"/>
      <c r="AM746" s="227"/>
      <c r="AN746" s="227"/>
      <c r="AO746" s="227"/>
      <c r="AP746" s="227"/>
      <c r="AQ746" s="227"/>
      <c r="AR746" s="227"/>
      <c r="AS746" s="227"/>
      <c r="AT746" s="227"/>
      <c r="AU746" s="227"/>
      <c r="AV746" s="227"/>
      <c r="AW746" s="227"/>
      <c r="AX746" s="227"/>
      <c r="AY746" s="227"/>
      <c r="AZ746" s="227"/>
      <c r="BA746" s="227"/>
      <c r="BB746" s="227"/>
      <c r="BC746" s="227"/>
      <c r="BD746" s="227"/>
      <c r="BE746" s="227"/>
      <c r="BF746" s="227"/>
      <c r="BG746" s="227"/>
      <c r="BH746" s="227"/>
      <c r="BI746" s="227"/>
    </row>
    <row r="747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7"/>
      <c r="AR747" s="227"/>
      <c r="AS747" s="227"/>
      <c r="AT747" s="227"/>
      <c r="AU747" s="227"/>
      <c r="AV747" s="227"/>
      <c r="AW747" s="227"/>
      <c r="AX747" s="227"/>
      <c r="AY747" s="227"/>
      <c r="AZ747" s="227"/>
      <c r="BA747" s="227"/>
      <c r="BB747" s="227"/>
      <c r="BC747" s="227"/>
      <c r="BD747" s="227"/>
      <c r="BE747" s="227"/>
      <c r="BF747" s="227"/>
      <c r="BG747" s="227"/>
      <c r="BH747" s="227"/>
      <c r="BI747" s="227"/>
    </row>
    <row r="748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  <c r="AE748" s="227"/>
      <c r="AF748" s="227"/>
      <c r="AG748" s="227"/>
      <c r="AH748" s="227"/>
      <c r="AI748" s="227"/>
      <c r="AJ748" s="227"/>
      <c r="AK748" s="227"/>
      <c r="AL748" s="227"/>
      <c r="AM748" s="227"/>
      <c r="AN748" s="227"/>
      <c r="AO748" s="227"/>
      <c r="AP748" s="227"/>
      <c r="AQ748" s="227"/>
      <c r="AR748" s="227"/>
      <c r="AS748" s="227"/>
      <c r="AT748" s="227"/>
      <c r="AU748" s="227"/>
      <c r="AV748" s="227"/>
      <c r="AW748" s="227"/>
      <c r="AX748" s="227"/>
      <c r="AY748" s="227"/>
      <c r="AZ748" s="227"/>
      <c r="BA748" s="227"/>
      <c r="BB748" s="227"/>
      <c r="BC748" s="227"/>
      <c r="BD748" s="227"/>
      <c r="BE748" s="227"/>
      <c r="BF748" s="227"/>
      <c r="BG748" s="227"/>
      <c r="BH748" s="227"/>
      <c r="BI748" s="227"/>
    </row>
    <row r="749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7"/>
      <c r="AR749" s="227"/>
      <c r="AS749" s="227"/>
      <c r="AT749" s="227"/>
      <c r="AU749" s="227"/>
      <c r="AV749" s="227"/>
      <c r="AW749" s="227"/>
      <c r="AX749" s="227"/>
      <c r="AY749" s="227"/>
      <c r="AZ749" s="227"/>
      <c r="BA749" s="227"/>
      <c r="BB749" s="227"/>
      <c r="BC749" s="227"/>
      <c r="BD749" s="227"/>
      <c r="BE749" s="227"/>
      <c r="BF749" s="227"/>
      <c r="BG749" s="227"/>
      <c r="BH749" s="227"/>
      <c r="BI749" s="227"/>
    </row>
    <row r="750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  <c r="AE750" s="227"/>
      <c r="AF750" s="227"/>
      <c r="AG750" s="227"/>
      <c r="AH750" s="227"/>
      <c r="AI750" s="227"/>
      <c r="AJ750" s="227"/>
      <c r="AK750" s="227"/>
      <c r="AL750" s="227"/>
      <c r="AM750" s="227"/>
      <c r="AN750" s="227"/>
      <c r="AO750" s="227"/>
      <c r="AP750" s="227"/>
      <c r="AQ750" s="227"/>
      <c r="AR750" s="227"/>
      <c r="AS750" s="227"/>
      <c r="AT750" s="227"/>
      <c r="AU750" s="227"/>
      <c r="AV750" s="227"/>
      <c r="AW750" s="227"/>
      <c r="AX750" s="227"/>
      <c r="AY750" s="227"/>
      <c r="AZ750" s="227"/>
      <c r="BA750" s="227"/>
      <c r="BB750" s="227"/>
      <c r="BC750" s="227"/>
      <c r="BD750" s="227"/>
      <c r="BE750" s="227"/>
      <c r="BF750" s="227"/>
      <c r="BG750" s="227"/>
      <c r="BH750" s="227"/>
      <c r="BI750" s="227"/>
    </row>
    <row r="75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7"/>
      <c r="AR751" s="227"/>
      <c r="AS751" s="227"/>
      <c r="AT751" s="227"/>
      <c r="AU751" s="227"/>
      <c r="AV751" s="227"/>
      <c r="AW751" s="227"/>
      <c r="AX751" s="227"/>
      <c r="AY751" s="227"/>
      <c r="AZ751" s="227"/>
      <c r="BA751" s="227"/>
      <c r="BB751" s="227"/>
      <c r="BC751" s="227"/>
      <c r="BD751" s="227"/>
      <c r="BE751" s="227"/>
      <c r="BF751" s="227"/>
      <c r="BG751" s="227"/>
      <c r="BH751" s="227"/>
      <c r="BI751" s="227"/>
    </row>
    <row r="752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  <c r="AE752" s="227"/>
      <c r="AF752" s="227"/>
      <c r="AG752" s="227"/>
      <c r="AH752" s="227"/>
      <c r="AI752" s="227"/>
      <c r="AJ752" s="227"/>
      <c r="AK752" s="227"/>
      <c r="AL752" s="227"/>
      <c r="AM752" s="227"/>
      <c r="AN752" s="227"/>
      <c r="AO752" s="227"/>
      <c r="AP752" s="227"/>
      <c r="AQ752" s="227"/>
      <c r="AR752" s="227"/>
      <c r="AS752" s="227"/>
      <c r="AT752" s="227"/>
      <c r="AU752" s="227"/>
      <c r="AV752" s="227"/>
      <c r="AW752" s="227"/>
      <c r="AX752" s="227"/>
      <c r="AY752" s="227"/>
      <c r="AZ752" s="227"/>
      <c r="BA752" s="227"/>
      <c r="BB752" s="227"/>
      <c r="BC752" s="227"/>
      <c r="BD752" s="227"/>
      <c r="BE752" s="227"/>
      <c r="BF752" s="227"/>
      <c r="BG752" s="227"/>
      <c r="BH752" s="227"/>
      <c r="BI752" s="227"/>
    </row>
    <row r="753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7"/>
      <c r="AR753" s="227"/>
      <c r="AS753" s="227"/>
      <c r="AT753" s="227"/>
      <c r="AU753" s="227"/>
      <c r="AV753" s="227"/>
      <c r="AW753" s="227"/>
      <c r="AX753" s="227"/>
      <c r="AY753" s="227"/>
      <c r="AZ753" s="227"/>
      <c r="BA753" s="227"/>
      <c r="BB753" s="227"/>
      <c r="BC753" s="227"/>
      <c r="BD753" s="227"/>
      <c r="BE753" s="227"/>
      <c r="BF753" s="227"/>
      <c r="BG753" s="227"/>
      <c r="BH753" s="227"/>
      <c r="BI753" s="227"/>
    </row>
    <row r="754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  <c r="AE754" s="227"/>
      <c r="AF754" s="227"/>
      <c r="AG754" s="227"/>
      <c r="AH754" s="227"/>
      <c r="AI754" s="227"/>
      <c r="AJ754" s="227"/>
      <c r="AK754" s="227"/>
      <c r="AL754" s="227"/>
      <c r="AM754" s="227"/>
      <c r="AN754" s="227"/>
      <c r="AO754" s="227"/>
      <c r="AP754" s="227"/>
      <c r="AQ754" s="227"/>
      <c r="AR754" s="227"/>
      <c r="AS754" s="227"/>
      <c r="AT754" s="227"/>
      <c r="AU754" s="227"/>
      <c r="AV754" s="227"/>
      <c r="AW754" s="227"/>
      <c r="AX754" s="227"/>
      <c r="AY754" s="227"/>
      <c r="AZ754" s="227"/>
      <c r="BA754" s="227"/>
      <c r="BB754" s="227"/>
      <c r="BC754" s="227"/>
      <c r="BD754" s="227"/>
      <c r="BE754" s="227"/>
      <c r="BF754" s="227"/>
      <c r="BG754" s="227"/>
      <c r="BH754" s="227"/>
      <c r="BI754" s="227"/>
    </row>
    <row r="755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7"/>
      <c r="AR755" s="227"/>
      <c r="AS755" s="227"/>
      <c r="AT755" s="227"/>
      <c r="AU755" s="227"/>
      <c r="AV755" s="227"/>
      <c r="AW755" s="227"/>
      <c r="AX755" s="227"/>
      <c r="AY755" s="227"/>
      <c r="AZ755" s="227"/>
      <c r="BA755" s="227"/>
      <c r="BB755" s="227"/>
      <c r="BC755" s="227"/>
      <c r="BD755" s="227"/>
      <c r="BE755" s="227"/>
      <c r="BF755" s="227"/>
      <c r="BG755" s="227"/>
      <c r="BH755" s="227"/>
      <c r="BI755" s="227"/>
    </row>
    <row r="75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  <c r="AE756" s="227"/>
      <c r="AF756" s="227"/>
      <c r="AG756" s="227"/>
      <c r="AH756" s="227"/>
      <c r="AI756" s="227"/>
      <c r="AJ756" s="227"/>
      <c r="AK756" s="227"/>
      <c r="AL756" s="227"/>
      <c r="AM756" s="227"/>
      <c r="AN756" s="227"/>
      <c r="AO756" s="227"/>
      <c r="AP756" s="227"/>
      <c r="AQ756" s="227"/>
      <c r="AR756" s="227"/>
      <c r="AS756" s="227"/>
      <c r="AT756" s="227"/>
      <c r="AU756" s="227"/>
      <c r="AV756" s="227"/>
      <c r="AW756" s="227"/>
      <c r="AX756" s="227"/>
      <c r="AY756" s="227"/>
      <c r="AZ756" s="227"/>
      <c r="BA756" s="227"/>
      <c r="BB756" s="227"/>
      <c r="BC756" s="227"/>
      <c r="BD756" s="227"/>
      <c r="BE756" s="227"/>
      <c r="BF756" s="227"/>
      <c r="BG756" s="227"/>
      <c r="BH756" s="227"/>
      <c r="BI756" s="227"/>
    </row>
    <row r="757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7"/>
      <c r="AR757" s="227"/>
      <c r="AS757" s="227"/>
      <c r="AT757" s="227"/>
      <c r="AU757" s="227"/>
      <c r="AV757" s="227"/>
      <c r="AW757" s="227"/>
      <c r="AX757" s="227"/>
      <c r="AY757" s="227"/>
      <c r="AZ757" s="227"/>
      <c r="BA757" s="227"/>
      <c r="BB757" s="227"/>
      <c r="BC757" s="227"/>
      <c r="BD757" s="227"/>
      <c r="BE757" s="227"/>
      <c r="BF757" s="227"/>
      <c r="BG757" s="227"/>
      <c r="BH757" s="227"/>
      <c r="BI757" s="227"/>
    </row>
    <row r="758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  <c r="AE758" s="227"/>
      <c r="AF758" s="227"/>
      <c r="AG758" s="227"/>
      <c r="AH758" s="227"/>
      <c r="AI758" s="227"/>
      <c r="AJ758" s="227"/>
      <c r="AK758" s="227"/>
      <c r="AL758" s="227"/>
      <c r="AM758" s="227"/>
      <c r="AN758" s="227"/>
      <c r="AO758" s="227"/>
      <c r="AP758" s="227"/>
      <c r="AQ758" s="227"/>
      <c r="AR758" s="227"/>
      <c r="AS758" s="227"/>
      <c r="AT758" s="227"/>
      <c r="AU758" s="227"/>
      <c r="AV758" s="227"/>
      <c r="AW758" s="227"/>
      <c r="AX758" s="227"/>
      <c r="AY758" s="227"/>
      <c r="AZ758" s="227"/>
      <c r="BA758" s="227"/>
      <c r="BB758" s="227"/>
      <c r="BC758" s="227"/>
      <c r="BD758" s="227"/>
      <c r="BE758" s="227"/>
      <c r="BF758" s="227"/>
      <c r="BG758" s="227"/>
      <c r="BH758" s="227"/>
      <c r="BI758" s="227"/>
    </row>
    <row r="759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7"/>
      <c r="AR759" s="227"/>
      <c r="AS759" s="227"/>
      <c r="AT759" s="227"/>
      <c r="AU759" s="227"/>
      <c r="AV759" s="227"/>
      <c r="AW759" s="227"/>
      <c r="AX759" s="227"/>
      <c r="AY759" s="227"/>
      <c r="AZ759" s="227"/>
      <c r="BA759" s="227"/>
      <c r="BB759" s="227"/>
      <c r="BC759" s="227"/>
      <c r="BD759" s="227"/>
      <c r="BE759" s="227"/>
      <c r="BF759" s="227"/>
      <c r="BG759" s="227"/>
      <c r="BH759" s="227"/>
      <c r="BI759" s="227"/>
    </row>
    <row r="760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  <c r="AE760" s="227"/>
      <c r="AF760" s="227"/>
      <c r="AG760" s="227"/>
      <c r="AH760" s="227"/>
      <c r="AI760" s="227"/>
      <c r="AJ760" s="227"/>
      <c r="AK760" s="227"/>
      <c r="AL760" s="227"/>
      <c r="AM760" s="227"/>
      <c r="AN760" s="227"/>
      <c r="AO760" s="227"/>
      <c r="AP760" s="227"/>
      <c r="AQ760" s="227"/>
      <c r="AR760" s="227"/>
      <c r="AS760" s="227"/>
      <c r="AT760" s="227"/>
      <c r="AU760" s="227"/>
      <c r="AV760" s="227"/>
      <c r="AW760" s="227"/>
      <c r="AX760" s="227"/>
      <c r="AY760" s="227"/>
      <c r="AZ760" s="227"/>
      <c r="BA760" s="227"/>
      <c r="BB760" s="227"/>
      <c r="BC760" s="227"/>
      <c r="BD760" s="227"/>
      <c r="BE760" s="227"/>
      <c r="BF760" s="227"/>
      <c r="BG760" s="227"/>
      <c r="BH760" s="227"/>
      <c r="BI760" s="227"/>
    </row>
    <row r="76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7"/>
      <c r="AR761" s="227"/>
      <c r="AS761" s="227"/>
      <c r="AT761" s="227"/>
      <c r="AU761" s="227"/>
      <c r="AV761" s="227"/>
      <c r="AW761" s="227"/>
      <c r="AX761" s="227"/>
      <c r="AY761" s="227"/>
      <c r="AZ761" s="227"/>
      <c r="BA761" s="227"/>
      <c r="BB761" s="227"/>
      <c r="BC761" s="227"/>
      <c r="BD761" s="227"/>
      <c r="BE761" s="227"/>
      <c r="BF761" s="227"/>
      <c r="BG761" s="227"/>
      <c r="BH761" s="227"/>
      <c r="BI761" s="227"/>
    </row>
    <row r="762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  <c r="AE762" s="227"/>
      <c r="AF762" s="227"/>
      <c r="AG762" s="227"/>
      <c r="AH762" s="227"/>
      <c r="AI762" s="227"/>
      <c r="AJ762" s="227"/>
      <c r="AK762" s="227"/>
      <c r="AL762" s="227"/>
      <c r="AM762" s="227"/>
      <c r="AN762" s="227"/>
      <c r="AO762" s="227"/>
      <c r="AP762" s="227"/>
      <c r="AQ762" s="227"/>
      <c r="AR762" s="227"/>
      <c r="AS762" s="227"/>
      <c r="AT762" s="227"/>
      <c r="AU762" s="227"/>
      <c r="AV762" s="227"/>
      <c r="AW762" s="227"/>
      <c r="AX762" s="227"/>
      <c r="AY762" s="227"/>
      <c r="AZ762" s="227"/>
      <c r="BA762" s="227"/>
      <c r="BB762" s="227"/>
      <c r="BC762" s="227"/>
      <c r="BD762" s="227"/>
      <c r="BE762" s="227"/>
      <c r="BF762" s="227"/>
      <c r="BG762" s="227"/>
      <c r="BH762" s="227"/>
      <c r="BI762" s="227"/>
    </row>
    <row r="763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7"/>
      <c r="AR763" s="227"/>
      <c r="AS763" s="227"/>
      <c r="AT763" s="227"/>
      <c r="AU763" s="227"/>
      <c r="AV763" s="227"/>
      <c r="AW763" s="227"/>
      <c r="AX763" s="227"/>
      <c r="AY763" s="227"/>
      <c r="AZ763" s="227"/>
      <c r="BA763" s="227"/>
      <c r="BB763" s="227"/>
      <c r="BC763" s="227"/>
      <c r="BD763" s="227"/>
      <c r="BE763" s="227"/>
      <c r="BF763" s="227"/>
      <c r="BG763" s="227"/>
      <c r="BH763" s="227"/>
      <c r="BI763" s="227"/>
    </row>
    <row r="764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  <c r="AE764" s="227"/>
      <c r="AF764" s="227"/>
      <c r="AG764" s="227"/>
      <c r="AH764" s="227"/>
      <c r="AI764" s="227"/>
      <c r="AJ764" s="227"/>
      <c r="AK764" s="227"/>
      <c r="AL764" s="227"/>
      <c r="AM764" s="227"/>
      <c r="AN764" s="227"/>
      <c r="AO764" s="227"/>
      <c r="AP764" s="227"/>
      <c r="AQ764" s="227"/>
      <c r="AR764" s="227"/>
      <c r="AS764" s="227"/>
      <c r="AT764" s="227"/>
      <c r="AU764" s="227"/>
      <c r="AV764" s="227"/>
      <c r="AW764" s="227"/>
      <c r="AX764" s="227"/>
      <c r="AY764" s="227"/>
      <c r="AZ764" s="227"/>
      <c r="BA764" s="227"/>
      <c r="BB764" s="227"/>
      <c r="BC764" s="227"/>
      <c r="BD764" s="227"/>
      <c r="BE764" s="227"/>
      <c r="BF764" s="227"/>
      <c r="BG764" s="227"/>
      <c r="BH764" s="227"/>
      <c r="BI764" s="227"/>
    </row>
    <row r="765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7"/>
      <c r="AR765" s="227"/>
      <c r="AS765" s="227"/>
      <c r="AT765" s="227"/>
      <c r="AU765" s="227"/>
      <c r="AV765" s="227"/>
      <c r="AW765" s="227"/>
      <c r="AX765" s="227"/>
      <c r="AY765" s="227"/>
      <c r="AZ765" s="227"/>
      <c r="BA765" s="227"/>
      <c r="BB765" s="227"/>
      <c r="BC765" s="227"/>
      <c r="BD765" s="227"/>
      <c r="BE765" s="227"/>
      <c r="BF765" s="227"/>
      <c r="BG765" s="227"/>
      <c r="BH765" s="227"/>
      <c r="BI765" s="227"/>
    </row>
    <row r="76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  <c r="AE766" s="227"/>
      <c r="AF766" s="227"/>
      <c r="AG766" s="227"/>
      <c r="AH766" s="227"/>
      <c r="AI766" s="227"/>
      <c r="AJ766" s="227"/>
      <c r="AK766" s="227"/>
      <c r="AL766" s="227"/>
      <c r="AM766" s="227"/>
      <c r="AN766" s="227"/>
      <c r="AO766" s="227"/>
      <c r="AP766" s="227"/>
      <c r="AQ766" s="227"/>
      <c r="AR766" s="227"/>
      <c r="AS766" s="227"/>
      <c r="AT766" s="227"/>
      <c r="AU766" s="227"/>
      <c r="AV766" s="227"/>
      <c r="AW766" s="227"/>
      <c r="AX766" s="227"/>
      <c r="AY766" s="227"/>
      <c r="AZ766" s="227"/>
      <c r="BA766" s="227"/>
      <c r="BB766" s="227"/>
      <c r="BC766" s="227"/>
      <c r="BD766" s="227"/>
      <c r="BE766" s="227"/>
      <c r="BF766" s="227"/>
      <c r="BG766" s="227"/>
      <c r="BH766" s="227"/>
      <c r="BI766" s="227"/>
    </row>
    <row r="767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7"/>
      <c r="AR767" s="227"/>
      <c r="AS767" s="227"/>
      <c r="AT767" s="227"/>
      <c r="AU767" s="227"/>
      <c r="AV767" s="227"/>
      <c r="AW767" s="227"/>
      <c r="AX767" s="227"/>
      <c r="AY767" s="227"/>
      <c r="AZ767" s="227"/>
      <c r="BA767" s="227"/>
      <c r="BB767" s="227"/>
      <c r="BC767" s="227"/>
      <c r="BD767" s="227"/>
      <c r="BE767" s="227"/>
      <c r="BF767" s="227"/>
      <c r="BG767" s="227"/>
      <c r="BH767" s="227"/>
      <c r="BI767" s="227"/>
    </row>
    <row r="768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  <c r="AE768" s="227"/>
      <c r="AF768" s="227"/>
      <c r="AG768" s="227"/>
      <c r="AH768" s="227"/>
      <c r="AI768" s="227"/>
      <c r="AJ768" s="227"/>
      <c r="AK768" s="227"/>
      <c r="AL768" s="227"/>
      <c r="AM768" s="227"/>
      <c r="AN768" s="227"/>
      <c r="AO768" s="227"/>
      <c r="AP768" s="227"/>
      <c r="AQ768" s="227"/>
      <c r="AR768" s="227"/>
      <c r="AS768" s="227"/>
      <c r="AT768" s="227"/>
      <c r="AU768" s="227"/>
      <c r="AV768" s="227"/>
      <c r="AW768" s="227"/>
      <c r="AX768" s="227"/>
      <c r="AY768" s="227"/>
      <c r="AZ768" s="227"/>
      <c r="BA768" s="227"/>
      <c r="BB768" s="227"/>
      <c r="BC768" s="227"/>
      <c r="BD768" s="227"/>
      <c r="BE768" s="227"/>
      <c r="BF768" s="227"/>
      <c r="BG768" s="227"/>
      <c r="BH768" s="227"/>
      <c r="BI768" s="227"/>
    </row>
    <row r="769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  <c r="AB769" s="227"/>
      <c r="AC769" s="227"/>
      <c r="AD769" s="227"/>
      <c r="AE769" s="227"/>
      <c r="AF769" s="227"/>
      <c r="AG769" s="227"/>
      <c r="AH769" s="227"/>
      <c r="AI769" s="227"/>
      <c r="AJ769" s="227"/>
      <c r="AK769" s="227"/>
      <c r="AL769" s="227"/>
      <c r="AM769" s="227"/>
      <c r="AN769" s="227"/>
      <c r="AO769" s="227"/>
      <c r="AP769" s="227"/>
      <c r="AQ769" s="227"/>
      <c r="AR769" s="227"/>
      <c r="AS769" s="227"/>
      <c r="AT769" s="227"/>
      <c r="AU769" s="227"/>
      <c r="AV769" s="227"/>
      <c r="AW769" s="227"/>
      <c r="AX769" s="227"/>
      <c r="AY769" s="227"/>
      <c r="AZ769" s="227"/>
      <c r="BA769" s="227"/>
      <c r="BB769" s="227"/>
      <c r="BC769" s="227"/>
      <c r="BD769" s="227"/>
      <c r="BE769" s="227"/>
      <c r="BF769" s="227"/>
      <c r="BG769" s="227"/>
      <c r="BH769" s="227"/>
      <c r="BI769" s="227"/>
    </row>
    <row r="770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  <c r="AB770" s="227"/>
      <c r="AC770" s="227"/>
      <c r="AD770" s="227"/>
      <c r="AE770" s="227"/>
      <c r="AF770" s="227"/>
      <c r="AG770" s="227"/>
      <c r="AH770" s="227"/>
      <c r="AI770" s="227"/>
      <c r="AJ770" s="227"/>
      <c r="AK770" s="227"/>
      <c r="AL770" s="227"/>
      <c r="AM770" s="227"/>
      <c r="AN770" s="227"/>
      <c r="AO770" s="227"/>
      <c r="AP770" s="227"/>
      <c r="AQ770" s="227"/>
      <c r="AR770" s="227"/>
      <c r="AS770" s="227"/>
      <c r="AT770" s="227"/>
      <c r="AU770" s="227"/>
      <c r="AV770" s="227"/>
      <c r="AW770" s="227"/>
      <c r="AX770" s="227"/>
      <c r="AY770" s="227"/>
      <c r="AZ770" s="227"/>
      <c r="BA770" s="227"/>
      <c r="BB770" s="227"/>
      <c r="BC770" s="227"/>
      <c r="BD770" s="227"/>
      <c r="BE770" s="227"/>
      <c r="BF770" s="227"/>
      <c r="BG770" s="227"/>
      <c r="BH770" s="227"/>
      <c r="BI770" s="227"/>
    </row>
    <row r="77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  <c r="AB771" s="227"/>
      <c r="AC771" s="227"/>
      <c r="AD771" s="227"/>
      <c r="AE771" s="227"/>
      <c r="AF771" s="227"/>
      <c r="AG771" s="227"/>
      <c r="AH771" s="227"/>
      <c r="AI771" s="227"/>
      <c r="AJ771" s="227"/>
      <c r="AK771" s="227"/>
      <c r="AL771" s="227"/>
      <c r="AM771" s="227"/>
      <c r="AN771" s="227"/>
      <c r="AO771" s="227"/>
      <c r="AP771" s="227"/>
      <c r="AQ771" s="227"/>
      <c r="AR771" s="227"/>
      <c r="AS771" s="227"/>
      <c r="AT771" s="227"/>
      <c r="AU771" s="227"/>
      <c r="AV771" s="227"/>
      <c r="AW771" s="227"/>
      <c r="AX771" s="227"/>
      <c r="AY771" s="227"/>
      <c r="AZ771" s="227"/>
      <c r="BA771" s="227"/>
      <c r="BB771" s="227"/>
      <c r="BC771" s="227"/>
      <c r="BD771" s="227"/>
      <c r="BE771" s="227"/>
      <c r="BF771" s="227"/>
      <c r="BG771" s="227"/>
      <c r="BH771" s="227"/>
      <c r="BI771" s="227"/>
    </row>
    <row r="772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  <c r="AB772" s="227"/>
      <c r="AC772" s="227"/>
      <c r="AD772" s="227"/>
      <c r="AE772" s="227"/>
      <c r="AF772" s="227"/>
      <c r="AG772" s="227"/>
      <c r="AH772" s="227"/>
      <c r="AI772" s="227"/>
      <c r="AJ772" s="227"/>
      <c r="AK772" s="227"/>
      <c r="AL772" s="227"/>
      <c r="AM772" s="227"/>
      <c r="AN772" s="227"/>
      <c r="AO772" s="227"/>
      <c r="AP772" s="227"/>
      <c r="AQ772" s="227"/>
      <c r="AR772" s="227"/>
      <c r="AS772" s="227"/>
      <c r="AT772" s="227"/>
      <c r="AU772" s="227"/>
      <c r="AV772" s="227"/>
      <c r="AW772" s="227"/>
      <c r="AX772" s="227"/>
      <c r="AY772" s="227"/>
      <c r="AZ772" s="227"/>
      <c r="BA772" s="227"/>
      <c r="BB772" s="227"/>
      <c r="BC772" s="227"/>
      <c r="BD772" s="227"/>
      <c r="BE772" s="227"/>
      <c r="BF772" s="227"/>
      <c r="BG772" s="227"/>
      <c r="BH772" s="227"/>
      <c r="BI772" s="227"/>
    </row>
    <row r="773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  <c r="AB773" s="227"/>
      <c r="AC773" s="227"/>
      <c r="AD773" s="227"/>
      <c r="AE773" s="227"/>
      <c r="AF773" s="227"/>
      <c r="AG773" s="227"/>
      <c r="AH773" s="227"/>
      <c r="AI773" s="227"/>
      <c r="AJ773" s="227"/>
      <c r="AK773" s="227"/>
      <c r="AL773" s="227"/>
      <c r="AM773" s="227"/>
      <c r="AN773" s="227"/>
      <c r="AO773" s="227"/>
      <c r="AP773" s="227"/>
      <c r="AQ773" s="227"/>
      <c r="AR773" s="227"/>
      <c r="AS773" s="227"/>
      <c r="AT773" s="227"/>
      <c r="AU773" s="227"/>
      <c r="AV773" s="227"/>
      <c r="AW773" s="227"/>
      <c r="AX773" s="227"/>
      <c r="AY773" s="227"/>
      <c r="AZ773" s="227"/>
      <c r="BA773" s="227"/>
      <c r="BB773" s="227"/>
      <c r="BC773" s="227"/>
      <c r="BD773" s="227"/>
      <c r="BE773" s="227"/>
      <c r="BF773" s="227"/>
      <c r="BG773" s="227"/>
      <c r="BH773" s="227"/>
      <c r="BI773" s="227"/>
    </row>
    <row r="774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  <c r="AB774" s="227"/>
      <c r="AC774" s="227"/>
      <c r="AD774" s="227"/>
      <c r="AE774" s="227"/>
      <c r="AF774" s="227"/>
      <c r="AG774" s="227"/>
      <c r="AH774" s="227"/>
      <c r="AI774" s="227"/>
      <c r="AJ774" s="227"/>
      <c r="AK774" s="227"/>
      <c r="AL774" s="227"/>
      <c r="AM774" s="227"/>
      <c r="AN774" s="227"/>
      <c r="AO774" s="227"/>
      <c r="AP774" s="227"/>
      <c r="AQ774" s="227"/>
      <c r="AR774" s="227"/>
      <c r="AS774" s="227"/>
      <c r="AT774" s="227"/>
      <c r="AU774" s="227"/>
      <c r="AV774" s="227"/>
      <c r="AW774" s="227"/>
      <c r="AX774" s="227"/>
      <c r="AY774" s="227"/>
      <c r="AZ774" s="227"/>
      <c r="BA774" s="227"/>
      <c r="BB774" s="227"/>
      <c r="BC774" s="227"/>
      <c r="BD774" s="227"/>
      <c r="BE774" s="227"/>
      <c r="BF774" s="227"/>
      <c r="BG774" s="227"/>
      <c r="BH774" s="227"/>
      <c r="BI774" s="227"/>
    </row>
    <row r="775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  <c r="AB775" s="227"/>
      <c r="AC775" s="227"/>
      <c r="AD775" s="227"/>
      <c r="AE775" s="227"/>
      <c r="AF775" s="227"/>
      <c r="AG775" s="227"/>
      <c r="AH775" s="227"/>
      <c r="AI775" s="227"/>
      <c r="AJ775" s="227"/>
      <c r="AK775" s="227"/>
      <c r="AL775" s="227"/>
      <c r="AM775" s="227"/>
      <c r="AN775" s="227"/>
      <c r="AO775" s="227"/>
      <c r="AP775" s="227"/>
      <c r="AQ775" s="227"/>
      <c r="AR775" s="227"/>
      <c r="AS775" s="227"/>
      <c r="AT775" s="227"/>
      <c r="AU775" s="227"/>
      <c r="AV775" s="227"/>
      <c r="AW775" s="227"/>
      <c r="AX775" s="227"/>
      <c r="AY775" s="227"/>
      <c r="AZ775" s="227"/>
      <c r="BA775" s="227"/>
      <c r="BB775" s="227"/>
      <c r="BC775" s="227"/>
      <c r="BD775" s="227"/>
      <c r="BE775" s="227"/>
      <c r="BF775" s="227"/>
      <c r="BG775" s="227"/>
      <c r="BH775" s="227"/>
      <c r="BI775" s="227"/>
    </row>
    <row r="77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  <c r="AB776" s="227"/>
      <c r="AC776" s="227"/>
      <c r="AD776" s="227"/>
      <c r="AE776" s="227"/>
      <c r="AF776" s="227"/>
      <c r="AG776" s="227"/>
      <c r="AH776" s="227"/>
      <c r="AI776" s="227"/>
      <c r="AJ776" s="227"/>
      <c r="AK776" s="227"/>
      <c r="AL776" s="227"/>
      <c r="AM776" s="227"/>
      <c r="AN776" s="227"/>
      <c r="AO776" s="227"/>
      <c r="AP776" s="227"/>
      <c r="AQ776" s="227"/>
      <c r="AR776" s="227"/>
      <c r="AS776" s="227"/>
      <c r="AT776" s="227"/>
      <c r="AU776" s="227"/>
      <c r="AV776" s="227"/>
      <c r="AW776" s="227"/>
      <c r="AX776" s="227"/>
      <c r="AY776" s="227"/>
      <c r="AZ776" s="227"/>
      <c r="BA776" s="227"/>
      <c r="BB776" s="227"/>
      <c r="BC776" s="227"/>
      <c r="BD776" s="227"/>
      <c r="BE776" s="227"/>
      <c r="BF776" s="227"/>
      <c r="BG776" s="227"/>
      <c r="BH776" s="227"/>
      <c r="BI776" s="227"/>
    </row>
    <row r="777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  <c r="AB777" s="227"/>
      <c r="AC777" s="227"/>
      <c r="AD777" s="227"/>
      <c r="AE777" s="227"/>
      <c r="AF777" s="227"/>
      <c r="AG777" s="227"/>
      <c r="AH777" s="227"/>
      <c r="AI777" s="227"/>
      <c r="AJ777" s="227"/>
      <c r="AK777" s="227"/>
      <c r="AL777" s="227"/>
      <c r="AM777" s="227"/>
      <c r="AN777" s="227"/>
      <c r="AO777" s="227"/>
      <c r="AP777" s="227"/>
      <c r="AQ777" s="227"/>
      <c r="AR777" s="227"/>
      <c r="AS777" s="227"/>
      <c r="AT777" s="227"/>
      <c r="AU777" s="227"/>
      <c r="AV777" s="227"/>
      <c r="AW777" s="227"/>
      <c r="AX777" s="227"/>
      <c r="AY777" s="227"/>
      <c r="AZ777" s="227"/>
      <c r="BA777" s="227"/>
      <c r="BB777" s="227"/>
      <c r="BC777" s="227"/>
      <c r="BD777" s="227"/>
      <c r="BE777" s="227"/>
      <c r="BF777" s="227"/>
      <c r="BG777" s="227"/>
      <c r="BH777" s="227"/>
      <c r="BI777" s="227"/>
    </row>
    <row r="778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  <c r="AB778" s="227"/>
      <c r="AC778" s="227"/>
      <c r="AD778" s="227"/>
      <c r="AE778" s="227"/>
      <c r="AF778" s="227"/>
      <c r="AG778" s="227"/>
      <c r="AH778" s="227"/>
      <c r="AI778" s="227"/>
      <c r="AJ778" s="227"/>
      <c r="AK778" s="227"/>
      <c r="AL778" s="227"/>
      <c r="AM778" s="227"/>
      <c r="AN778" s="227"/>
      <c r="AO778" s="227"/>
      <c r="AP778" s="227"/>
      <c r="AQ778" s="227"/>
      <c r="AR778" s="227"/>
      <c r="AS778" s="227"/>
      <c r="AT778" s="227"/>
      <c r="AU778" s="227"/>
      <c r="AV778" s="227"/>
      <c r="AW778" s="227"/>
      <c r="AX778" s="227"/>
      <c r="AY778" s="227"/>
      <c r="AZ778" s="227"/>
      <c r="BA778" s="227"/>
      <c r="BB778" s="227"/>
      <c r="BC778" s="227"/>
      <c r="BD778" s="227"/>
      <c r="BE778" s="227"/>
      <c r="BF778" s="227"/>
      <c r="BG778" s="227"/>
      <c r="BH778" s="227"/>
      <c r="BI778" s="227"/>
    </row>
    <row r="779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  <c r="AB779" s="227"/>
      <c r="AC779" s="227"/>
      <c r="AD779" s="227"/>
      <c r="AE779" s="227"/>
      <c r="AF779" s="227"/>
      <c r="AG779" s="227"/>
      <c r="AH779" s="227"/>
      <c r="AI779" s="227"/>
      <c r="AJ779" s="227"/>
      <c r="AK779" s="227"/>
      <c r="AL779" s="227"/>
      <c r="AM779" s="227"/>
      <c r="AN779" s="227"/>
      <c r="AO779" s="227"/>
      <c r="AP779" s="227"/>
      <c r="AQ779" s="227"/>
      <c r="AR779" s="227"/>
      <c r="AS779" s="227"/>
      <c r="AT779" s="227"/>
      <c r="AU779" s="227"/>
      <c r="AV779" s="227"/>
      <c r="AW779" s="227"/>
      <c r="AX779" s="227"/>
      <c r="AY779" s="227"/>
      <c r="AZ779" s="227"/>
      <c r="BA779" s="227"/>
      <c r="BB779" s="227"/>
      <c r="BC779" s="227"/>
      <c r="BD779" s="227"/>
      <c r="BE779" s="227"/>
      <c r="BF779" s="227"/>
      <c r="BG779" s="227"/>
      <c r="BH779" s="227"/>
      <c r="BI779" s="227"/>
    </row>
    <row r="780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  <c r="AB780" s="227"/>
      <c r="AC780" s="227"/>
      <c r="AD780" s="227"/>
      <c r="AE780" s="227"/>
      <c r="AF780" s="227"/>
      <c r="AG780" s="227"/>
      <c r="AH780" s="227"/>
      <c r="AI780" s="227"/>
      <c r="AJ780" s="227"/>
      <c r="AK780" s="227"/>
      <c r="AL780" s="227"/>
      <c r="AM780" s="227"/>
      <c r="AN780" s="227"/>
      <c r="AO780" s="227"/>
      <c r="AP780" s="227"/>
      <c r="AQ780" s="227"/>
      <c r="AR780" s="227"/>
      <c r="AS780" s="227"/>
      <c r="AT780" s="227"/>
      <c r="AU780" s="227"/>
      <c r="AV780" s="227"/>
      <c r="AW780" s="227"/>
      <c r="AX780" s="227"/>
      <c r="AY780" s="227"/>
      <c r="AZ780" s="227"/>
      <c r="BA780" s="227"/>
      <c r="BB780" s="227"/>
      <c r="BC780" s="227"/>
      <c r="BD780" s="227"/>
      <c r="BE780" s="227"/>
      <c r="BF780" s="227"/>
      <c r="BG780" s="227"/>
      <c r="BH780" s="227"/>
      <c r="BI780" s="227"/>
    </row>
    <row r="78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  <c r="AB781" s="227"/>
      <c r="AC781" s="227"/>
      <c r="AD781" s="227"/>
      <c r="AE781" s="227"/>
      <c r="AF781" s="227"/>
      <c r="AG781" s="227"/>
      <c r="AH781" s="227"/>
      <c r="AI781" s="227"/>
      <c r="AJ781" s="227"/>
      <c r="AK781" s="227"/>
      <c r="AL781" s="227"/>
      <c r="AM781" s="227"/>
      <c r="AN781" s="227"/>
      <c r="AO781" s="227"/>
      <c r="AP781" s="227"/>
      <c r="AQ781" s="227"/>
      <c r="AR781" s="227"/>
      <c r="AS781" s="227"/>
      <c r="AT781" s="227"/>
      <c r="AU781" s="227"/>
      <c r="AV781" s="227"/>
      <c r="AW781" s="227"/>
      <c r="AX781" s="227"/>
      <c r="AY781" s="227"/>
      <c r="AZ781" s="227"/>
      <c r="BA781" s="227"/>
      <c r="BB781" s="227"/>
      <c r="BC781" s="227"/>
      <c r="BD781" s="227"/>
      <c r="BE781" s="227"/>
      <c r="BF781" s="227"/>
      <c r="BG781" s="227"/>
      <c r="BH781" s="227"/>
      <c r="BI781" s="227"/>
    </row>
    <row r="782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  <c r="AB782" s="227"/>
      <c r="AC782" s="227"/>
      <c r="AD782" s="227"/>
      <c r="AE782" s="227"/>
      <c r="AF782" s="227"/>
      <c r="AG782" s="227"/>
      <c r="AH782" s="227"/>
      <c r="AI782" s="227"/>
      <c r="AJ782" s="227"/>
      <c r="AK782" s="227"/>
      <c r="AL782" s="227"/>
      <c r="AM782" s="227"/>
      <c r="AN782" s="227"/>
      <c r="AO782" s="227"/>
      <c r="AP782" s="227"/>
      <c r="AQ782" s="227"/>
      <c r="AR782" s="227"/>
      <c r="AS782" s="227"/>
      <c r="AT782" s="227"/>
      <c r="AU782" s="227"/>
      <c r="AV782" s="227"/>
      <c r="AW782" s="227"/>
      <c r="AX782" s="227"/>
      <c r="AY782" s="227"/>
      <c r="AZ782" s="227"/>
      <c r="BA782" s="227"/>
      <c r="BB782" s="227"/>
      <c r="BC782" s="227"/>
      <c r="BD782" s="227"/>
      <c r="BE782" s="227"/>
      <c r="BF782" s="227"/>
      <c r="BG782" s="227"/>
      <c r="BH782" s="227"/>
      <c r="BI782" s="227"/>
    </row>
    <row r="783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  <c r="AB783" s="227"/>
      <c r="AC783" s="227"/>
      <c r="AD783" s="227"/>
      <c r="AE783" s="227"/>
      <c r="AF783" s="227"/>
      <c r="AG783" s="227"/>
      <c r="AH783" s="227"/>
      <c r="AI783" s="227"/>
      <c r="AJ783" s="227"/>
      <c r="AK783" s="227"/>
      <c r="AL783" s="227"/>
      <c r="AM783" s="227"/>
      <c r="AN783" s="227"/>
      <c r="AO783" s="227"/>
      <c r="AP783" s="227"/>
      <c r="AQ783" s="227"/>
      <c r="AR783" s="227"/>
      <c r="AS783" s="227"/>
      <c r="AT783" s="227"/>
      <c r="AU783" s="227"/>
      <c r="AV783" s="227"/>
      <c r="AW783" s="227"/>
      <c r="AX783" s="227"/>
      <c r="AY783" s="227"/>
      <c r="AZ783" s="227"/>
      <c r="BA783" s="227"/>
      <c r="BB783" s="227"/>
      <c r="BC783" s="227"/>
      <c r="BD783" s="227"/>
      <c r="BE783" s="227"/>
      <c r="BF783" s="227"/>
      <c r="BG783" s="227"/>
      <c r="BH783" s="227"/>
      <c r="BI783" s="227"/>
    </row>
    <row r="784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  <c r="AB784" s="227"/>
      <c r="AC784" s="227"/>
      <c r="AD784" s="227"/>
      <c r="AE784" s="227"/>
      <c r="AF784" s="227"/>
      <c r="AG784" s="227"/>
      <c r="AH784" s="227"/>
      <c r="AI784" s="227"/>
      <c r="AJ784" s="227"/>
      <c r="AK784" s="227"/>
      <c r="AL784" s="227"/>
      <c r="AM784" s="227"/>
      <c r="AN784" s="227"/>
      <c r="AO784" s="227"/>
      <c r="AP784" s="227"/>
      <c r="AQ784" s="227"/>
      <c r="AR784" s="227"/>
      <c r="AS784" s="227"/>
      <c r="AT784" s="227"/>
      <c r="AU784" s="227"/>
      <c r="AV784" s="227"/>
      <c r="AW784" s="227"/>
      <c r="AX784" s="227"/>
      <c r="AY784" s="227"/>
      <c r="AZ784" s="227"/>
      <c r="BA784" s="227"/>
      <c r="BB784" s="227"/>
      <c r="BC784" s="227"/>
      <c r="BD784" s="227"/>
      <c r="BE784" s="227"/>
      <c r="BF784" s="227"/>
      <c r="BG784" s="227"/>
      <c r="BH784" s="227"/>
      <c r="BI784" s="227"/>
    </row>
    <row r="785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  <c r="AB785" s="227"/>
      <c r="AC785" s="227"/>
      <c r="AD785" s="227"/>
      <c r="AE785" s="227"/>
      <c r="AF785" s="227"/>
      <c r="AG785" s="227"/>
      <c r="AH785" s="227"/>
      <c r="AI785" s="227"/>
      <c r="AJ785" s="227"/>
      <c r="AK785" s="227"/>
      <c r="AL785" s="227"/>
      <c r="AM785" s="227"/>
      <c r="AN785" s="227"/>
      <c r="AO785" s="227"/>
      <c r="AP785" s="227"/>
      <c r="AQ785" s="227"/>
      <c r="AR785" s="227"/>
      <c r="AS785" s="227"/>
      <c r="AT785" s="227"/>
      <c r="AU785" s="227"/>
      <c r="AV785" s="227"/>
      <c r="AW785" s="227"/>
      <c r="AX785" s="227"/>
      <c r="AY785" s="227"/>
      <c r="AZ785" s="227"/>
      <c r="BA785" s="227"/>
      <c r="BB785" s="227"/>
      <c r="BC785" s="227"/>
      <c r="BD785" s="227"/>
      <c r="BE785" s="227"/>
      <c r="BF785" s="227"/>
      <c r="BG785" s="227"/>
      <c r="BH785" s="227"/>
      <c r="BI785" s="227"/>
    </row>
    <row r="78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  <c r="AB786" s="227"/>
      <c r="AC786" s="227"/>
      <c r="AD786" s="227"/>
      <c r="AE786" s="227"/>
      <c r="AF786" s="227"/>
      <c r="AG786" s="227"/>
      <c r="AH786" s="227"/>
      <c r="AI786" s="227"/>
      <c r="AJ786" s="227"/>
      <c r="AK786" s="227"/>
      <c r="AL786" s="227"/>
      <c r="AM786" s="227"/>
      <c r="AN786" s="227"/>
      <c r="AO786" s="227"/>
      <c r="AP786" s="227"/>
      <c r="AQ786" s="227"/>
      <c r="AR786" s="227"/>
      <c r="AS786" s="227"/>
      <c r="AT786" s="227"/>
      <c r="AU786" s="227"/>
      <c r="AV786" s="227"/>
      <c r="AW786" s="227"/>
      <c r="AX786" s="227"/>
      <c r="AY786" s="227"/>
      <c r="AZ786" s="227"/>
      <c r="BA786" s="227"/>
      <c r="BB786" s="227"/>
      <c r="BC786" s="227"/>
      <c r="BD786" s="227"/>
      <c r="BE786" s="227"/>
      <c r="BF786" s="227"/>
      <c r="BG786" s="227"/>
      <c r="BH786" s="227"/>
      <c r="BI786" s="227"/>
    </row>
    <row r="787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  <c r="AB787" s="227"/>
      <c r="AC787" s="227"/>
      <c r="AD787" s="227"/>
      <c r="AE787" s="227"/>
      <c r="AF787" s="227"/>
      <c r="AG787" s="227"/>
      <c r="AH787" s="227"/>
      <c r="AI787" s="227"/>
      <c r="AJ787" s="227"/>
      <c r="AK787" s="227"/>
      <c r="AL787" s="227"/>
      <c r="AM787" s="227"/>
      <c r="AN787" s="227"/>
      <c r="AO787" s="227"/>
      <c r="AP787" s="227"/>
      <c r="AQ787" s="227"/>
      <c r="AR787" s="227"/>
      <c r="AS787" s="227"/>
      <c r="AT787" s="227"/>
      <c r="AU787" s="227"/>
      <c r="AV787" s="227"/>
      <c r="AW787" s="227"/>
      <c r="AX787" s="227"/>
      <c r="AY787" s="227"/>
      <c r="AZ787" s="227"/>
      <c r="BA787" s="227"/>
      <c r="BB787" s="227"/>
      <c r="BC787" s="227"/>
      <c r="BD787" s="227"/>
      <c r="BE787" s="227"/>
      <c r="BF787" s="227"/>
      <c r="BG787" s="227"/>
      <c r="BH787" s="227"/>
      <c r="BI787" s="227"/>
    </row>
    <row r="788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  <c r="AB788" s="227"/>
      <c r="AC788" s="227"/>
      <c r="AD788" s="227"/>
      <c r="AE788" s="227"/>
      <c r="AF788" s="227"/>
      <c r="AG788" s="227"/>
      <c r="AH788" s="227"/>
      <c r="AI788" s="227"/>
      <c r="AJ788" s="227"/>
      <c r="AK788" s="227"/>
      <c r="AL788" s="227"/>
      <c r="AM788" s="227"/>
      <c r="AN788" s="227"/>
      <c r="AO788" s="227"/>
      <c r="AP788" s="227"/>
      <c r="AQ788" s="227"/>
      <c r="AR788" s="227"/>
      <c r="AS788" s="227"/>
      <c r="AT788" s="227"/>
      <c r="AU788" s="227"/>
      <c r="AV788" s="227"/>
      <c r="AW788" s="227"/>
      <c r="AX788" s="227"/>
      <c r="AY788" s="227"/>
      <c r="AZ788" s="227"/>
      <c r="BA788" s="227"/>
      <c r="BB788" s="227"/>
      <c r="BC788" s="227"/>
      <c r="BD788" s="227"/>
      <c r="BE788" s="227"/>
      <c r="BF788" s="227"/>
      <c r="BG788" s="227"/>
      <c r="BH788" s="227"/>
      <c r="BI788" s="227"/>
    </row>
    <row r="789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  <c r="AB789" s="227"/>
      <c r="AC789" s="227"/>
      <c r="AD789" s="227"/>
      <c r="AE789" s="227"/>
      <c r="AF789" s="227"/>
      <c r="AG789" s="227"/>
      <c r="AH789" s="227"/>
      <c r="AI789" s="227"/>
      <c r="AJ789" s="227"/>
      <c r="AK789" s="227"/>
      <c r="AL789" s="227"/>
      <c r="AM789" s="227"/>
      <c r="AN789" s="227"/>
      <c r="AO789" s="227"/>
      <c r="AP789" s="227"/>
      <c r="AQ789" s="227"/>
      <c r="AR789" s="227"/>
      <c r="AS789" s="227"/>
      <c r="AT789" s="227"/>
      <c r="AU789" s="227"/>
      <c r="AV789" s="227"/>
      <c r="AW789" s="227"/>
      <c r="AX789" s="227"/>
      <c r="AY789" s="227"/>
      <c r="AZ789" s="227"/>
      <c r="BA789" s="227"/>
      <c r="BB789" s="227"/>
      <c r="BC789" s="227"/>
      <c r="BD789" s="227"/>
      <c r="BE789" s="227"/>
      <c r="BF789" s="227"/>
      <c r="BG789" s="227"/>
      <c r="BH789" s="227"/>
      <c r="BI789" s="227"/>
    </row>
    <row r="790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  <c r="AB790" s="227"/>
      <c r="AC790" s="227"/>
      <c r="AD790" s="227"/>
      <c r="AE790" s="227"/>
      <c r="AF790" s="227"/>
      <c r="AG790" s="227"/>
      <c r="AH790" s="227"/>
      <c r="AI790" s="227"/>
      <c r="AJ790" s="227"/>
      <c r="AK790" s="227"/>
      <c r="AL790" s="227"/>
      <c r="AM790" s="227"/>
      <c r="AN790" s="227"/>
      <c r="AO790" s="227"/>
      <c r="AP790" s="227"/>
      <c r="AQ790" s="227"/>
      <c r="AR790" s="227"/>
      <c r="AS790" s="227"/>
      <c r="AT790" s="227"/>
      <c r="AU790" s="227"/>
      <c r="AV790" s="227"/>
      <c r="AW790" s="227"/>
      <c r="AX790" s="227"/>
      <c r="AY790" s="227"/>
      <c r="AZ790" s="227"/>
      <c r="BA790" s="227"/>
      <c r="BB790" s="227"/>
      <c r="BC790" s="227"/>
      <c r="BD790" s="227"/>
      <c r="BE790" s="227"/>
      <c r="BF790" s="227"/>
      <c r="BG790" s="227"/>
      <c r="BH790" s="227"/>
      <c r="BI790" s="227"/>
    </row>
    <row r="79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  <c r="AB791" s="227"/>
      <c r="AC791" s="227"/>
      <c r="AD791" s="227"/>
      <c r="AE791" s="227"/>
      <c r="AF791" s="227"/>
      <c r="AG791" s="227"/>
      <c r="AH791" s="227"/>
      <c r="AI791" s="227"/>
      <c r="AJ791" s="227"/>
      <c r="AK791" s="227"/>
      <c r="AL791" s="227"/>
      <c r="AM791" s="227"/>
      <c r="AN791" s="227"/>
      <c r="AO791" s="227"/>
      <c r="AP791" s="227"/>
      <c r="AQ791" s="227"/>
      <c r="AR791" s="227"/>
      <c r="AS791" s="227"/>
      <c r="AT791" s="227"/>
      <c r="AU791" s="227"/>
      <c r="AV791" s="227"/>
      <c r="AW791" s="227"/>
      <c r="AX791" s="227"/>
      <c r="AY791" s="227"/>
      <c r="AZ791" s="227"/>
      <c r="BA791" s="227"/>
      <c r="BB791" s="227"/>
      <c r="BC791" s="227"/>
      <c r="BD791" s="227"/>
      <c r="BE791" s="227"/>
      <c r="BF791" s="227"/>
      <c r="BG791" s="227"/>
      <c r="BH791" s="227"/>
      <c r="BI791" s="227"/>
    </row>
    <row r="792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  <c r="AB792" s="227"/>
      <c r="AC792" s="227"/>
      <c r="AD792" s="227"/>
      <c r="AE792" s="227"/>
      <c r="AF792" s="227"/>
      <c r="AG792" s="227"/>
      <c r="AH792" s="227"/>
      <c r="AI792" s="227"/>
      <c r="AJ792" s="227"/>
      <c r="AK792" s="227"/>
      <c r="AL792" s="227"/>
      <c r="AM792" s="227"/>
      <c r="AN792" s="227"/>
      <c r="AO792" s="227"/>
      <c r="AP792" s="227"/>
      <c r="AQ792" s="227"/>
      <c r="AR792" s="227"/>
      <c r="AS792" s="227"/>
      <c r="AT792" s="227"/>
      <c r="AU792" s="227"/>
      <c r="AV792" s="227"/>
      <c r="AW792" s="227"/>
      <c r="AX792" s="227"/>
      <c r="AY792" s="227"/>
      <c r="AZ792" s="227"/>
      <c r="BA792" s="227"/>
      <c r="BB792" s="227"/>
      <c r="BC792" s="227"/>
      <c r="BD792" s="227"/>
      <c r="BE792" s="227"/>
      <c r="BF792" s="227"/>
      <c r="BG792" s="227"/>
      <c r="BH792" s="227"/>
      <c r="BI792" s="227"/>
    </row>
    <row r="793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  <c r="AB793" s="227"/>
      <c r="AC793" s="227"/>
      <c r="AD793" s="227"/>
      <c r="AE793" s="227"/>
      <c r="AF793" s="227"/>
      <c r="AG793" s="227"/>
      <c r="AH793" s="227"/>
      <c r="AI793" s="227"/>
      <c r="AJ793" s="227"/>
      <c r="AK793" s="227"/>
      <c r="AL793" s="227"/>
      <c r="AM793" s="227"/>
      <c r="AN793" s="227"/>
      <c r="AO793" s="227"/>
      <c r="AP793" s="227"/>
      <c r="AQ793" s="227"/>
      <c r="AR793" s="227"/>
      <c r="AS793" s="227"/>
      <c r="AT793" s="227"/>
      <c r="AU793" s="227"/>
      <c r="AV793" s="227"/>
      <c r="AW793" s="227"/>
      <c r="AX793" s="227"/>
      <c r="AY793" s="227"/>
      <c r="AZ793" s="227"/>
      <c r="BA793" s="227"/>
      <c r="BB793" s="227"/>
      <c r="BC793" s="227"/>
      <c r="BD793" s="227"/>
      <c r="BE793" s="227"/>
      <c r="BF793" s="227"/>
      <c r="BG793" s="227"/>
      <c r="BH793" s="227"/>
      <c r="BI793" s="227"/>
    </row>
    <row r="794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  <c r="AB794" s="227"/>
      <c r="AC794" s="227"/>
      <c r="AD794" s="227"/>
      <c r="AE794" s="227"/>
      <c r="AF794" s="227"/>
      <c r="AG794" s="227"/>
      <c r="AH794" s="227"/>
      <c r="AI794" s="227"/>
      <c r="AJ794" s="227"/>
      <c r="AK794" s="227"/>
      <c r="AL794" s="227"/>
      <c r="AM794" s="227"/>
      <c r="AN794" s="227"/>
      <c r="AO794" s="227"/>
      <c r="AP794" s="227"/>
      <c r="AQ794" s="227"/>
      <c r="AR794" s="227"/>
      <c r="AS794" s="227"/>
      <c r="AT794" s="227"/>
      <c r="AU794" s="227"/>
      <c r="AV794" s="227"/>
      <c r="AW794" s="227"/>
      <c r="AX794" s="227"/>
      <c r="AY794" s="227"/>
      <c r="AZ794" s="227"/>
      <c r="BA794" s="227"/>
      <c r="BB794" s="227"/>
      <c r="BC794" s="227"/>
      <c r="BD794" s="227"/>
      <c r="BE794" s="227"/>
      <c r="BF794" s="227"/>
      <c r="BG794" s="227"/>
      <c r="BH794" s="227"/>
      <c r="BI794" s="227"/>
    </row>
    <row r="795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  <c r="AB795" s="227"/>
      <c r="AC795" s="227"/>
      <c r="AD795" s="227"/>
      <c r="AE795" s="227"/>
      <c r="AF795" s="227"/>
      <c r="AG795" s="227"/>
      <c r="AH795" s="227"/>
      <c r="AI795" s="227"/>
      <c r="AJ795" s="227"/>
      <c r="AK795" s="227"/>
      <c r="AL795" s="227"/>
      <c r="AM795" s="227"/>
      <c r="AN795" s="227"/>
      <c r="AO795" s="227"/>
      <c r="AP795" s="227"/>
      <c r="AQ795" s="227"/>
      <c r="AR795" s="227"/>
      <c r="AS795" s="227"/>
      <c r="AT795" s="227"/>
      <c r="AU795" s="227"/>
      <c r="AV795" s="227"/>
      <c r="AW795" s="227"/>
      <c r="AX795" s="227"/>
      <c r="AY795" s="227"/>
      <c r="AZ795" s="227"/>
      <c r="BA795" s="227"/>
      <c r="BB795" s="227"/>
      <c r="BC795" s="227"/>
      <c r="BD795" s="227"/>
      <c r="BE795" s="227"/>
      <c r="BF795" s="227"/>
      <c r="BG795" s="227"/>
      <c r="BH795" s="227"/>
      <c r="BI795" s="227"/>
    </row>
    <row r="79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  <c r="AB796" s="227"/>
      <c r="AC796" s="227"/>
      <c r="AD796" s="227"/>
      <c r="AE796" s="227"/>
      <c r="AF796" s="227"/>
      <c r="AG796" s="227"/>
      <c r="AH796" s="227"/>
      <c r="AI796" s="227"/>
      <c r="AJ796" s="227"/>
      <c r="AK796" s="227"/>
      <c r="AL796" s="227"/>
      <c r="AM796" s="227"/>
      <c r="AN796" s="227"/>
      <c r="AO796" s="227"/>
      <c r="AP796" s="227"/>
      <c r="AQ796" s="227"/>
      <c r="AR796" s="227"/>
      <c r="AS796" s="227"/>
      <c r="AT796" s="227"/>
      <c r="AU796" s="227"/>
      <c r="AV796" s="227"/>
      <c r="AW796" s="227"/>
      <c r="AX796" s="227"/>
      <c r="AY796" s="227"/>
      <c r="AZ796" s="227"/>
      <c r="BA796" s="227"/>
      <c r="BB796" s="227"/>
      <c r="BC796" s="227"/>
      <c r="BD796" s="227"/>
      <c r="BE796" s="227"/>
      <c r="BF796" s="227"/>
      <c r="BG796" s="227"/>
      <c r="BH796" s="227"/>
      <c r="BI796" s="227"/>
    </row>
    <row r="797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  <c r="AB797" s="227"/>
      <c r="AC797" s="227"/>
      <c r="AD797" s="227"/>
      <c r="AE797" s="227"/>
      <c r="AF797" s="227"/>
      <c r="AG797" s="227"/>
      <c r="AH797" s="227"/>
      <c r="AI797" s="227"/>
      <c r="AJ797" s="227"/>
      <c r="AK797" s="227"/>
      <c r="AL797" s="227"/>
      <c r="AM797" s="227"/>
      <c r="AN797" s="227"/>
      <c r="AO797" s="227"/>
      <c r="AP797" s="227"/>
      <c r="AQ797" s="227"/>
      <c r="AR797" s="227"/>
      <c r="AS797" s="227"/>
      <c r="AT797" s="227"/>
      <c r="AU797" s="227"/>
      <c r="AV797" s="227"/>
      <c r="AW797" s="227"/>
      <c r="AX797" s="227"/>
      <c r="AY797" s="227"/>
      <c r="AZ797" s="227"/>
      <c r="BA797" s="227"/>
      <c r="BB797" s="227"/>
      <c r="BC797" s="227"/>
      <c r="BD797" s="227"/>
      <c r="BE797" s="227"/>
      <c r="BF797" s="227"/>
      <c r="BG797" s="227"/>
      <c r="BH797" s="227"/>
      <c r="BI797" s="227"/>
    </row>
    <row r="798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  <c r="AB798" s="227"/>
      <c r="AC798" s="227"/>
      <c r="AD798" s="227"/>
      <c r="AE798" s="227"/>
      <c r="AF798" s="227"/>
      <c r="AG798" s="227"/>
      <c r="AH798" s="227"/>
      <c r="AI798" s="227"/>
      <c r="AJ798" s="227"/>
      <c r="AK798" s="227"/>
      <c r="AL798" s="227"/>
      <c r="AM798" s="227"/>
      <c r="AN798" s="227"/>
      <c r="AO798" s="227"/>
      <c r="AP798" s="227"/>
      <c r="AQ798" s="227"/>
      <c r="AR798" s="227"/>
      <c r="AS798" s="227"/>
      <c r="AT798" s="227"/>
      <c r="AU798" s="227"/>
      <c r="AV798" s="227"/>
      <c r="AW798" s="227"/>
      <c r="AX798" s="227"/>
      <c r="AY798" s="227"/>
      <c r="AZ798" s="227"/>
      <c r="BA798" s="227"/>
      <c r="BB798" s="227"/>
      <c r="BC798" s="227"/>
      <c r="BD798" s="227"/>
      <c r="BE798" s="227"/>
      <c r="BF798" s="227"/>
      <c r="BG798" s="227"/>
      <c r="BH798" s="227"/>
      <c r="BI798" s="227"/>
    </row>
    <row r="799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  <c r="AB799" s="227"/>
      <c r="AC799" s="227"/>
      <c r="AD799" s="227"/>
      <c r="AE799" s="227"/>
      <c r="AF799" s="227"/>
      <c r="AG799" s="227"/>
      <c r="AH799" s="227"/>
      <c r="AI799" s="227"/>
      <c r="AJ799" s="227"/>
      <c r="AK799" s="227"/>
      <c r="AL799" s="227"/>
      <c r="AM799" s="227"/>
      <c r="AN799" s="227"/>
      <c r="AO799" s="227"/>
      <c r="AP799" s="227"/>
      <c r="AQ799" s="227"/>
      <c r="AR799" s="227"/>
      <c r="AS799" s="227"/>
      <c r="AT799" s="227"/>
      <c r="AU799" s="227"/>
      <c r="AV799" s="227"/>
      <c r="AW799" s="227"/>
      <c r="AX799" s="227"/>
      <c r="AY799" s="227"/>
      <c r="AZ799" s="227"/>
      <c r="BA799" s="227"/>
      <c r="BB799" s="227"/>
      <c r="BC799" s="227"/>
      <c r="BD799" s="227"/>
      <c r="BE799" s="227"/>
      <c r="BF799" s="227"/>
      <c r="BG799" s="227"/>
      <c r="BH799" s="227"/>
      <c r="BI799" s="227"/>
    </row>
    <row r="800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  <c r="AB800" s="227"/>
      <c r="AC800" s="227"/>
      <c r="AD800" s="227"/>
      <c r="AE800" s="227"/>
      <c r="AF800" s="227"/>
      <c r="AG800" s="227"/>
      <c r="AH800" s="227"/>
      <c r="AI800" s="227"/>
      <c r="AJ800" s="227"/>
      <c r="AK800" s="227"/>
      <c r="AL800" s="227"/>
      <c r="AM800" s="227"/>
      <c r="AN800" s="227"/>
      <c r="AO800" s="227"/>
      <c r="AP800" s="227"/>
      <c r="AQ800" s="227"/>
      <c r="AR800" s="227"/>
      <c r="AS800" s="227"/>
      <c r="AT800" s="227"/>
      <c r="AU800" s="227"/>
      <c r="AV800" s="227"/>
      <c r="AW800" s="227"/>
      <c r="AX800" s="227"/>
      <c r="AY800" s="227"/>
      <c r="AZ800" s="227"/>
      <c r="BA800" s="227"/>
      <c r="BB800" s="227"/>
      <c r="BC800" s="227"/>
      <c r="BD800" s="227"/>
      <c r="BE800" s="227"/>
      <c r="BF800" s="227"/>
      <c r="BG800" s="227"/>
      <c r="BH800" s="227"/>
      <c r="BI800" s="227"/>
    </row>
    <row r="80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  <c r="AB801" s="227"/>
      <c r="AC801" s="227"/>
      <c r="AD801" s="227"/>
      <c r="AE801" s="227"/>
      <c r="AF801" s="227"/>
      <c r="AG801" s="227"/>
      <c r="AH801" s="227"/>
      <c r="AI801" s="227"/>
      <c r="AJ801" s="227"/>
      <c r="AK801" s="227"/>
      <c r="AL801" s="227"/>
      <c r="AM801" s="227"/>
      <c r="AN801" s="227"/>
      <c r="AO801" s="227"/>
      <c r="AP801" s="227"/>
      <c r="AQ801" s="227"/>
      <c r="AR801" s="227"/>
      <c r="AS801" s="227"/>
      <c r="AT801" s="227"/>
      <c r="AU801" s="227"/>
      <c r="AV801" s="227"/>
      <c r="AW801" s="227"/>
      <c r="AX801" s="227"/>
      <c r="AY801" s="227"/>
      <c r="AZ801" s="227"/>
      <c r="BA801" s="227"/>
      <c r="BB801" s="227"/>
      <c r="BC801" s="227"/>
      <c r="BD801" s="227"/>
      <c r="BE801" s="227"/>
      <c r="BF801" s="227"/>
      <c r="BG801" s="227"/>
      <c r="BH801" s="227"/>
      <c r="BI801" s="227"/>
    </row>
    <row r="802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  <c r="AB802" s="227"/>
      <c r="AC802" s="227"/>
      <c r="AD802" s="227"/>
      <c r="AE802" s="227"/>
      <c r="AF802" s="227"/>
      <c r="AG802" s="227"/>
      <c r="AH802" s="227"/>
      <c r="AI802" s="227"/>
      <c r="AJ802" s="227"/>
      <c r="AK802" s="227"/>
      <c r="AL802" s="227"/>
      <c r="AM802" s="227"/>
      <c r="AN802" s="227"/>
      <c r="AO802" s="227"/>
      <c r="AP802" s="227"/>
      <c r="AQ802" s="227"/>
      <c r="AR802" s="227"/>
      <c r="AS802" s="227"/>
      <c r="AT802" s="227"/>
      <c r="AU802" s="227"/>
      <c r="AV802" s="227"/>
      <c r="AW802" s="227"/>
      <c r="AX802" s="227"/>
      <c r="AY802" s="227"/>
      <c r="AZ802" s="227"/>
      <c r="BA802" s="227"/>
      <c r="BB802" s="227"/>
      <c r="BC802" s="227"/>
      <c r="BD802" s="227"/>
      <c r="BE802" s="227"/>
      <c r="BF802" s="227"/>
      <c r="BG802" s="227"/>
      <c r="BH802" s="227"/>
      <c r="BI802" s="227"/>
    </row>
    <row r="803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  <c r="AB803" s="227"/>
      <c r="AC803" s="227"/>
      <c r="AD803" s="227"/>
      <c r="AE803" s="227"/>
      <c r="AF803" s="227"/>
      <c r="AG803" s="227"/>
      <c r="AH803" s="227"/>
      <c r="AI803" s="227"/>
      <c r="AJ803" s="227"/>
      <c r="AK803" s="227"/>
      <c r="AL803" s="227"/>
      <c r="AM803" s="227"/>
      <c r="AN803" s="227"/>
      <c r="AO803" s="227"/>
      <c r="AP803" s="227"/>
      <c r="AQ803" s="227"/>
      <c r="AR803" s="227"/>
      <c r="AS803" s="227"/>
      <c r="AT803" s="227"/>
      <c r="AU803" s="227"/>
      <c r="AV803" s="227"/>
      <c r="AW803" s="227"/>
      <c r="AX803" s="227"/>
      <c r="AY803" s="227"/>
      <c r="AZ803" s="227"/>
      <c r="BA803" s="227"/>
      <c r="BB803" s="227"/>
      <c r="BC803" s="227"/>
      <c r="BD803" s="227"/>
      <c r="BE803" s="227"/>
      <c r="BF803" s="227"/>
      <c r="BG803" s="227"/>
      <c r="BH803" s="227"/>
      <c r="BI803" s="227"/>
    </row>
    <row r="804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  <c r="AB804" s="227"/>
      <c r="AC804" s="227"/>
      <c r="AD804" s="227"/>
      <c r="AE804" s="227"/>
      <c r="AF804" s="227"/>
      <c r="AG804" s="227"/>
      <c r="AH804" s="227"/>
      <c r="AI804" s="227"/>
      <c r="AJ804" s="227"/>
      <c r="AK804" s="227"/>
      <c r="AL804" s="227"/>
      <c r="AM804" s="227"/>
      <c r="AN804" s="227"/>
      <c r="AO804" s="227"/>
      <c r="AP804" s="227"/>
      <c r="AQ804" s="227"/>
      <c r="AR804" s="227"/>
      <c r="AS804" s="227"/>
      <c r="AT804" s="227"/>
      <c r="AU804" s="227"/>
      <c r="AV804" s="227"/>
      <c r="AW804" s="227"/>
      <c r="AX804" s="227"/>
      <c r="AY804" s="227"/>
      <c r="AZ804" s="227"/>
      <c r="BA804" s="227"/>
      <c r="BB804" s="227"/>
      <c r="BC804" s="227"/>
      <c r="BD804" s="227"/>
      <c r="BE804" s="227"/>
      <c r="BF804" s="227"/>
      <c r="BG804" s="227"/>
      <c r="BH804" s="227"/>
      <c r="BI804" s="227"/>
    </row>
    <row r="805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  <c r="AB805" s="227"/>
      <c r="AC805" s="227"/>
      <c r="AD805" s="227"/>
      <c r="AE805" s="227"/>
      <c r="AF805" s="227"/>
      <c r="AG805" s="227"/>
      <c r="AH805" s="227"/>
      <c r="AI805" s="227"/>
      <c r="AJ805" s="227"/>
      <c r="AK805" s="227"/>
      <c r="AL805" s="227"/>
      <c r="AM805" s="227"/>
      <c r="AN805" s="227"/>
      <c r="AO805" s="227"/>
      <c r="AP805" s="227"/>
      <c r="AQ805" s="227"/>
      <c r="AR805" s="227"/>
      <c r="AS805" s="227"/>
      <c r="AT805" s="227"/>
      <c r="AU805" s="227"/>
      <c r="AV805" s="227"/>
      <c r="AW805" s="227"/>
      <c r="AX805" s="227"/>
      <c r="AY805" s="227"/>
      <c r="AZ805" s="227"/>
      <c r="BA805" s="227"/>
      <c r="BB805" s="227"/>
      <c r="BC805" s="227"/>
      <c r="BD805" s="227"/>
      <c r="BE805" s="227"/>
      <c r="BF805" s="227"/>
      <c r="BG805" s="227"/>
      <c r="BH805" s="227"/>
      <c r="BI805" s="227"/>
    </row>
    <row r="80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  <c r="AB806" s="227"/>
      <c r="AC806" s="227"/>
      <c r="AD806" s="227"/>
      <c r="AE806" s="227"/>
      <c r="AF806" s="227"/>
      <c r="AG806" s="227"/>
      <c r="AH806" s="227"/>
      <c r="AI806" s="227"/>
      <c r="AJ806" s="227"/>
      <c r="AK806" s="227"/>
      <c r="AL806" s="227"/>
      <c r="AM806" s="227"/>
      <c r="AN806" s="227"/>
      <c r="AO806" s="227"/>
      <c r="AP806" s="227"/>
      <c r="AQ806" s="227"/>
      <c r="AR806" s="227"/>
      <c r="AS806" s="227"/>
      <c r="AT806" s="227"/>
      <c r="AU806" s="227"/>
      <c r="AV806" s="227"/>
      <c r="AW806" s="227"/>
      <c r="AX806" s="227"/>
      <c r="AY806" s="227"/>
      <c r="AZ806" s="227"/>
      <c r="BA806" s="227"/>
      <c r="BB806" s="227"/>
      <c r="BC806" s="227"/>
      <c r="BD806" s="227"/>
      <c r="BE806" s="227"/>
      <c r="BF806" s="227"/>
      <c r="BG806" s="227"/>
      <c r="BH806" s="227"/>
      <c r="BI806" s="227"/>
    </row>
    <row r="807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  <c r="AB807" s="227"/>
      <c r="AC807" s="227"/>
      <c r="AD807" s="227"/>
      <c r="AE807" s="227"/>
      <c r="AF807" s="227"/>
      <c r="AG807" s="227"/>
      <c r="AH807" s="227"/>
      <c r="AI807" s="227"/>
      <c r="AJ807" s="227"/>
      <c r="AK807" s="227"/>
      <c r="AL807" s="227"/>
      <c r="AM807" s="227"/>
      <c r="AN807" s="227"/>
      <c r="AO807" s="227"/>
      <c r="AP807" s="227"/>
      <c r="AQ807" s="227"/>
      <c r="AR807" s="227"/>
      <c r="AS807" s="227"/>
      <c r="AT807" s="227"/>
      <c r="AU807" s="227"/>
      <c r="AV807" s="227"/>
      <c r="AW807" s="227"/>
      <c r="AX807" s="227"/>
      <c r="AY807" s="227"/>
      <c r="AZ807" s="227"/>
      <c r="BA807" s="227"/>
      <c r="BB807" s="227"/>
      <c r="BC807" s="227"/>
      <c r="BD807" s="227"/>
      <c r="BE807" s="227"/>
      <c r="BF807" s="227"/>
      <c r="BG807" s="227"/>
      <c r="BH807" s="227"/>
      <c r="BI807" s="227"/>
    </row>
    <row r="808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  <c r="AB808" s="227"/>
      <c r="AC808" s="227"/>
      <c r="AD808" s="227"/>
      <c r="AE808" s="227"/>
      <c r="AF808" s="227"/>
      <c r="AG808" s="227"/>
      <c r="AH808" s="227"/>
      <c r="AI808" s="227"/>
      <c r="AJ808" s="227"/>
      <c r="AK808" s="227"/>
      <c r="AL808" s="227"/>
      <c r="AM808" s="227"/>
      <c r="AN808" s="227"/>
      <c r="AO808" s="227"/>
      <c r="AP808" s="227"/>
      <c r="AQ808" s="227"/>
      <c r="AR808" s="227"/>
      <c r="AS808" s="227"/>
      <c r="AT808" s="227"/>
      <c r="AU808" s="227"/>
      <c r="AV808" s="227"/>
      <c r="AW808" s="227"/>
      <c r="AX808" s="227"/>
      <c r="AY808" s="227"/>
      <c r="AZ808" s="227"/>
      <c r="BA808" s="227"/>
      <c r="BB808" s="227"/>
      <c r="BC808" s="227"/>
      <c r="BD808" s="227"/>
      <c r="BE808" s="227"/>
      <c r="BF808" s="227"/>
      <c r="BG808" s="227"/>
      <c r="BH808" s="227"/>
      <c r="BI808" s="227"/>
    </row>
    <row r="809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  <c r="AB809" s="227"/>
      <c r="AC809" s="227"/>
      <c r="AD809" s="227"/>
      <c r="AE809" s="227"/>
      <c r="AF809" s="227"/>
      <c r="AG809" s="227"/>
      <c r="AH809" s="227"/>
      <c r="AI809" s="227"/>
      <c r="AJ809" s="227"/>
      <c r="AK809" s="227"/>
      <c r="AL809" s="227"/>
      <c r="AM809" s="227"/>
      <c r="AN809" s="227"/>
      <c r="AO809" s="227"/>
      <c r="AP809" s="227"/>
      <c r="AQ809" s="227"/>
      <c r="AR809" s="227"/>
      <c r="AS809" s="227"/>
      <c r="AT809" s="227"/>
      <c r="AU809" s="227"/>
      <c r="AV809" s="227"/>
      <c r="AW809" s="227"/>
      <c r="AX809" s="227"/>
      <c r="AY809" s="227"/>
      <c r="AZ809" s="227"/>
      <c r="BA809" s="227"/>
      <c r="BB809" s="227"/>
      <c r="BC809" s="227"/>
      <c r="BD809" s="227"/>
      <c r="BE809" s="227"/>
      <c r="BF809" s="227"/>
      <c r="BG809" s="227"/>
      <c r="BH809" s="227"/>
      <c r="BI809" s="227"/>
    </row>
    <row r="810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  <c r="AB810" s="227"/>
      <c r="AC810" s="227"/>
      <c r="AD810" s="227"/>
      <c r="AE810" s="227"/>
      <c r="AF810" s="227"/>
      <c r="AG810" s="227"/>
      <c r="AH810" s="227"/>
      <c r="AI810" s="227"/>
      <c r="AJ810" s="227"/>
      <c r="AK810" s="227"/>
      <c r="AL810" s="227"/>
      <c r="AM810" s="227"/>
      <c r="AN810" s="227"/>
      <c r="AO810" s="227"/>
      <c r="AP810" s="227"/>
      <c r="AQ810" s="227"/>
      <c r="AR810" s="227"/>
      <c r="AS810" s="227"/>
      <c r="AT810" s="227"/>
      <c r="AU810" s="227"/>
      <c r="AV810" s="227"/>
      <c r="AW810" s="227"/>
      <c r="AX810" s="227"/>
      <c r="AY810" s="227"/>
      <c r="AZ810" s="227"/>
      <c r="BA810" s="227"/>
      <c r="BB810" s="227"/>
      <c r="BC810" s="227"/>
      <c r="BD810" s="227"/>
      <c r="BE810" s="227"/>
      <c r="BF810" s="227"/>
      <c r="BG810" s="227"/>
      <c r="BH810" s="227"/>
      <c r="BI810" s="227"/>
    </row>
    <row r="81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  <c r="AB811" s="227"/>
      <c r="AC811" s="227"/>
      <c r="AD811" s="227"/>
      <c r="AE811" s="227"/>
      <c r="AF811" s="227"/>
      <c r="AG811" s="227"/>
      <c r="AH811" s="227"/>
      <c r="AI811" s="227"/>
      <c r="AJ811" s="227"/>
      <c r="AK811" s="227"/>
      <c r="AL811" s="227"/>
      <c r="AM811" s="227"/>
      <c r="AN811" s="227"/>
      <c r="AO811" s="227"/>
      <c r="AP811" s="227"/>
      <c r="AQ811" s="227"/>
      <c r="AR811" s="227"/>
      <c r="AS811" s="227"/>
      <c r="AT811" s="227"/>
      <c r="AU811" s="227"/>
      <c r="AV811" s="227"/>
      <c r="AW811" s="227"/>
      <c r="AX811" s="227"/>
      <c r="AY811" s="227"/>
      <c r="AZ811" s="227"/>
      <c r="BA811" s="227"/>
      <c r="BB811" s="227"/>
      <c r="BC811" s="227"/>
      <c r="BD811" s="227"/>
      <c r="BE811" s="227"/>
      <c r="BF811" s="227"/>
      <c r="BG811" s="227"/>
      <c r="BH811" s="227"/>
      <c r="BI811" s="227"/>
    </row>
    <row r="812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  <c r="AB812" s="227"/>
      <c r="AC812" s="227"/>
      <c r="AD812" s="227"/>
      <c r="AE812" s="227"/>
      <c r="AF812" s="227"/>
      <c r="AG812" s="227"/>
      <c r="AH812" s="227"/>
      <c r="AI812" s="227"/>
      <c r="AJ812" s="227"/>
      <c r="AK812" s="227"/>
      <c r="AL812" s="227"/>
      <c r="AM812" s="227"/>
      <c r="AN812" s="227"/>
      <c r="AO812" s="227"/>
      <c r="AP812" s="227"/>
      <c r="AQ812" s="227"/>
      <c r="AR812" s="227"/>
      <c r="AS812" s="227"/>
      <c r="AT812" s="227"/>
      <c r="AU812" s="227"/>
      <c r="AV812" s="227"/>
      <c r="AW812" s="227"/>
      <c r="AX812" s="227"/>
      <c r="AY812" s="227"/>
      <c r="AZ812" s="227"/>
      <c r="BA812" s="227"/>
      <c r="BB812" s="227"/>
      <c r="BC812" s="227"/>
      <c r="BD812" s="227"/>
      <c r="BE812" s="227"/>
      <c r="BF812" s="227"/>
      <c r="BG812" s="227"/>
      <c r="BH812" s="227"/>
      <c r="BI812" s="227"/>
    </row>
    <row r="813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  <c r="AB813" s="227"/>
      <c r="AC813" s="227"/>
      <c r="AD813" s="227"/>
      <c r="AE813" s="227"/>
      <c r="AF813" s="227"/>
      <c r="AG813" s="227"/>
      <c r="AH813" s="227"/>
      <c r="AI813" s="227"/>
      <c r="AJ813" s="227"/>
      <c r="AK813" s="227"/>
      <c r="AL813" s="227"/>
      <c r="AM813" s="227"/>
      <c r="AN813" s="227"/>
      <c r="AO813" s="227"/>
      <c r="AP813" s="227"/>
      <c r="AQ813" s="227"/>
      <c r="AR813" s="227"/>
      <c r="AS813" s="227"/>
      <c r="AT813" s="227"/>
      <c r="AU813" s="227"/>
      <c r="AV813" s="227"/>
      <c r="AW813" s="227"/>
      <c r="AX813" s="227"/>
      <c r="AY813" s="227"/>
      <c r="AZ813" s="227"/>
      <c r="BA813" s="227"/>
      <c r="BB813" s="227"/>
      <c r="BC813" s="227"/>
      <c r="BD813" s="227"/>
      <c r="BE813" s="227"/>
      <c r="BF813" s="227"/>
      <c r="BG813" s="227"/>
      <c r="BH813" s="227"/>
      <c r="BI813" s="227"/>
    </row>
    <row r="814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  <c r="AB814" s="227"/>
      <c r="AC814" s="227"/>
      <c r="AD814" s="227"/>
      <c r="AE814" s="227"/>
      <c r="AF814" s="227"/>
      <c r="AG814" s="227"/>
      <c r="AH814" s="227"/>
      <c r="AI814" s="227"/>
      <c r="AJ814" s="227"/>
      <c r="AK814" s="227"/>
      <c r="AL814" s="227"/>
      <c r="AM814" s="227"/>
      <c r="AN814" s="227"/>
      <c r="AO814" s="227"/>
      <c r="AP814" s="227"/>
      <c r="AQ814" s="227"/>
      <c r="AR814" s="227"/>
      <c r="AS814" s="227"/>
      <c r="AT814" s="227"/>
      <c r="AU814" s="227"/>
      <c r="AV814" s="227"/>
      <c r="AW814" s="227"/>
      <c r="AX814" s="227"/>
      <c r="AY814" s="227"/>
      <c r="AZ814" s="227"/>
      <c r="BA814" s="227"/>
      <c r="BB814" s="227"/>
      <c r="BC814" s="227"/>
      <c r="BD814" s="227"/>
      <c r="BE814" s="227"/>
      <c r="BF814" s="227"/>
      <c r="BG814" s="227"/>
      <c r="BH814" s="227"/>
      <c r="BI814" s="227"/>
    </row>
    <row r="815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  <c r="AB815" s="227"/>
      <c r="AC815" s="227"/>
      <c r="AD815" s="227"/>
      <c r="AE815" s="227"/>
      <c r="AF815" s="227"/>
      <c r="AG815" s="227"/>
      <c r="AH815" s="227"/>
      <c r="AI815" s="227"/>
      <c r="AJ815" s="227"/>
      <c r="AK815" s="227"/>
      <c r="AL815" s="227"/>
      <c r="AM815" s="227"/>
      <c r="AN815" s="227"/>
      <c r="AO815" s="227"/>
      <c r="AP815" s="227"/>
      <c r="AQ815" s="227"/>
      <c r="AR815" s="227"/>
      <c r="AS815" s="227"/>
      <c r="AT815" s="227"/>
      <c r="AU815" s="227"/>
      <c r="AV815" s="227"/>
      <c r="AW815" s="227"/>
      <c r="AX815" s="227"/>
      <c r="AY815" s="227"/>
      <c r="AZ815" s="227"/>
      <c r="BA815" s="227"/>
      <c r="BB815" s="227"/>
      <c r="BC815" s="227"/>
      <c r="BD815" s="227"/>
      <c r="BE815" s="227"/>
      <c r="BF815" s="227"/>
      <c r="BG815" s="227"/>
      <c r="BH815" s="227"/>
      <c r="BI815" s="227"/>
    </row>
    <row r="81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  <c r="AB816" s="227"/>
      <c r="AC816" s="227"/>
      <c r="AD816" s="227"/>
      <c r="AE816" s="227"/>
      <c r="AF816" s="227"/>
      <c r="AG816" s="227"/>
      <c r="AH816" s="227"/>
      <c r="AI816" s="227"/>
      <c r="AJ816" s="227"/>
      <c r="AK816" s="227"/>
      <c r="AL816" s="227"/>
      <c r="AM816" s="227"/>
      <c r="AN816" s="227"/>
      <c r="AO816" s="227"/>
      <c r="AP816" s="227"/>
      <c r="AQ816" s="227"/>
      <c r="AR816" s="227"/>
      <c r="AS816" s="227"/>
      <c r="AT816" s="227"/>
      <c r="AU816" s="227"/>
      <c r="AV816" s="227"/>
      <c r="AW816" s="227"/>
      <c r="AX816" s="227"/>
      <c r="AY816" s="227"/>
      <c r="AZ816" s="227"/>
      <c r="BA816" s="227"/>
      <c r="BB816" s="227"/>
      <c r="BC816" s="227"/>
      <c r="BD816" s="227"/>
      <c r="BE816" s="227"/>
      <c r="BF816" s="227"/>
      <c r="BG816" s="227"/>
      <c r="BH816" s="227"/>
      <c r="BI816" s="227"/>
    </row>
    <row r="817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  <c r="AB817" s="227"/>
      <c r="AC817" s="227"/>
      <c r="AD817" s="227"/>
      <c r="AE817" s="227"/>
      <c r="AF817" s="227"/>
      <c r="AG817" s="227"/>
      <c r="AH817" s="227"/>
      <c r="AI817" s="227"/>
      <c r="AJ817" s="227"/>
      <c r="AK817" s="227"/>
      <c r="AL817" s="227"/>
      <c r="AM817" s="227"/>
      <c r="AN817" s="227"/>
      <c r="AO817" s="227"/>
      <c r="AP817" s="227"/>
      <c r="AQ817" s="227"/>
      <c r="AR817" s="227"/>
      <c r="AS817" s="227"/>
      <c r="AT817" s="227"/>
      <c r="AU817" s="227"/>
      <c r="AV817" s="227"/>
      <c r="AW817" s="227"/>
      <c r="AX817" s="227"/>
      <c r="AY817" s="227"/>
      <c r="AZ817" s="227"/>
      <c r="BA817" s="227"/>
      <c r="BB817" s="227"/>
      <c r="BC817" s="227"/>
      <c r="BD817" s="227"/>
      <c r="BE817" s="227"/>
      <c r="BF817" s="227"/>
      <c r="BG817" s="227"/>
      <c r="BH817" s="227"/>
      <c r="BI817" s="227"/>
    </row>
    <row r="818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  <c r="AB818" s="227"/>
      <c r="AC818" s="227"/>
      <c r="AD818" s="227"/>
      <c r="AE818" s="227"/>
      <c r="AF818" s="227"/>
      <c r="AG818" s="227"/>
      <c r="AH818" s="227"/>
      <c r="AI818" s="227"/>
      <c r="AJ818" s="227"/>
      <c r="AK818" s="227"/>
      <c r="AL818" s="227"/>
      <c r="AM818" s="227"/>
      <c r="AN818" s="227"/>
      <c r="AO818" s="227"/>
      <c r="AP818" s="227"/>
      <c r="AQ818" s="227"/>
      <c r="AR818" s="227"/>
      <c r="AS818" s="227"/>
      <c r="AT818" s="227"/>
      <c r="AU818" s="227"/>
      <c r="AV818" s="227"/>
      <c r="AW818" s="227"/>
      <c r="AX818" s="227"/>
      <c r="AY818" s="227"/>
      <c r="AZ818" s="227"/>
      <c r="BA818" s="227"/>
      <c r="BB818" s="227"/>
      <c r="BC818" s="227"/>
      <c r="BD818" s="227"/>
      <c r="BE818" s="227"/>
      <c r="BF818" s="227"/>
      <c r="BG818" s="227"/>
      <c r="BH818" s="227"/>
      <c r="BI818" s="227"/>
    </row>
    <row r="819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  <c r="AB819" s="227"/>
      <c r="AC819" s="227"/>
      <c r="AD819" s="227"/>
      <c r="AE819" s="227"/>
      <c r="AF819" s="227"/>
      <c r="AG819" s="227"/>
      <c r="AH819" s="227"/>
      <c r="AI819" s="227"/>
      <c r="AJ819" s="227"/>
      <c r="AK819" s="227"/>
      <c r="AL819" s="227"/>
      <c r="AM819" s="227"/>
      <c r="AN819" s="227"/>
      <c r="AO819" s="227"/>
      <c r="AP819" s="227"/>
      <c r="AQ819" s="227"/>
      <c r="AR819" s="227"/>
      <c r="AS819" s="227"/>
      <c r="AT819" s="227"/>
      <c r="AU819" s="227"/>
      <c r="AV819" s="227"/>
      <c r="AW819" s="227"/>
      <c r="AX819" s="227"/>
      <c r="AY819" s="227"/>
      <c r="AZ819" s="227"/>
      <c r="BA819" s="227"/>
      <c r="BB819" s="227"/>
      <c r="BC819" s="227"/>
      <c r="BD819" s="227"/>
      <c r="BE819" s="227"/>
      <c r="BF819" s="227"/>
      <c r="BG819" s="227"/>
      <c r="BH819" s="227"/>
      <c r="BI819" s="227"/>
    </row>
    <row r="820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  <c r="AB820" s="227"/>
      <c r="AC820" s="227"/>
      <c r="AD820" s="227"/>
      <c r="AE820" s="227"/>
      <c r="AF820" s="227"/>
      <c r="AG820" s="227"/>
      <c r="AH820" s="227"/>
      <c r="AI820" s="227"/>
      <c r="AJ820" s="227"/>
      <c r="AK820" s="227"/>
      <c r="AL820" s="227"/>
      <c r="AM820" s="227"/>
      <c r="AN820" s="227"/>
      <c r="AO820" s="227"/>
      <c r="AP820" s="227"/>
      <c r="AQ820" s="227"/>
      <c r="AR820" s="227"/>
      <c r="AS820" s="227"/>
      <c r="AT820" s="227"/>
      <c r="AU820" s="227"/>
      <c r="AV820" s="227"/>
      <c r="AW820" s="227"/>
      <c r="AX820" s="227"/>
      <c r="AY820" s="227"/>
      <c r="AZ820" s="227"/>
      <c r="BA820" s="227"/>
      <c r="BB820" s="227"/>
      <c r="BC820" s="227"/>
      <c r="BD820" s="227"/>
      <c r="BE820" s="227"/>
      <c r="BF820" s="227"/>
      <c r="BG820" s="227"/>
      <c r="BH820" s="227"/>
      <c r="BI820" s="227"/>
    </row>
    <row r="82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  <c r="AB821" s="227"/>
      <c r="AC821" s="227"/>
      <c r="AD821" s="227"/>
      <c r="AE821" s="227"/>
      <c r="AF821" s="227"/>
      <c r="AG821" s="227"/>
      <c r="AH821" s="227"/>
      <c r="AI821" s="227"/>
      <c r="AJ821" s="227"/>
      <c r="AK821" s="227"/>
      <c r="AL821" s="227"/>
      <c r="AM821" s="227"/>
      <c r="AN821" s="227"/>
      <c r="AO821" s="227"/>
      <c r="AP821" s="227"/>
      <c r="AQ821" s="227"/>
      <c r="AR821" s="227"/>
      <c r="AS821" s="227"/>
      <c r="AT821" s="227"/>
      <c r="AU821" s="227"/>
      <c r="AV821" s="227"/>
      <c r="AW821" s="227"/>
      <c r="AX821" s="227"/>
      <c r="AY821" s="227"/>
      <c r="AZ821" s="227"/>
      <c r="BA821" s="227"/>
      <c r="BB821" s="227"/>
      <c r="BC821" s="227"/>
      <c r="BD821" s="227"/>
      <c r="BE821" s="227"/>
      <c r="BF821" s="227"/>
      <c r="BG821" s="227"/>
      <c r="BH821" s="227"/>
      <c r="BI821" s="227"/>
    </row>
    <row r="822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  <c r="AB822" s="227"/>
      <c r="AC822" s="227"/>
      <c r="AD822" s="227"/>
      <c r="AE822" s="227"/>
      <c r="AF822" s="227"/>
      <c r="AG822" s="227"/>
      <c r="AH822" s="227"/>
      <c r="AI822" s="227"/>
      <c r="AJ822" s="227"/>
      <c r="AK822" s="227"/>
      <c r="AL822" s="227"/>
      <c r="AM822" s="227"/>
      <c r="AN822" s="227"/>
      <c r="AO822" s="227"/>
      <c r="AP822" s="227"/>
      <c r="AQ822" s="227"/>
      <c r="AR822" s="227"/>
      <c r="AS822" s="227"/>
      <c r="AT822" s="227"/>
      <c r="AU822" s="227"/>
      <c r="AV822" s="227"/>
      <c r="AW822" s="227"/>
      <c r="AX822" s="227"/>
      <c r="AY822" s="227"/>
      <c r="AZ822" s="227"/>
      <c r="BA822" s="227"/>
      <c r="BB822" s="227"/>
      <c r="BC822" s="227"/>
      <c r="BD822" s="227"/>
      <c r="BE822" s="227"/>
      <c r="BF822" s="227"/>
      <c r="BG822" s="227"/>
      <c r="BH822" s="227"/>
      <c r="BI822" s="227"/>
    </row>
    <row r="823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  <c r="AB823" s="227"/>
      <c r="AC823" s="227"/>
      <c r="AD823" s="227"/>
      <c r="AE823" s="227"/>
      <c r="AF823" s="227"/>
      <c r="AG823" s="227"/>
      <c r="AH823" s="227"/>
      <c r="AI823" s="227"/>
      <c r="AJ823" s="227"/>
      <c r="AK823" s="227"/>
      <c r="AL823" s="227"/>
      <c r="AM823" s="227"/>
      <c r="AN823" s="227"/>
      <c r="AO823" s="227"/>
      <c r="AP823" s="227"/>
      <c r="AQ823" s="227"/>
      <c r="AR823" s="227"/>
      <c r="AS823" s="227"/>
      <c r="AT823" s="227"/>
      <c r="AU823" s="227"/>
      <c r="AV823" s="227"/>
      <c r="AW823" s="227"/>
      <c r="AX823" s="227"/>
      <c r="AY823" s="227"/>
      <c r="AZ823" s="227"/>
      <c r="BA823" s="227"/>
      <c r="BB823" s="227"/>
      <c r="BC823" s="227"/>
      <c r="BD823" s="227"/>
      <c r="BE823" s="227"/>
      <c r="BF823" s="227"/>
      <c r="BG823" s="227"/>
      <c r="BH823" s="227"/>
      <c r="BI823" s="227"/>
    </row>
    <row r="824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  <c r="AB824" s="227"/>
      <c r="AC824" s="227"/>
      <c r="AD824" s="227"/>
      <c r="AE824" s="227"/>
      <c r="AF824" s="227"/>
      <c r="AG824" s="227"/>
      <c r="AH824" s="227"/>
      <c r="AI824" s="227"/>
      <c r="AJ824" s="227"/>
      <c r="AK824" s="227"/>
      <c r="AL824" s="227"/>
      <c r="AM824" s="227"/>
      <c r="AN824" s="227"/>
      <c r="AO824" s="227"/>
      <c r="AP824" s="227"/>
      <c r="AQ824" s="227"/>
      <c r="AR824" s="227"/>
      <c r="AS824" s="227"/>
      <c r="AT824" s="227"/>
      <c r="AU824" s="227"/>
      <c r="AV824" s="227"/>
      <c r="AW824" s="227"/>
      <c r="AX824" s="227"/>
      <c r="AY824" s="227"/>
      <c r="AZ824" s="227"/>
      <c r="BA824" s="227"/>
      <c r="BB824" s="227"/>
      <c r="BC824" s="227"/>
      <c r="BD824" s="227"/>
      <c r="BE824" s="227"/>
      <c r="BF824" s="227"/>
      <c r="BG824" s="227"/>
      <c r="BH824" s="227"/>
      <c r="BI824" s="227"/>
    </row>
    <row r="825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  <c r="AB825" s="227"/>
      <c r="AC825" s="227"/>
      <c r="AD825" s="227"/>
      <c r="AE825" s="227"/>
      <c r="AF825" s="227"/>
      <c r="AG825" s="227"/>
      <c r="AH825" s="227"/>
      <c r="AI825" s="227"/>
      <c r="AJ825" s="227"/>
      <c r="AK825" s="227"/>
      <c r="AL825" s="227"/>
      <c r="AM825" s="227"/>
      <c r="AN825" s="227"/>
      <c r="AO825" s="227"/>
      <c r="AP825" s="227"/>
      <c r="AQ825" s="227"/>
      <c r="AR825" s="227"/>
      <c r="AS825" s="227"/>
      <c r="AT825" s="227"/>
      <c r="AU825" s="227"/>
      <c r="AV825" s="227"/>
      <c r="AW825" s="227"/>
      <c r="AX825" s="227"/>
      <c r="AY825" s="227"/>
      <c r="AZ825" s="227"/>
      <c r="BA825" s="227"/>
      <c r="BB825" s="227"/>
      <c r="BC825" s="227"/>
      <c r="BD825" s="227"/>
      <c r="BE825" s="227"/>
      <c r="BF825" s="227"/>
      <c r="BG825" s="227"/>
      <c r="BH825" s="227"/>
      <c r="BI825" s="227"/>
    </row>
    <row r="8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  <c r="AB826" s="227"/>
      <c r="AC826" s="227"/>
      <c r="AD826" s="227"/>
      <c r="AE826" s="227"/>
      <c r="AF826" s="227"/>
      <c r="AG826" s="227"/>
      <c r="AH826" s="227"/>
      <c r="AI826" s="227"/>
      <c r="AJ826" s="227"/>
      <c r="AK826" s="227"/>
      <c r="AL826" s="227"/>
      <c r="AM826" s="227"/>
      <c r="AN826" s="227"/>
      <c r="AO826" s="227"/>
      <c r="AP826" s="227"/>
      <c r="AQ826" s="227"/>
      <c r="AR826" s="227"/>
      <c r="AS826" s="227"/>
      <c r="AT826" s="227"/>
      <c r="AU826" s="227"/>
      <c r="AV826" s="227"/>
      <c r="AW826" s="227"/>
      <c r="AX826" s="227"/>
      <c r="AY826" s="227"/>
      <c r="AZ826" s="227"/>
      <c r="BA826" s="227"/>
      <c r="BB826" s="227"/>
      <c r="BC826" s="227"/>
      <c r="BD826" s="227"/>
      <c r="BE826" s="227"/>
      <c r="BF826" s="227"/>
      <c r="BG826" s="227"/>
      <c r="BH826" s="227"/>
      <c r="BI826" s="227"/>
    </row>
    <row r="827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  <c r="AB827" s="227"/>
      <c r="AC827" s="227"/>
      <c r="AD827" s="227"/>
      <c r="AE827" s="227"/>
      <c r="AF827" s="227"/>
      <c r="AG827" s="227"/>
      <c r="AH827" s="227"/>
      <c r="AI827" s="227"/>
      <c r="AJ827" s="227"/>
      <c r="AK827" s="227"/>
      <c r="AL827" s="227"/>
      <c r="AM827" s="227"/>
      <c r="AN827" s="227"/>
      <c r="AO827" s="227"/>
      <c r="AP827" s="227"/>
      <c r="AQ827" s="227"/>
      <c r="AR827" s="227"/>
      <c r="AS827" s="227"/>
      <c r="AT827" s="227"/>
      <c r="AU827" s="227"/>
      <c r="AV827" s="227"/>
      <c r="AW827" s="227"/>
      <c r="AX827" s="227"/>
      <c r="AY827" s="227"/>
      <c r="AZ827" s="227"/>
      <c r="BA827" s="227"/>
      <c r="BB827" s="227"/>
      <c r="BC827" s="227"/>
      <c r="BD827" s="227"/>
      <c r="BE827" s="227"/>
      <c r="BF827" s="227"/>
      <c r="BG827" s="227"/>
      <c r="BH827" s="227"/>
      <c r="BI827" s="227"/>
    </row>
    <row r="828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  <c r="AB828" s="227"/>
      <c r="AC828" s="227"/>
      <c r="AD828" s="227"/>
      <c r="AE828" s="227"/>
      <c r="AF828" s="227"/>
      <c r="AG828" s="227"/>
      <c r="AH828" s="227"/>
      <c r="AI828" s="227"/>
      <c r="AJ828" s="227"/>
      <c r="AK828" s="227"/>
      <c r="AL828" s="227"/>
      <c r="AM828" s="227"/>
      <c r="AN828" s="227"/>
      <c r="AO828" s="227"/>
      <c r="AP828" s="227"/>
      <c r="AQ828" s="227"/>
      <c r="AR828" s="227"/>
      <c r="AS828" s="227"/>
      <c r="AT828" s="227"/>
      <c r="AU828" s="227"/>
      <c r="AV828" s="227"/>
      <c r="AW828" s="227"/>
      <c r="AX828" s="227"/>
      <c r="AY828" s="227"/>
      <c r="AZ828" s="227"/>
      <c r="BA828" s="227"/>
      <c r="BB828" s="227"/>
      <c r="BC828" s="227"/>
      <c r="BD828" s="227"/>
      <c r="BE828" s="227"/>
      <c r="BF828" s="227"/>
      <c r="BG828" s="227"/>
      <c r="BH828" s="227"/>
      <c r="BI828" s="227"/>
    </row>
    <row r="829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  <c r="AB829" s="227"/>
      <c r="AC829" s="227"/>
      <c r="AD829" s="227"/>
      <c r="AE829" s="227"/>
      <c r="AF829" s="227"/>
      <c r="AG829" s="227"/>
      <c r="AH829" s="227"/>
      <c r="AI829" s="227"/>
      <c r="AJ829" s="227"/>
      <c r="AK829" s="227"/>
      <c r="AL829" s="227"/>
      <c r="AM829" s="227"/>
      <c r="AN829" s="227"/>
      <c r="AO829" s="227"/>
      <c r="AP829" s="227"/>
      <c r="AQ829" s="227"/>
      <c r="AR829" s="227"/>
      <c r="AS829" s="227"/>
      <c r="AT829" s="227"/>
      <c r="AU829" s="227"/>
      <c r="AV829" s="227"/>
      <c r="AW829" s="227"/>
      <c r="AX829" s="227"/>
      <c r="AY829" s="227"/>
      <c r="AZ829" s="227"/>
      <c r="BA829" s="227"/>
      <c r="BB829" s="227"/>
      <c r="BC829" s="227"/>
      <c r="BD829" s="227"/>
      <c r="BE829" s="227"/>
      <c r="BF829" s="227"/>
      <c r="BG829" s="227"/>
      <c r="BH829" s="227"/>
      <c r="BI829" s="227"/>
    </row>
    <row r="830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  <c r="AB830" s="227"/>
      <c r="AC830" s="227"/>
      <c r="AD830" s="227"/>
      <c r="AE830" s="227"/>
      <c r="AF830" s="227"/>
      <c r="AG830" s="227"/>
      <c r="AH830" s="227"/>
      <c r="AI830" s="227"/>
      <c r="AJ830" s="227"/>
      <c r="AK830" s="227"/>
      <c r="AL830" s="227"/>
      <c r="AM830" s="227"/>
      <c r="AN830" s="227"/>
      <c r="AO830" s="227"/>
      <c r="AP830" s="227"/>
      <c r="AQ830" s="227"/>
      <c r="AR830" s="227"/>
      <c r="AS830" s="227"/>
      <c r="AT830" s="227"/>
      <c r="AU830" s="227"/>
      <c r="AV830" s="227"/>
      <c r="AW830" s="227"/>
      <c r="AX830" s="227"/>
      <c r="AY830" s="227"/>
      <c r="AZ830" s="227"/>
      <c r="BA830" s="227"/>
      <c r="BB830" s="227"/>
      <c r="BC830" s="227"/>
      <c r="BD830" s="227"/>
      <c r="BE830" s="227"/>
      <c r="BF830" s="227"/>
      <c r="BG830" s="227"/>
      <c r="BH830" s="227"/>
      <c r="BI830" s="227"/>
    </row>
    <row r="83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  <c r="AB831" s="227"/>
      <c r="AC831" s="227"/>
      <c r="AD831" s="227"/>
      <c r="AE831" s="227"/>
      <c r="AF831" s="227"/>
      <c r="AG831" s="227"/>
      <c r="AH831" s="227"/>
      <c r="AI831" s="227"/>
      <c r="AJ831" s="227"/>
      <c r="AK831" s="227"/>
      <c r="AL831" s="227"/>
      <c r="AM831" s="227"/>
      <c r="AN831" s="227"/>
      <c r="AO831" s="227"/>
      <c r="AP831" s="227"/>
      <c r="AQ831" s="227"/>
      <c r="AR831" s="227"/>
      <c r="AS831" s="227"/>
      <c r="AT831" s="227"/>
      <c r="AU831" s="227"/>
      <c r="AV831" s="227"/>
      <c r="AW831" s="227"/>
      <c r="AX831" s="227"/>
      <c r="AY831" s="227"/>
      <c r="AZ831" s="227"/>
      <c r="BA831" s="227"/>
      <c r="BB831" s="227"/>
      <c r="BC831" s="227"/>
      <c r="BD831" s="227"/>
      <c r="BE831" s="227"/>
      <c r="BF831" s="227"/>
      <c r="BG831" s="227"/>
      <c r="BH831" s="227"/>
      <c r="BI831" s="227"/>
    </row>
    <row r="832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  <c r="AB832" s="227"/>
      <c r="AC832" s="227"/>
      <c r="AD832" s="227"/>
      <c r="AE832" s="227"/>
      <c r="AF832" s="227"/>
      <c r="AG832" s="227"/>
      <c r="AH832" s="227"/>
      <c r="AI832" s="227"/>
      <c r="AJ832" s="227"/>
      <c r="AK832" s="227"/>
      <c r="AL832" s="227"/>
      <c r="AM832" s="227"/>
      <c r="AN832" s="227"/>
      <c r="AO832" s="227"/>
      <c r="AP832" s="227"/>
      <c r="AQ832" s="227"/>
      <c r="AR832" s="227"/>
      <c r="AS832" s="227"/>
      <c r="AT832" s="227"/>
      <c r="AU832" s="227"/>
      <c r="AV832" s="227"/>
      <c r="AW832" s="227"/>
      <c r="AX832" s="227"/>
      <c r="AY832" s="227"/>
      <c r="AZ832" s="227"/>
      <c r="BA832" s="227"/>
      <c r="BB832" s="227"/>
      <c r="BC832" s="227"/>
      <c r="BD832" s="227"/>
      <c r="BE832" s="227"/>
      <c r="BF832" s="227"/>
      <c r="BG832" s="227"/>
      <c r="BH832" s="227"/>
      <c r="BI832" s="227"/>
    </row>
    <row r="833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  <c r="AB833" s="227"/>
      <c r="AC833" s="227"/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7"/>
      <c r="AR833" s="227"/>
      <c r="AS833" s="227"/>
      <c r="AT833" s="227"/>
      <c r="AU833" s="227"/>
      <c r="AV833" s="227"/>
      <c r="AW833" s="227"/>
      <c r="AX833" s="227"/>
      <c r="AY833" s="227"/>
      <c r="AZ833" s="227"/>
      <c r="BA833" s="227"/>
      <c r="BB833" s="227"/>
      <c r="BC833" s="227"/>
      <c r="BD833" s="227"/>
      <c r="BE833" s="227"/>
      <c r="BF833" s="227"/>
      <c r="BG833" s="227"/>
      <c r="BH833" s="227"/>
      <c r="BI833" s="227"/>
    </row>
    <row r="834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  <c r="AB834" s="227"/>
      <c r="AC834" s="227"/>
      <c r="AD834" s="227"/>
      <c r="AE834" s="227"/>
      <c r="AF834" s="227"/>
      <c r="AG834" s="227"/>
      <c r="AH834" s="227"/>
      <c r="AI834" s="227"/>
      <c r="AJ834" s="227"/>
      <c r="AK834" s="227"/>
      <c r="AL834" s="227"/>
      <c r="AM834" s="227"/>
      <c r="AN834" s="227"/>
      <c r="AO834" s="227"/>
      <c r="AP834" s="227"/>
      <c r="AQ834" s="227"/>
      <c r="AR834" s="227"/>
      <c r="AS834" s="227"/>
      <c r="AT834" s="227"/>
      <c r="AU834" s="227"/>
      <c r="AV834" s="227"/>
      <c r="AW834" s="227"/>
      <c r="AX834" s="227"/>
      <c r="AY834" s="227"/>
      <c r="AZ834" s="227"/>
      <c r="BA834" s="227"/>
      <c r="BB834" s="227"/>
      <c r="BC834" s="227"/>
      <c r="BD834" s="227"/>
      <c r="BE834" s="227"/>
      <c r="BF834" s="227"/>
      <c r="BG834" s="227"/>
      <c r="BH834" s="227"/>
      <c r="BI834" s="227"/>
    </row>
    <row r="835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  <c r="AB835" s="227"/>
      <c r="AC835" s="227"/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7"/>
      <c r="AR835" s="227"/>
      <c r="AS835" s="227"/>
      <c r="AT835" s="227"/>
      <c r="AU835" s="227"/>
      <c r="AV835" s="227"/>
      <c r="AW835" s="227"/>
      <c r="AX835" s="227"/>
      <c r="AY835" s="227"/>
      <c r="AZ835" s="227"/>
      <c r="BA835" s="227"/>
      <c r="BB835" s="227"/>
      <c r="BC835" s="227"/>
      <c r="BD835" s="227"/>
      <c r="BE835" s="227"/>
      <c r="BF835" s="227"/>
      <c r="BG835" s="227"/>
      <c r="BH835" s="227"/>
      <c r="BI835" s="227"/>
    </row>
    <row r="83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  <c r="AB836" s="227"/>
      <c r="AC836" s="227"/>
      <c r="AD836" s="227"/>
      <c r="AE836" s="227"/>
      <c r="AF836" s="227"/>
      <c r="AG836" s="227"/>
      <c r="AH836" s="227"/>
      <c r="AI836" s="227"/>
      <c r="AJ836" s="227"/>
      <c r="AK836" s="227"/>
      <c r="AL836" s="227"/>
      <c r="AM836" s="227"/>
      <c r="AN836" s="227"/>
      <c r="AO836" s="227"/>
      <c r="AP836" s="227"/>
      <c r="AQ836" s="227"/>
      <c r="AR836" s="227"/>
      <c r="AS836" s="227"/>
      <c r="AT836" s="227"/>
      <c r="AU836" s="227"/>
      <c r="AV836" s="227"/>
      <c r="AW836" s="227"/>
      <c r="AX836" s="227"/>
      <c r="AY836" s="227"/>
      <c r="AZ836" s="227"/>
      <c r="BA836" s="227"/>
      <c r="BB836" s="227"/>
      <c r="BC836" s="227"/>
      <c r="BD836" s="227"/>
      <c r="BE836" s="227"/>
      <c r="BF836" s="227"/>
      <c r="BG836" s="227"/>
      <c r="BH836" s="227"/>
      <c r="BI836" s="227"/>
    </row>
    <row r="837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  <c r="AB837" s="227"/>
      <c r="AC837" s="227"/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7"/>
      <c r="AR837" s="227"/>
      <c r="AS837" s="227"/>
      <c r="AT837" s="227"/>
      <c r="AU837" s="227"/>
      <c r="AV837" s="227"/>
      <c r="AW837" s="227"/>
      <c r="AX837" s="227"/>
      <c r="AY837" s="227"/>
      <c r="AZ837" s="227"/>
      <c r="BA837" s="227"/>
      <c r="BB837" s="227"/>
      <c r="BC837" s="227"/>
      <c r="BD837" s="227"/>
      <c r="BE837" s="227"/>
      <c r="BF837" s="227"/>
      <c r="BG837" s="227"/>
      <c r="BH837" s="227"/>
      <c r="BI837" s="227"/>
    </row>
    <row r="838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  <c r="AB838" s="227"/>
      <c r="AC838" s="227"/>
      <c r="AD838" s="227"/>
      <c r="AE838" s="227"/>
      <c r="AF838" s="227"/>
      <c r="AG838" s="227"/>
      <c r="AH838" s="227"/>
      <c r="AI838" s="227"/>
      <c r="AJ838" s="227"/>
      <c r="AK838" s="227"/>
      <c r="AL838" s="227"/>
      <c r="AM838" s="227"/>
      <c r="AN838" s="227"/>
      <c r="AO838" s="227"/>
      <c r="AP838" s="227"/>
      <c r="AQ838" s="227"/>
      <c r="AR838" s="227"/>
      <c r="AS838" s="227"/>
      <c r="AT838" s="227"/>
      <c r="AU838" s="227"/>
      <c r="AV838" s="227"/>
      <c r="AW838" s="227"/>
      <c r="AX838" s="227"/>
      <c r="AY838" s="227"/>
      <c r="AZ838" s="227"/>
      <c r="BA838" s="227"/>
      <c r="BB838" s="227"/>
      <c r="BC838" s="227"/>
      <c r="BD838" s="227"/>
      <c r="BE838" s="227"/>
      <c r="BF838" s="227"/>
      <c r="BG838" s="227"/>
      <c r="BH838" s="227"/>
      <c r="BI838" s="227"/>
    </row>
    <row r="839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  <c r="AB839" s="227"/>
      <c r="AC839" s="227"/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7"/>
      <c r="AR839" s="227"/>
      <c r="AS839" s="227"/>
      <c r="AT839" s="227"/>
      <c r="AU839" s="227"/>
      <c r="AV839" s="227"/>
      <c r="AW839" s="227"/>
      <c r="AX839" s="227"/>
      <c r="AY839" s="227"/>
      <c r="AZ839" s="227"/>
      <c r="BA839" s="227"/>
      <c r="BB839" s="227"/>
      <c r="BC839" s="227"/>
      <c r="BD839" s="227"/>
      <c r="BE839" s="227"/>
      <c r="BF839" s="227"/>
      <c r="BG839" s="227"/>
      <c r="BH839" s="227"/>
      <c r="BI839" s="227"/>
    </row>
    <row r="840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  <c r="AB840" s="227"/>
      <c r="AC840" s="227"/>
      <c r="AD840" s="227"/>
      <c r="AE840" s="227"/>
      <c r="AF840" s="227"/>
      <c r="AG840" s="227"/>
      <c r="AH840" s="227"/>
      <c r="AI840" s="227"/>
      <c r="AJ840" s="227"/>
      <c r="AK840" s="227"/>
      <c r="AL840" s="227"/>
      <c r="AM840" s="227"/>
      <c r="AN840" s="227"/>
      <c r="AO840" s="227"/>
      <c r="AP840" s="227"/>
      <c r="AQ840" s="227"/>
      <c r="AR840" s="227"/>
      <c r="AS840" s="227"/>
      <c r="AT840" s="227"/>
      <c r="AU840" s="227"/>
      <c r="AV840" s="227"/>
      <c r="AW840" s="227"/>
      <c r="AX840" s="227"/>
      <c r="AY840" s="227"/>
      <c r="AZ840" s="227"/>
      <c r="BA840" s="227"/>
      <c r="BB840" s="227"/>
      <c r="BC840" s="227"/>
      <c r="BD840" s="227"/>
      <c r="BE840" s="227"/>
      <c r="BF840" s="227"/>
      <c r="BG840" s="227"/>
      <c r="BH840" s="227"/>
      <c r="BI840" s="227"/>
    </row>
    <row r="84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  <c r="AB841" s="227"/>
      <c r="AC841" s="227"/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7"/>
      <c r="AR841" s="227"/>
      <c r="AS841" s="227"/>
      <c r="AT841" s="227"/>
      <c r="AU841" s="227"/>
      <c r="AV841" s="227"/>
      <c r="AW841" s="227"/>
      <c r="AX841" s="227"/>
      <c r="AY841" s="227"/>
      <c r="AZ841" s="227"/>
      <c r="BA841" s="227"/>
      <c r="BB841" s="227"/>
      <c r="BC841" s="227"/>
      <c r="BD841" s="227"/>
      <c r="BE841" s="227"/>
      <c r="BF841" s="227"/>
      <c r="BG841" s="227"/>
      <c r="BH841" s="227"/>
      <c r="BI841" s="227"/>
    </row>
    <row r="842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  <c r="AB842" s="227"/>
      <c r="AC842" s="227"/>
      <c r="AD842" s="227"/>
      <c r="AE842" s="227"/>
      <c r="AF842" s="227"/>
      <c r="AG842" s="227"/>
      <c r="AH842" s="227"/>
      <c r="AI842" s="227"/>
      <c r="AJ842" s="227"/>
      <c r="AK842" s="227"/>
      <c r="AL842" s="227"/>
      <c r="AM842" s="227"/>
      <c r="AN842" s="227"/>
      <c r="AO842" s="227"/>
      <c r="AP842" s="227"/>
      <c r="AQ842" s="227"/>
      <c r="AR842" s="227"/>
      <c r="AS842" s="227"/>
      <c r="AT842" s="227"/>
      <c r="AU842" s="227"/>
      <c r="AV842" s="227"/>
      <c r="AW842" s="227"/>
      <c r="AX842" s="227"/>
      <c r="AY842" s="227"/>
      <c r="AZ842" s="227"/>
      <c r="BA842" s="227"/>
      <c r="BB842" s="227"/>
      <c r="BC842" s="227"/>
      <c r="BD842" s="227"/>
      <c r="BE842" s="227"/>
      <c r="BF842" s="227"/>
      <c r="BG842" s="227"/>
      <c r="BH842" s="227"/>
      <c r="BI842" s="227"/>
    </row>
    <row r="843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  <c r="AB843" s="227"/>
      <c r="AC843" s="227"/>
      <c r="AD843" s="227"/>
      <c r="AE843" s="227"/>
      <c r="AF843" s="227"/>
      <c r="AG843" s="227"/>
      <c r="AH843" s="227"/>
      <c r="AI843" s="227"/>
      <c r="AJ843" s="227"/>
      <c r="AK843" s="227"/>
      <c r="AL843" s="227"/>
      <c r="AM843" s="227"/>
      <c r="AN843" s="227"/>
      <c r="AO843" s="227"/>
      <c r="AP843" s="227"/>
      <c r="AQ843" s="227"/>
      <c r="AR843" s="227"/>
      <c r="AS843" s="227"/>
      <c r="AT843" s="227"/>
      <c r="AU843" s="227"/>
      <c r="AV843" s="227"/>
      <c r="AW843" s="227"/>
      <c r="AX843" s="227"/>
      <c r="AY843" s="227"/>
      <c r="AZ843" s="227"/>
      <c r="BA843" s="227"/>
      <c r="BB843" s="227"/>
      <c r="BC843" s="227"/>
      <c r="BD843" s="227"/>
      <c r="BE843" s="227"/>
      <c r="BF843" s="227"/>
      <c r="BG843" s="227"/>
      <c r="BH843" s="227"/>
      <c r="BI843" s="227"/>
    </row>
    <row r="844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  <c r="AB844" s="227"/>
      <c r="AC844" s="227"/>
      <c r="AD844" s="227"/>
      <c r="AE844" s="227"/>
      <c r="AF844" s="227"/>
      <c r="AG844" s="227"/>
      <c r="AH844" s="227"/>
      <c r="AI844" s="227"/>
      <c r="AJ844" s="227"/>
      <c r="AK844" s="227"/>
      <c r="AL844" s="227"/>
      <c r="AM844" s="227"/>
      <c r="AN844" s="227"/>
      <c r="AO844" s="227"/>
      <c r="AP844" s="227"/>
      <c r="AQ844" s="227"/>
      <c r="AR844" s="227"/>
      <c r="AS844" s="227"/>
      <c r="AT844" s="227"/>
      <c r="AU844" s="227"/>
      <c r="AV844" s="227"/>
      <c r="AW844" s="227"/>
      <c r="AX844" s="227"/>
      <c r="AY844" s="227"/>
      <c r="AZ844" s="227"/>
      <c r="BA844" s="227"/>
      <c r="BB844" s="227"/>
      <c r="BC844" s="227"/>
      <c r="BD844" s="227"/>
      <c r="BE844" s="227"/>
      <c r="BF844" s="227"/>
      <c r="BG844" s="227"/>
      <c r="BH844" s="227"/>
      <c r="BI844" s="227"/>
    </row>
    <row r="845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  <c r="AB845" s="227"/>
      <c r="AC845" s="227"/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7"/>
      <c r="AR845" s="227"/>
      <c r="AS845" s="227"/>
      <c r="AT845" s="227"/>
      <c r="AU845" s="227"/>
      <c r="AV845" s="227"/>
      <c r="AW845" s="227"/>
      <c r="AX845" s="227"/>
      <c r="AY845" s="227"/>
      <c r="AZ845" s="227"/>
      <c r="BA845" s="227"/>
      <c r="BB845" s="227"/>
      <c r="BC845" s="227"/>
      <c r="BD845" s="227"/>
      <c r="BE845" s="227"/>
      <c r="BF845" s="227"/>
      <c r="BG845" s="227"/>
      <c r="BH845" s="227"/>
      <c r="BI845" s="227"/>
    </row>
    <row r="84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  <c r="AB846" s="227"/>
      <c r="AC846" s="227"/>
      <c r="AD846" s="227"/>
      <c r="AE846" s="227"/>
      <c r="AF846" s="227"/>
      <c r="AG846" s="227"/>
      <c r="AH846" s="227"/>
      <c r="AI846" s="227"/>
      <c r="AJ846" s="227"/>
      <c r="AK846" s="227"/>
      <c r="AL846" s="227"/>
      <c r="AM846" s="227"/>
      <c r="AN846" s="227"/>
      <c r="AO846" s="227"/>
      <c r="AP846" s="227"/>
      <c r="AQ846" s="227"/>
      <c r="AR846" s="227"/>
      <c r="AS846" s="227"/>
      <c r="AT846" s="227"/>
      <c r="AU846" s="227"/>
      <c r="AV846" s="227"/>
      <c r="AW846" s="227"/>
      <c r="AX846" s="227"/>
      <c r="AY846" s="227"/>
      <c r="AZ846" s="227"/>
      <c r="BA846" s="227"/>
      <c r="BB846" s="227"/>
      <c r="BC846" s="227"/>
      <c r="BD846" s="227"/>
      <c r="BE846" s="227"/>
      <c r="BF846" s="227"/>
      <c r="BG846" s="227"/>
      <c r="BH846" s="227"/>
      <c r="BI846" s="227"/>
    </row>
    <row r="847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  <c r="AB847" s="227"/>
      <c r="AC847" s="227"/>
      <c r="AD847" s="227"/>
      <c r="AE847" s="227"/>
      <c r="AF847" s="227"/>
      <c r="AG847" s="227"/>
      <c r="AH847" s="227"/>
      <c r="AI847" s="227"/>
      <c r="AJ847" s="227"/>
      <c r="AK847" s="227"/>
      <c r="AL847" s="227"/>
      <c r="AM847" s="227"/>
      <c r="AN847" s="227"/>
      <c r="AO847" s="227"/>
      <c r="AP847" s="227"/>
      <c r="AQ847" s="227"/>
      <c r="AR847" s="227"/>
      <c r="AS847" s="227"/>
      <c r="AT847" s="227"/>
      <c r="AU847" s="227"/>
      <c r="AV847" s="227"/>
      <c r="AW847" s="227"/>
      <c r="AX847" s="227"/>
      <c r="AY847" s="227"/>
      <c r="AZ847" s="227"/>
      <c r="BA847" s="227"/>
      <c r="BB847" s="227"/>
      <c r="BC847" s="227"/>
      <c r="BD847" s="227"/>
      <c r="BE847" s="227"/>
      <c r="BF847" s="227"/>
      <c r="BG847" s="227"/>
      <c r="BH847" s="227"/>
      <c r="BI847" s="227"/>
    </row>
    <row r="848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  <c r="AB848" s="227"/>
      <c r="AC848" s="227"/>
      <c r="AD848" s="227"/>
      <c r="AE848" s="227"/>
      <c r="AF848" s="227"/>
      <c r="AG848" s="227"/>
      <c r="AH848" s="227"/>
      <c r="AI848" s="227"/>
      <c r="AJ848" s="227"/>
      <c r="AK848" s="227"/>
      <c r="AL848" s="227"/>
      <c r="AM848" s="227"/>
      <c r="AN848" s="227"/>
      <c r="AO848" s="227"/>
      <c r="AP848" s="227"/>
      <c r="AQ848" s="227"/>
      <c r="AR848" s="227"/>
      <c r="AS848" s="227"/>
      <c r="AT848" s="227"/>
      <c r="AU848" s="227"/>
      <c r="AV848" s="227"/>
      <c r="AW848" s="227"/>
      <c r="AX848" s="227"/>
      <c r="AY848" s="227"/>
      <c r="AZ848" s="227"/>
      <c r="BA848" s="227"/>
      <c r="BB848" s="227"/>
      <c r="BC848" s="227"/>
      <c r="BD848" s="227"/>
      <c r="BE848" s="227"/>
      <c r="BF848" s="227"/>
      <c r="BG848" s="227"/>
      <c r="BH848" s="227"/>
      <c r="BI848" s="227"/>
    </row>
    <row r="849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  <c r="AB849" s="227"/>
      <c r="AC849" s="227"/>
      <c r="AD849" s="227"/>
      <c r="AE849" s="227"/>
      <c r="AF849" s="227"/>
      <c r="AG849" s="227"/>
      <c r="AH849" s="227"/>
      <c r="AI849" s="227"/>
      <c r="AJ849" s="227"/>
      <c r="AK849" s="227"/>
      <c r="AL849" s="227"/>
      <c r="AM849" s="227"/>
      <c r="AN849" s="227"/>
      <c r="AO849" s="227"/>
      <c r="AP849" s="227"/>
      <c r="AQ849" s="227"/>
      <c r="AR849" s="227"/>
      <c r="AS849" s="227"/>
      <c r="AT849" s="227"/>
      <c r="AU849" s="227"/>
      <c r="AV849" s="227"/>
      <c r="AW849" s="227"/>
      <c r="AX849" s="227"/>
      <c r="AY849" s="227"/>
      <c r="AZ849" s="227"/>
      <c r="BA849" s="227"/>
      <c r="BB849" s="227"/>
      <c r="BC849" s="227"/>
      <c r="BD849" s="227"/>
      <c r="BE849" s="227"/>
      <c r="BF849" s="227"/>
      <c r="BG849" s="227"/>
      <c r="BH849" s="227"/>
      <c r="BI849" s="227"/>
    </row>
    <row r="850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  <c r="AB850" s="227"/>
      <c r="AC850" s="227"/>
      <c r="AD850" s="227"/>
      <c r="AE850" s="227"/>
      <c r="AF850" s="227"/>
      <c r="AG850" s="227"/>
      <c r="AH850" s="227"/>
      <c r="AI850" s="227"/>
      <c r="AJ850" s="227"/>
      <c r="AK850" s="227"/>
      <c r="AL850" s="227"/>
      <c r="AM850" s="227"/>
      <c r="AN850" s="227"/>
      <c r="AO850" s="227"/>
      <c r="AP850" s="227"/>
      <c r="AQ850" s="227"/>
      <c r="AR850" s="227"/>
      <c r="AS850" s="227"/>
      <c r="AT850" s="227"/>
      <c r="AU850" s="227"/>
      <c r="AV850" s="227"/>
      <c r="AW850" s="227"/>
      <c r="AX850" s="227"/>
      <c r="AY850" s="227"/>
      <c r="AZ850" s="227"/>
      <c r="BA850" s="227"/>
      <c r="BB850" s="227"/>
      <c r="BC850" s="227"/>
      <c r="BD850" s="227"/>
      <c r="BE850" s="227"/>
      <c r="BF850" s="227"/>
      <c r="BG850" s="227"/>
      <c r="BH850" s="227"/>
      <c r="BI850" s="227"/>
    </row>
    <row r="85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  <c r="AB851" s="227"/>
      <c r="AC851" s="227"/>
      <c r="AD851" s="227"/>
      <c r="AE851" s="227"/>
      <c r="AF851" s="227"/>
      <c r="AG851" s="227"/>
      <c r="AH851" s="227"/>
      <c r="AI851" s="227"/>
      <c r="AJ851" s="227"/>
      <c r="AK851" s="227"/>
      <c r="AL851" s="227"/>
      <c r="AM851" s="227"/>
      <c r="AN851" s="227"/>
      <c r="AO851" s="227"/>
      <c r="AP851" s="227"/>
      <c r="AQ851" s="227"/>
      <c r="AR851" s="227"/>
      <c r="AS851" s="227"/>
      <c r="AT851" s="227"/>
      <c r="AU851" s="227"/>
      <c r="AV851" s="227"/>
      <c r="AW851" s="227"/>
      <c r="AX851" s="227"/>
      <c r="AY851" s="227"/>
      <c r="AZ851" s="227"/>
      <c r="BA851" s="227"/>
      <c r="BB851" s="227"/>
      <c r="BC851" s="227"/>
      <c r="BD851" s="227"/>
      <c r="BE851" s="227"/>
      <c r="BF851" s="227"/>
      <c r="BG851" s="227"/>
      <c r="BH851" s="227"/>
      <c r="BI851" s="227"/>
    </row>
    <row r="852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  <c r="AB852" s="227"/>
      <c r="AC852" s="227"/>
      <c r="AD852" s="227"/>
      <c r="AE852" s="227"/>
      <c r="AF852" s="227"/>
      <c r="AG852" s="227"/>
      <c r="AH852" s="227"/>
      <c r="AI852" s="227"/>
      <c r="AJ852" s="227"/>
      <c r="AK852" s="227"/>
      <c r="AL852" s="227"/>
      <c r="AM852" s="227"/>
      <c r="AN852" s="227"/>
      <c r="AO852" s="227"/>
      <c r="AP852" s="227"/>
      <c r="AQ852" s="227"/>
      <c r="AR852" s="227"/>
      <c r="AS852" s="227"/>
      <c r="AT852" s="227"/>
      <c r="AU852" s="227"/>
      <c r="AV852" s="227"/>
      <c r="AW852" s="227"/>
      <c r="AX852" s="227"/>
      <c r="AY852" s="227"/>
      <c r="AZ852" s="227"/>
      <c r="BA852" s="227"/>
      <c r="BB852" s="227"/>
      <c r="BC852" s="227"/>
      <c r="BD852" s="227"/>
      <c r="BE852" s="227"/>
      <c r="BF852" s="227"/>
      <c r="BG852" s="227"/>
      <c r="BH852" s="227"/>
      <c r="BI852" s="227"/>
    </row>
    <row r="853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  <c r="AB853" s="227"/>
      <c r="AC853" s="227"/>
      <c r="AD853" s="227"/>
      <c r="AE853" s="227"/>
      <c r="AF853" s="227"/>
      <c r="AG853" s="227"/>
      <c r="AH853" s="227"/>
      <c r="AI853" s="227"/>
      <c r="AJ853" s="227"/>
      <c r="AK853" s="227"/>
      <c r="AL853" s="227"/>
      <c r="AM853" s="227"/>
      <c r="AN853" s="227"/>
      <c r="AO853" s="227"/>
      <c r="AP853" s="227"/>
      <c r="AQ853" s="227"/>
      <c r="AR853" s="227"/>
      <c r="AS853" s="227"/>
      <c r="AT853" s="227"/>
      <c r="AU853" s="227"/>
      <c r="AV853" s="227"/>
      <c r="AW853" s="227"/>
      <c r="AX853" s="227"/>
      <c r="AY853" s="227"/>
      <c r="AZ853" s="227"/>
      <c r="BA853" s="227"/>
      <c r="BB853" s="227"/>
      <c r="BC853" s="227"/>
      <c r="BD853" s="227"/>
      <c r="BE853" s="227"/>
      <c r="BF853" s="227"/>
      <c r="BG853" s="227"/>
      <c r="BH853" s="227"/>
      <c r="BI853" s="227"/>
    </row>
    <row r="854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  <c r="AB854" s="227"/>
      <c r="AC854" s="227"/>
      <c r="AD854" s="227"/>
      <c r="AE854" s="227"/>
      <c r="AF854" s="227"/>
      <c r="AG854" s="227"/>
      <c r="AH854" s="227"/>
      <c r="AI854" s="227"/>
      <c r="AJ854" s="227"/>
      <c r="AK854" s="227"/>
      <c r="AL854" s="227"/>
      <c r="AM854" s="227"/>
      <c r="AN854" s="227"/>
      <c r="AO854" s="227"/>
      <c r="AP854" s="227"/>
      <c r="AQ854" s="227"/>
      <c r="AR854" s="227"/>
      <c r="AS854" s="227"/>
      <c r="AT854" s="227"/>
      <c r="AU854" s="227"/>
      <c r="AV854" s="227"/>
      <c r="AW854" s="227"/>
      <c r="AX854" s="227"/>
      <c r="AY854" s="227"/>
      <c r="AZ854" s="227"/>
      <c r="BA854" s="227"/>
      <c r="BB854" s="227"/>
      <c r="BC854" s="227"/>
      <c r="BD854" s="227"/>
      <c r="BE854" s="227"/>
      <c r="BF854" s="227"/>
      <c r="BG854" s="227"/>
      <c r="BH854" s="227"/>
      <c r="BI854" s="227"/>
    </row>
    <row r="855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  <c r="AB855" s="227"/>
      <c r="AC855" s="227"/>
      <c r="AD855" s="227"/>
      <c r="AE855" s="227"/>
      <c r="AF855" s="227"/>
      <c r="AG855" s="227"/>
      <c r="AH855" s="227"/>
      <c r="AI855" s="227"/>
      <c r="AJ855" s="227"/>
      <c r="AK855" s="227"/>
      <c r="AL855" s="227"/>
      <c r="AM855" s="227"/>
      <c r="AN855" s="227"/>
      <c r="AO855" s="227"/>
      <c r="AP855" s="227"/>
      <c r="AQ855" s="227"/>
      <c r="AR855" s="227"/>
      <c r="AS855" s="227"/>
      <c r="AT855" s="227"/>
      <c r="AU855" s="227"/>
      <c r="AV855" s="227"/>
      <c r="AW855" s="227"/>
      <c r="AX855" s="227"/>
      <c r="AY855" s="227"/>
      <c r="AZ855" s="227"/>
      <c r="BA855" s="227"/>
      <c r="BB855" s="227"/>
      <c r="BC855" s="227"/>
      <c r="BD855" s="227"/>
      <c r="BE855" s="227"/>
      <c r="BF855" s="227"/>
      <c r="BG855" s="227"/>
      <c r="BH855" s="227"/>
      <c r="BI855" s="227"/>
    </row>
    <row r="85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  <c r="AB856" s="227"/>
      <c r="AC856" s="227"/>
      <c r="AD856" s="227"/>
      <c r="AE856" s="227"/>
      <c r="AF856" s="227"/>
      <c r="AG856" s="227"/>
      <c r="AH856" s="227"/>
      <c r="AI856" s="227"/>
      <c r="AJ856" s="227"/>
      <c r="AK856" s="227"/>
      <c r="AL856" s="227"/>
      <c r="AM856" s="227"/>
      <c r="AN856" s="227"/>
      <c r="AO856" s="227"/>
      <c r="AP856" s="227"/>
      <c r="AQ856" s="227"/>
      <c r="AR856" s="227"/>
      <c r="AS856" s="227"/>
      <c r="AT856" s="227"/>
      <c r="AU856" s="227"/>
      <c r="AV856" s="227"/>
      <c r="AW856" s="227"/>
      <c r="AX856" s="227"/>
      <c r="AY856" s="227"/>
      <c r="AZ856" s="227"/>
      <c r="BA856" s="227"/>
      <c r="BB856" s="227"/>
      <c r="BC856" s="227"/>
      <c r="BD856" s="227"/>
      <c r="BE856" s="227"/>
      <c r="BF856" s="227"/>
      <c r="BG856" s="227"/>
      <c r="BH856" s="227"/>
      <c r="BI856" s="227"/>
    </row>
    <row r="857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  <c r="AB857" s="227"/>
      <c r="AC857" s="227"/>
      <c r="AD857" s="227"/>
      <c r="AE857" s="227"/>
      <c r="AF857" s="227"/>
      <c r="AG857" s="227"/>
      <c r="AH857" s="227"/>
      <c r="AI857" s="227"/>
      <c r="AJ857" s="227"/>
      <c r="AK857" s="227"/>
      <c r="AL857" s="227"/>
      <c r="AM857" s="227"/>
      <c r="AN857" s="227"/>
      <c r="AO857" s="227"/>
      <c r="AP857" s="227"/>
      <c r="AQ857" s="227"/>
      <c r="AR857" s="227"/>
      <c r="AS857" s="227"/>
      <c r="AT857" s="227"/>
      <c r="AU857" s="227"/>
      <c r="AV857" s="227"/>
      <c r="AW857" s="227"/>
      <c r="AX857" s="227"/>
      <c r="AY857" s="227"/>
      <c r="AZ857" s="227"/>
      <c r="BA857" s="227"/>
      <c r="BB857" s="227"/>
      <c r="BC857" s="227"/>
      <c r="BD857" s="227"/>
      <c r="BE857" s="227"/>
      <c r="BF857" s="227"/>
      <c r="BG857" s="227"/>
      <c r="BH857" s="227"/>
      <c r="BI857" s="227"/>
    </row>
    <row r="858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  <c r="AB858" s="227"/>
      <c r="AC858" s="227"/>
      <c r="AD858" s="227"/>
      <c r="AE858" s="227"/>
      <c r="AF858" s="227"/>
      <c r="AG858" s="227"/>
      <c r="AH858" s="227"/>
      <c r="AI858" s="227"/>
      <c r="AJ858" s="227"/>
      <c r="AK858" s="227"/>
      <c r="AL858" s="227"/>
      <c r="AM858" s="227"/>
      <c r="AN858" s="227"/>
      <c r="AO858" s="227"/>
      <c r="AP858" s="227"/>
      <c r="AQ858" s="227"/>
      <c r="AR858" s="227"/>
      <c r="AS858" s="227"/>
      <c r="AT858" s="227"/>
      <c r="AU858" s="227"/>
      <c r="AV858" s="227"/>
      <c r="AW858" s="227"/>
      <c r="AX858" s="227"/>
      <c r="AY858" s="227"/>
      <c r="AZ858" s="227"/>
      <c r="BA858" s="227"/>
      <c r="BB858" s="227"/>
      <c r="BC858" s="227"/>
      <c r="BD858" s="227"/>
      <c r="BE858" s="227"/>
      <c r="BF858" s="227"/>
      <c r="BG858" s="227"/>
      <c r="BH858" s="227"/>
      <c r="BI858" s="227"/>
    </row>
    <row r="859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  <c r="AB859" s="227"/>
      <c r="AC859" s="227"/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7"/>
      <c r="AR859" s="227"/>
      <c r="AS859" s="227"/>
      <c r="AT859" s="227"/>
      <c r="AU859" s="227"/>
      <c r="AV859" s="227"/>
      <c r="AW859" s="227"/>
      <c r="AX859" s="227"/>
      <c r="AY859" s="227"/>
      <c r="AZ859" s="227"/>
      <c r="BA859" s="227"/>
      <c r="BB859" s="227"/>
      <c r="BC859" s="227"/>
      <c r="BD859" s="227"/>
      <c r="BE859" s="227"/>
      <c r="BF859" s="227"/>
      <c r="BG859" s="227"/>
      <c r="BH859" s="227"/>
      <c r="BI859" s="227"/>
    </row>
    <row r="860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  <c r="AB860" s="227"/>
      <c r="AC860" s="227"/>
      <c r="AD860" s="227"/>
      <c r="AE860" s="227"/>
      <c r="AF860" s="227"/>
      <c r="AG860" s="227"/>
      <c r="AH860" s="227"/>
      <c r="AI860" s="227"/>
      <c r="AJ860" s="227"/>
      <c r="AK860" s="227"/>
      <c r="AL860" s="227"/>
      <c r="AM860" s="227"/>
      <c r="AN860" s="227"/>
      <c r="AO860" s="227"/>
      <c r="AP860" s="227"/>
      <c r="AQ860" s="227"/>
      <c r="AR860" s="227"/>
      <c r="AS860" s="227"/>
      <c r="AT860" s="227"/>
      <c r="AU860" s="227"/>
      <c r="AV860" s="227"/>
      <c r="AW860" s="227"/>
      <c r="AX860" s="227"/>
      <c r="AY860" s="227"/>
      <c r="AZ860" s="227"/>
      <c r="BA860" s="227"/>
      <c r="BB860" s="227"/>
      <c r="BC860" s="227"/>
      <c r="BD860" s="227"/>
      <c r="BE860" s="227"/>
      <c r="BF860" s="227"/>
      <c r="BG860" s="227"/>
      <c r="BH860" s="227"/>
      <c r="BI860" s="227"/>
    </row>
    <row r="86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  <c r="AB861" s="227"/>
      <c r="AC861" s="227"/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7"/>
      <c r="AR861" s="227"/>
      <c r="AS861" s="227"/>
      <c r="AT861" s="227"/>
      <c r="AU861" s="227"/>
      <c r="AV861" s="227"/>
      <c r="AW861" s="227"/>
      <c r="AX861" s="227"/>
      <c r="AY861" s="227"/>
      <c r="AZ861" s="227"/>
      <c r="BA861" s="227"/>
      <c r="BB861" s="227"/>
      <c r="BC861" s="227"/>
      <c r="BD861" s="227"/>
      <c r="BE861" s="227"/>
      <c r="BF861" s="227"/>
      <c r="BG861" s="227"/>
      <c r="BH861" s="227"/>
      <c r="BI861" s="227"/>
    </row>
    <row r="862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  <c r="AB862" s="227"/>
      <c r="AC862" s="227"/>
      <c r="AD862" s="227"/>
      <c r="AE862" s="227"/>
      <c r="AF862" s="227"/>
      <c r="AG862" s="227"/>
      <c r="AH862" s="227"/>
      <c r="AI862" s="227"/>
      <c r="AJ862" s="227"/>
      <c r="AK862" s="227"/>
      <c r="AL862" s="227"/>
      <c r="AM862" s="227"/>
      <c r="AN862" s="227"/>
      <c r="AO862" s="227"/>
      <c r="AP862" s="227"/>
      <c r="AQ862" s="227"/>
      <c r="AR862" s="227"/>
      <c r="AS862" s="227"/>
      <c r="AT862" s="227"/>
      <c r="AU862" s="227"/>
      <c r="AV862" s="227"/>
      <c r="AW862" s="227"/>
      <c r="AX862" s="227"/>
      <c r="AY862" s="227"/>
      <c r="AZ862" s="227"/>
      <c r="BA862" s="227"/>
      <c r="BB862" s="227"/>
      <c r="BC862" s="227"/>
      <c r="BD862" s="227"/>
      <c r="BE862" s="227"/>
      <c r="BF862" s="227"/>
      <c r="BG862" s="227"/>
      <c r="BH862" s="227"/>
      <c r="BI862" s="227"/>
    </row>
    <row r="863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  <c r="AB863" s="227"/>
      <c r="AC863" s="227"/>
      <c r="AD863" s="227"/>
      <c r="AE863" s="227"/>
      <c r="AF863" s="227"/>
      <c r="AG863" s="227"/>
      <c r="AH863" s="227"/>
      <c r="AI863" s="227"/>
      <c r="AJ863" s="227"/>
      <c r="AK863" s="227"/>
      <c r="AL863" s="227"/>
      <c r="AM863" s="227"/>
      <c r="AN863" s="227"/>
      <c r="AO863" s="227"/>
      <c r="AP863" s="227"/>
      <c r="AQ863" s="227"/>
      <c r="AR863" s="227"/>
      <c r="AS863" s="227"/>
      <c r="AT863" s="227"/>
      <c r="AU863" s="227"/>
      <c r="AV863" s="227"/>
      <c r="AW863" s="227"/>
      <c r="AX863" s="227"/>
      <c r="AY863" s="227"/>
      <c r="AZ863" s="227"/>
      <c r="BA863" s="227"/>
      <c r="BB863" s="227"/>
      <c r="BC863" s="227"/>
      <c r="BD863" s="227"/>
      <c r="BE863" s="227"/>
      <c r="BF863" s="227"/>
      <c r="BG863" s="227"/>
      <c r="BH863" s="227"/>
      <c r="BI863" s="227"/>
    </row>
    <row r="864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  <c r="AB864" s="227"/>
      <c r="AC864" s="227"/>
      <c r="AD864" s="227"/>
      <c r="AE864" s="227"/>
      <c r="AF864" s="227"/>
      <c r="AG864" s="227"/>
      <c r="AH864" s="227"/>
      <c r="AI864" s="227"/>
      <c r="AJ864" s="227"/>
      <c r="AK864" s="227"/>
      <c r="AL864" s="227"/>
      <c r="AM864" s="227"/>
      <c r="AN864" s="227"/>
      <c r="AO864" s="227"/>
      <c r="AP864" s="227"/>
      <c r="AQ864" s="227"/>
      <c r="AR864" s="227"/>
      <c r="AS864" s="227"/>
      <c r="AT864" s="227"/>
      <c r="AU864" s="227"/>
      <c r="AV864" s="227"/>
      <c r="AW864" s="227"/>
      <c r="AX864" s="227"/>
      <c r="AY864" s="227"/>
      <c r="AZ864" s="227"/>
      <c r="BA864" s="227"/>
      <c r="BB864" s="227"/>
      <c r="BC864" s="227"/>
      <c r="BD864" s="227"/>
      <c r="BE864" s="227"/>
      <c r="BF864" s="227"/>
      <c r="BG864" s="227"/>
      <c r="BH864" s="227"/>
      <c r="BI864" s="227"/>
    </row>
    <row r="865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  <c r="AB865" s="227"/>
      <c r="AC865" s="227"/>
      <c r="AD865" s="227"/>
      <c r="AE865" s="227"/>
      <c r="AF865" s="227"/>
      <c r="AG865" s="227"/>
      <c r="AH865" s="227"/>
      <c r="AI865" s="227"/>
      <c r="AJ865" s="227"/>
      <c r="AK865" s="227"/>
      <c r="AL865" s="227"/>
      <c r="AM865" s="227"/>
      <c r="AN865" s="227"/>
      <c r="AO865" s="227"/>
      <c r="AP865" s="227"/>
      <c r="AQ865" s="227"/>
      <c r="AR865" s="227"/>
      <c r="AS865" s="227"/>
      <c r="AT865" s="227"/>
      <c r="AU865" s="227"/>
      <c r="AV865" s="227"/>
      <c r="AW865" s="227"/>
      <c r="AX865" s="227"/>
      <c r="AY865" s="227"/>
      <c r="AZ865" s="227"/>
      <c r="BA865" s="227"/>
      <c r="BB865" s="227"/>
      <c r="BC865" s="227"/>
      <c r="BD865" s="227"/>
      <c r="BE865" s="227"/>
      <c r="BF865" s="227"/>
      <c r="BG865" s="227"/>
      <c r="BH865" s="227"/>
      <c r="BI865" s="227"/>
    </row>
    <row r="86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  <c r="AB866" s="227"/>
      <c r="AC866" s="227"/>
      <c r="AD866" s="227"/>
      <c r="AE866" s="227"/>
      <c r="AF866" s="227"/>
      <c r="AG866" s="227"/>
      <c r="AH866" s="227"/>
      <c r="AI866" s="227"/>
      <c r="AJ866" s="227"/>
      <c r="AK866" s="227"/>
      <c r="AL866" s="227"/>
      <c r="AM866" s="227"/>
      <c r="AN866" s="227"/>
      <c r="AO866" s="227"/>
      <c r="AP866" s="227"/>
      <c r="AQ866" s="227"/>
      <c r="AR866" s="227"/>
      <c r="AS866" s="227"/>
      <c r="AT866" s="227"/>
      <c r="AU866" s="227"/>
      <c r="AV866" s="227"/>
      <c r="AW866" s="227"/>
      <c r="AX866" s="227"/>
      <c r="AY866" s="227"/>
      <c r="AZ866" s="227"/>
      <c r="BA866" s="227"/>
      <c r="BB866" s="227"/>
      <c r="BC866" s="227"/>
      <c r="BD866" s="227"/>
      <c r="BE866" s="227"/>
      <c r="BF866" s="227"/>
      <c r="BG866" s="227"/>
      <c r="BH866" s="227"/>
      <c r="BI866" s="227"/>
    </row>
    <row r="867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  <c r="AB867" s="227"/>
      <c r="AC867" s="227"/>
      <c r="AD867" s="227"/>
      <c r="AE867" s="227"/>
      <c r="AF867" s="227"/>
      <c r="AG867" s="227"/>
      <c r="AH867" s="227"/>
      <c r="AI867" s="227"/>
      <c r="AJ867" s="227"/>
      <c r="AK867" s="227"/>
      <c r="AL867" s="227"/>
      <c r="AM867" s="227"/>
      <c r="AN867" s="227"/>
      <c r="AO867" s="227"/>
      <c r="AP867" s="227"/>
      <c r="AQ867" s="227"/>
      <c r="AR867" s="227"/>
      <c r="AS867" s="227"/>
      <c r="AT867" s="227"/>
      <c r="AU867" s="227"/>
      <c r="AV867" s="227"/>
      <c r="AW867" s="227"/>
      <c r="AX867" s="227"/>
      <c r="AY867" s="227"/>
      <c r="AZ867" s="227"/>
      <c r="BA867" s="227"/>
      <c r="BB867" s="227"/>
      <c r="BC867" s="227"/>
      <c r="BD867" s="227"/>
      <c r="BE867" s="227"/>
      <c r="BF867" s="227"/>
      <c r="BG867" s="227"/>
      <c r="BH867" s="227"/>
      <c r="BI867" s="227"/>
    </row>
    <row r="868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  <c r="AB868" s="227"/>
      <c r="AC868" s="227"/>
      <c r="AD868" s="227"/>
      <c r="AE868" s="227"/>
      <c r="AF868" s="227"/>
      <c r="AG868" s="227"/>
      <c r="AH868" s="227"/>
      <c r="AI868" s="227"/>
      <c r="AJ868" s="227"/>
      <c r="AK868" s="227"/>
      <c r="AL868" s="227"/>
      <c r="AM868" s="227"/>
      <c r="AN868" s="227"/>
      <c r="AO868" s="227"/>
      <c r="AP868" s="227"/>
      <c r="AQ868" s="227"/>
      <c r="AR868" s="227"/>
      <c r="AS868" s="227"/>
      <c r="AT868" s="227"/>
      <c r="AU868" s="227"/>
      <c r="AV868" s="227"/>
      <c r="AW868" s="227"/>
      <c r="AX868" s="227"/>
      <c r="AY868" s="227"/>
      <c r="AZ868" s="227"/>
      <c r="BA868" s="227"/>
      <c r="BB868" s="227"/>
      <c r="BC868" s="227"/>
      <c r="BD868" s="227"/>
      <c r="BE868" s="227"/>
      <c r="BF868" s="227"/>
      <c r="BG868" s="227"/>
      <c r="BH868" s="227"/>
      <c r="BI868" s="227"/>
    </row>
    <row r="869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  <c r="AB869" s="227"/>
      <c r="AC869" s="227"/>
      <c r="AD869" s="227"/>
      <c r="AE869" s="227"/>
      <c r="AF869" s="227"/>
      <c r="AG869" s="227"/>
      <c r="AH869" s="227"/>
      <c r="AI869" s="227"/>
      <c r="AJ869" s="227"/>
      <c r="AK869" s="227"/>
      <c r="AL869" s="227"/>
      <c r="AM869" s="227"/>
      <c r="AN869" s="227"/>
      <c r="AO869" s="227"/>
      <c r="AP869" s="227"/>
      <c r="AQ869" s="227"/>
      <c r="AR869" s="227"/>
      <c r="AS869" s="227"/>
      <c r="AT869" s="227"/>
      <c r="AU869" s="227"/>
      <c r="AV869" s="227"/>
      <c r="AW869" s="227"/>
      <c r="AX869" s="227"/>
      <c r="AY869" s="227"/>
      <c r="AZ869" s="227"/>
      <c r="BA869" s="227"/>
      <c r="BB869" s="227"/>
      <c r="BC869" s="227"/>
      <c r="BD869" s="227"/>
      <c r="BE869" s="227"/>
      <c r="BF869" s="227"/>
      <c r="BG869" s="227"/>
      <c r="BH869" s="227"/>
      <c r="BI869" s="227"/>
    </row>
    <row r="870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  <c r="AB870" s="227"/>
      <c r="AC870" s="227"/>
      <c r="AD870" s="227"/>
      <c r="AE870" s="227"/>
      <c r="AF870" s="227"/>
      <c r="AG870" s="227"/>
      <c r="AH870" s="227"/>
      <c r="AI870" s="227"/>
      <c r="AJ870" s="227"/>
      <c r="AK870" s="227"/>
      <c r="AL870" s="227"/>
      <c r="AM870" s="227"/>
      <c r="AN870" s="227"/>
      <c r="AO870" s="227"/>
      <c r="AP870" s="227"/>
      <c r="AQ870" s="227"/>
      <c r="AR870" s="227"/>
      <c r="AS870" s="227"/>
      <c r="AT870" s="227"/>
      <c r="AU870" s="227"/>
      <c r="AV870" s="227"/>
      <c r="AW870" s="227"/>
      <c r="AX870" s="227"/>
      <c r="AY870" s="227"/>
      <c r="AZ870" s="227"/>
      <c r="BA870" s="227"/>
      <c r="BB870" s="227"/>
      <c r="BC870" s="227"/>
      <c r="BD870" s="227"/>
      <c r="BE870" s="227"/>
      <c r="BF870" s="227"/>
      <c r="BG870" s="227"/>
      <c r="BH870" s="227"/>
      <c r="BI870" s="227"/>
    </row>
    <row r="87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  <c r="AB871" s="227"/>
      <c r="AC871" s="227"/>
      <c r="AD871" s="227"/>
      <c r="AE871" s="227"/>
      <c r="AF871" s="227"/>
      <c r="AG871" s="227"/>
      <c r="AH871" s="227"/>
      <c r="AI871" s="227"/>
      <c r="AJ871" s="227"/>
      <c r="AK871" s="227"/>
      <c r="AL871" s="227"/>
      <c r="AM871" s="227"/>
      <c r="AN871" s="227"/>
      <c r="AO871" s="227"/>
      <c r="AP871" s="227"/>
      <c r="AQ871" s="227"/>
      <c r="AR871" s="227"/>
      <c r="AS871" s="227"/>
      <c r="AT871" s="227"/>
      <c r="AU871" s="227"/>
      <c r="AV871" s="227"/>
      <c r="AW871" s="227"/>
      <c r="AX871" s="227"/>
      <c r="AY871" s="227"/>
      <c r="AZ871" s="227"/>
      <c r="BA871" s="227"/>
      <c r="BB871" s="227"/>
      <c r="BC871" s="227"/>
      <c r="BD871" s="227"/>
      <c r="BE871" s="227"/>
      <c r="BF871" s="227"/>
      <c r="BG871" s="227"/>
      <c r="BH871" s="227"/>
      <c r="BI871" s="227"/>
    </row>
    <row r="872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  <c r="AB872" s="227"/>
      <c r="AC872" s="227"/>
      <c r="AD872" s="227"/>
      <c r="AE872" s="227"/>
      <c r="AF872" s="227"/>
      <c r="AG872" s="227"/>
      <c r="AH872" s="227"/>
      <c r="AI872" s="227"/>
      <c r="AJ872" s="227"/>
      <c r="AK872" s="227"/>
      <c r="AL872" s="227"/>
      <c r="AM872" s="227"/>
      <c r="AN872" s="227"/>
      <c r="AO872" s="227"/>
      <c r="AP872" s="227"/>
      <c r="AQ872" s="227"/>
      <c r="AR872" s="227"/>
      <c r="AS872" s="227"/>
      <c r="AT872" s="227"/>
      <c r="AU872" s="227"/>
      <c r="AV872" s="227"/>
      <c r="AW872" s="227"/>
      <c r="AX872" s="227"/>
      <c r="AY872" s="227"/>
      <c r="AZ872" s="227"/>
      <c r="BA872" s="227"/>
      <c r="BB872" s="227"/>
      <c r="BC872" s="227"/>
      <c r="BD872" s="227"/>
      <c r="BE872" s="227"/>
      <c r="BF872" s="227"/>
      <c r="BG872" s="227"/>
      <c r="BH872" s="227"/>
      <c r="BI872" s="227"/>
    </row>
    <row r="873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  <c r="AB873" s="227"/>
      <c r="AC873" s="227"/>
      <c r="AD873" s="227"/>
      <c r="AE873" s="227"/>
      <c r="AF873" s="227"/>
      <c r="AG873" s="227"/>
      <c r="AH873" s="227"/>
      <c r="AI873" s="227"/>
      <c r="AJ873" s="227"/>
      <c r="AK873" s="227"/>
      <c r="AL873" s="227"/>
      <c r="AM873" s="227"/>
      <c r="AN873" s="227"/>
      <c r="AO873" s="227"/>
      <c r="AP873" s="227"/>
      <c r="AQ873" s="227"/>
      <c r="AR873" s="227"/>
      <c r="AS873" s="227"/>
      <c r="AT873" s="227"/>
      <c r="AU873" s="227"/>
      <c r="AV873" s="227"/>
      <c r="AW873" s="227"/>
      <c r="AX873" s="227"/>
      <c r="AY873" s="227"/>
      <c r="AZ873" s="227"/>
      <c r="BA873" s="227"/>
      <c r="BB873" s="227"/>
      <c r="BC873" s="227"/>
      <c r="BD873" s="227"/>
      <c r="BE873" s="227"/>
      <c r="BF873" s="227"/>
      <c r="BG873" s="227"/>
      <c r="BH873" s="227"/>
      <c r="BI873" s="227"/>
    </row>
    <row r="874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  <c r="AB874" s="227"/>
      <c r="AC874" s="227"/>
      <c r="AD874" s="227"/>
      <c r="AE874" s="227"/>
      <c r="AF874" s="227"/>
      <c r="AG874" s="227"/>
      <c r="AH874" s="227"/>
      <c r="AI874" s="227"/>
      <c r="AJ874" s="227"/>
      <c r="AK874" s="227"/>
      <c r="AL874" s="227"/>
      <c r="AM874" s="227"/>
      <c r="AN874" s="227"/>
      <c r="AO874" s="227"/>
      <c r="AP874" s="227"/>
      <c r="AQ874" s="227"/>
      <c r="AR874" s="227"/>
      <c r="AS874" s="227"/>
      <c r="AT874" s="227"/>
      <c r="AU874" s="227"/>
      <c r="AV874" s="227"/>
      <c r="AW874" s="227"/>
      <c r="AX874" s="227"/>
      <c r="AY874" s="227"/>
      <c r="AZ874" s="227"/>
      <c r="BA874" s="227"/>
      <c r="BB874" s="227"/>
      <c r="BC874" s="227"/>
      <c r="BD874" s="227"/>
      <c r="BE874" s="227"/>
      <c r="BF874" s="227"/>
      <c r="BG874" s="227"/>
      <c r="BH874" s="227"/>
      <c r="BI874" s="227"/>
    </row>
    <row r="875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  <c r="AB875" s="227"/>
      <c r="AC875" s="227"/>
      <c r="AD875" s="227"/>
      <c r="AE875" s="227"/>
      <c r="AF875" s="227"/>
      <c r="AG875" s="227"/>
      <c r="AH875" s="227"/>
      <c r="AI875" s="227"/>
      <c r="AJ875" s="227"/>
      <c r="AK875" s="227"/>
      <c r="AL875" s="227"/>
      <c r="AM875" s="227"/>
      <c r="AN875" s="227"/>
      <c r="AO875" s="227"/>
      <c r="AP875" s="227"/>
      <c r="AQ875" s="227"/>
      <c r="AR875" s="227"/>
      <c r="AS875" s="227"/>
      <c r="AT875" s="227"/>
      <c r="AU875" s="227"/>
      <c r="AV875" s="227"/>
      <c r="AW875" s="227"/>
      <c r="AX875" s="227"/>
      <c r="AY875" s="227"/>
      <c r="AZ875" s="227"/>
      <c r="BA875" s="227"/>
      <c r="BB875" s="227"/>
      <c r="BC875" s="227"/>
      <c r="BD875" s="227"/>
      <c r="BE875" s="227"/>
      <c r="BF875" s="227"/>
      <c r="BG875" s="227"/>
      <c r="BH875" s="227"/>
      <c r="BI875" s="227"/>
    </row>
    <row r="87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  <c r="AB876" s="227"/>
      <c r="AC876" s="227"/>
      <c r="AD876" s="227"/>
      <c r="AE876" s="227"/>
      <c r="AF876" s="227"/>
      <c r="AG876" s="227"/>
      <c r="AH876" s="227"/>
      <c r="AI876" s="227"/>
      <c r="AJ876" s="227"/>
      <c r="AK876" s="227"/>
      <c r="AL876" s="227"/>
      <c r="AM876" s="227"/>
      <c r="AN876" s="227"/>
      <c r="AO876" s="227"/>
      <c r="AP876" s="227"/>
      <c r="AQ876" s="227"/>
      <c r="AR876" s="227"/>
      <c r="AS876" s="227"/>
      <c r="AT876" s="227"/>
      <c r="AU876" s="227"/>
      <c r="AV876" s="227"/>
      <c r="AW876" s="227"/>
      <c r="AX876" s="227"/>
      <c r="AY876" s="227"/>
      <c r="AZ876" s="227"/>
      <c r="BA876" s="227"/>
      <c r="BB876" s="227"/>
      <c r="BC876" s="227"/>
      <c r="BD876" s="227"/>
      <c r="BE876" s="227"/>
      <c r="BF876" s="227"/>
      <c r="BG876" s="227"/>
      <c r="BH876" s="227"/>
      <c r="BI876" s="227"/>
    </row>
    <row r="877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  <c r="AB877" s="227"/>
      <c r="AC877" s="227"/>
      <c r="AD877" s="227"/>
      <c r="AE877" s="227"/>
      <c r="AF877" s="227"/>
      <c r="AG877" s="227"/>
      <c r="AH877" s="227"/>
      <c r="AI877" s="227"/>
      <c r="AJ877" s="227"/>
      <c r="AK877" s="227"/>
      <c r="AL877" s="227"/>
      <c r="AM877" s="227"/>
      <c r="AN877" s="227"/>
      <c r="AO877" s="227"/>
      <c r="AP877" s="227"/>
      <c r="AQ877" s="227"/>
      <c r="AR877" s="227"/>
      <c r="AS877" s="227"/>
      <c r="AT877" s="227"/>
      <c r="AU877" s="227"/>
      <c r="AV877" s="227"/>
      <c r="AW877" s="227"/>
      <c r="AX877" s="227"/>
      <c r="AY877" s="227"/>
      <c r="AZ877" s="227"/>
      <c r="BA877" s="227"/>
      <c r="BB877" s="227"/>
      <c r="BC877" s="227"/>
      <c r="BD877" s="227"/>
      <c r="BE877" s="227"/>
      <c r="BF877" s="227"/>
      <c r="BG877" s="227"/>
      <c r="BH877" s="227"/>
      <c r="BI877" s="227"/>
    </row>
    <row r="878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  <c r="AB878" s="227"/>
      <c r="AC878" s="227"/>
      <c r="AD878" s="227"/>
      <c r="AE878" s="227"/>
      <c r="AF878" s="227"/>
      <c r="AG878" s="227"/>
      <c r="AH878" s="227"/>
      <c r="AI878" s="227"/>
      <c r="AJ878" s="227"/>
      <c r="AK878" s="227"/>
      <c r="AL878" s="227"/>
      <c r="AM878" s="227"/>
      <c r="AN878" s="227"/>
      <c r="AO878" s="227"/>
      <c r="AP878" s="227"/>
      <c r="AQ878" s="227"/>
      <c r="AR878" s="227"/>
      <c r="AS878" s="227"/>
      <c r="AT878" s="227"/>
      <c r="AU878" s="227"/>
      <c r="AV878" s="227"/>
      <c r="AW878" s="227"/>
      <c r="AX878" s="227"/>
      <c r="AY878" s="227"/>
      <c r="AZ878" s="227"/>
      <c r="BA878" s="227"/>
      <c r="BB878" s="227"/>
      <c r="BC878" s="227"/>
      <c r="BD878" s="227"/>
      <c r="BE878" s="227"/>
      <c r="BF878" s="227"/>
      <c r="BG878" s="227"/>
      <c r="BH878" s="227"/>
      <c r="BI878" s="227"/>
    </row>
    <row r="879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  <c r="AB879" s="227"/>
      <c r="AC879" s="227"/>
      <c r="AD879" s="227"/>
      <c r="AE879" s="227"/>
      <c r="AF879" s="227"/>
      <c r="AG879" s="227"/>
      <c r="AH879" s="227"/>
      <c r="AI879" s="227"/>
      <c r="AJ879" s="227"/>
      <c r="AK879" s="227"/>
      <c r="AL879" s="227"/>
      <c r="AM879" s="227"/>
      <c r="AN879" s="227"/>
      <c r="AO879" s="227"/>
      <c r="AP879" s="227"/>
      <c r="AQ879" s="227"/>
      <c r="AR879" s="227"/>
      <c r="AS879" s="227"/>
      <c r="AT879" s="227"/>
      <c r="AU879" s="227"/>
      <c r="AV879" s="227"/>
      <c r="AW879" s="227"/>
      <c r="AX879" s="227"/>
      <c r="AY879" s="227"/>
      <c r="AZ879" s="227"/>
      <c r="BA879" s="227"/>
      <c r="BB879" s="227"/>
      <c r="BC879" s="227"/>
      <c r="BD879" s="227"/>
      <c r="BE879" s="227"/>
      <c r="BF879" s="227"/>
      <c r="BG879" s="227"/>
      <c r="BH879" s="227"/>
      <c r="BI879" s="227"/>
    </row>
    <row r="880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  <c r="AB880" s="227"/>
      <c r="AC880" s="227"/>
      <c r="AD880" s="227"/>
      <c r="AE880" s="227"/>
      <c r="AF880" s="227"/>
      <c r="AG880" s="227"/>
      <c r="AH880" s="227"/>
      <c r="AI880" s="227"/>
      <c r="AJ880" s="227"/>
      <c r="AK880" s="227"/>
      <c r="AL880" s="227"/>
      <c r="AM880" s="227"/>
      <c r="AN880" s="227"/>
      <c r="AO880" s="227"/>
      <c r="AP880" s="227"/>
      <c r="AQ880" s="227"/>
      <c r="AR880" s="227"/>
      <c r="AS880" s="227"/>
      <c r="AT880" s="227"/>
      <c r="AU880" s="227"/>
      <c r="AV880" s="227"/>
      <c r="AW880" s="227"/>
      <c r="AX880" s="227"/>
      <c r="AY880" s="227"/>
      <c r="AZ880" s="227"/>
      <c r="BA880" s="227"/>
      <c r="BB880" s="227"/>
      <c r="BC880" s="227"/>
      <c r="BD880" s="227"/>
      <c r="BE880" s="227"/>
      <c r="BF880" s="227"/>
      <c r="BG880" s="227"/>
      <c r="BH880" s="227"/>
      <c r="BI880" s="227"/>
    </row>
    <row r="88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  <c r="AB881" s="227"/>
      <c r="AC881" s="227"/>
      <c r="AD881" s="227"/>
      <c r="AE881" s="227"/>
      <c r="AF881" s="227"/>
      <c r="AG881" s="227"/>
      <c r="AH881" s="227"/>
      <c r="AI881" s="227"/>
      <c r="AJ881" s="227"/>
      <c r="AK881" s="227"/>
      <c r="AL881" s="227"/>
      <c r="AM881" s="227"/>
      <c r="AN881" s="227"/>
      <c r="AO881" s="227"/>
      <c r="AP881" s="227"/>
      <c r="AQ881" s="227"/>
      <c r="AR881" s="227"/>
      <c r="AS881" s="227"/>
      <c r="AT881" s="227"/>
      <c r="AU881" s="227"/>
      <c r="AV881" s="227"/>
      <c r="AW881" s="227"/>
      <c r="AX881" s="227"/>
      <c r="AY881" s="227"/>
      <c r="AZ881" s="227"/>
      <c r="BA881" s="227"/>
      <c r="BB881" s="227"/>
      <c r="BC881" s="227"/>
      <c r="BD881" s="227"/>
      <c r="BE881" s="227"/>
      <c r="BF881" s="227"/>
      <c r="BG881" s="227"/>
      <c r="BH881" s="227"/>
      <c r="BI881" s="227"/>
    </row>
    <row r="882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  <c r="AB882" s="227"/>
      <c r="AC882" s="227"/>
      <c r="AD882" s="227"/>
      <c r="AE882" s="227"/>
      <c r="AF882" s="227"/>
      <c r="AG882" s="227"/>
      <c r="AH882" s="227"/>
      <c r="AI882" s="227"/>
      <c r="AJ882" s="227"/>
      <c r="AK882" s="227"/>
      <c r="AL882" s="227"/>
      <c r="AM882" s="227"/>
      <c r="AN882" s="227"/>
      <c r="AO882" s="227"/>
      <c r="AP882" s="227"/>
      <c r="AQ882" s="227"/>
      <c r="AR882" s="227"/>
      <c r="AS882" s="227"/>
      <c r="AT882" s="227"/>
      <c r="AU882" s="227"/>
      <c r="AV882" s="227"/>
      <c r="AW882" s="227"/>
      <c r="AX882" s="227"/>
      <c r="AY882" s="227"/>
      <c r="AZ882" s="227"/>
      <c r="BA882" s="227"/>
      <c r="BB882" s="227"/>
      <c r="BC882" s="227"/>
      <c r="BD882" s="227"/>
      <c r="BE882" s="227"/>
      <c r="BF882" s="227"/>
      <c r="BG882" s="227"/>
      <c r="BH882" s="227"/>
      <c r="BI882" s="227"/>
    </row>
    <row r="883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  <c r="AB883" s="227"/>
      <c r="AC883" s="227"/>
      <c r="AD883" s="227"/>
      <c r="AE883" s="227"/>
      <c r="AF883" s="227"/>
      <c r="AG883" s="227"/>
      <c r="AH883" s="227"/>
      <c r="AI883" s="227"/>
      <c r="AJ883" s="227"/>
      <c r="AK883" s="227"/>
      <c r="AL883" s="227"/>
      <c r="AM883" s="227"/>
      <c r="AN883" s="227"/>
      <c r="AO883" s="227"/>
      <c r="AP883" s="227"/>
      <c r="AQ883" s="227"/>
      <c r="AR883" s="227"/>
      <c r="AS883" s="227"/>
      <c r="AT883" s="227"/>
      <c r="AU883" s="227"/>
      <c r="AV883" s="227"/>
      <c r="AW883" s="227"/>
      <c r="AX883" s="227"/>
      <c r="AY883" s="227"/>
      <c r="AZ883" s="227"/>
      <c r="BA883" s="227"/>
      <c r="BB883" s="227"/>
      <c r="BC883" s="227"/>
      <c r="BD883" s="227"/>
      <c r="BE883" s="227"/>
      <c r="BF883" s="227"/>
      <c r="BG883" s="227"/>
      <c r="BH883" s="227"/>
      <c r="BI883" s="227"/>
    </row>
    <row r="884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  <c r="AB884" s="227"/>
      <c r="AC884" s="227"/>
      <c r="AD884" s="227"/>
      <c r="AE884" s="227"/>
      <c r="AF884" s="227"/>
      <c r="AG884" s="227"/>
      <c r="AH884" s="227"/>
      <c r="AI884" s="227"/>
      <c r="AJ884" s="227"/>
      <c r="AK884" s="227"/>
      <c r="AL884" s="227"/>
      <c r="AM884" s="227"/>
      <c r="AN884" s="227"/>
      <c r="AO884" s="227"/>
      <c r="AP884" s="227"/>
      <c r="AQ884" s="227"/>
      <c r="AR884" s="227"/>
      <c r="AS884" s="227"/>
      <c r="AT884" s="227"/>
      <c r="AU884" s="227"/>
      <c r="AV884" s="227"/>
      <c r="AW884" s="227"/>
      <c r="AX884" s="227"/>
      <c r="AY884" s="227"/>
      <c r="AZ884" s="227"/>
      <c r="BA884" s="227"/>
      <c r="BB884" s="227"/>
      <c r="BC884" s="227"/>
      <c r="BD884" s="227"/>
      <c r="BE884" s="227"/>
      <c r="BF884" s="227"/>
      <c r="BG884" s="227"/>
      <c r="BH884" s="227"/>
      <c r="BI884" s="227"/>
    </row>
    <row r="885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  <c r="AB885" s="227"/>
      <c r="AC885" s="227"/>
      <c r="AD885" s="227"/>
      <c r="AE885" s="227"/>
      <c r="AF885" s="227"/>
      <c r="AG885" s="227"/>
      <c r="AH885" s="227"/>
      <c r="AI885" s="227"/>
      <c r="AJ885" s="227"/>
      <c r="AK885" s="227"/>
      <c r="AL885" s="227"/>
      <c r="AM885" s="227"/>
      <c r="AN885" s="227"/>
      <c r="AO885" s="227"/>
      <c r="AP885" s="227"/>
      <c r="AQ885" s="227"/>
      <c r="AR885" s="227"/>
      <c r="AS885" s="227"/>
      <c r="AT885" s="227"/>
      <c r="AU885" s="227"/>
      <c r="AV885" s="227"/>
      <c r="AW885" s="227"/>
      <c r="AX885" s="227"/>
      <c r="AY885" s="227"/>
      <c r="AZ885" s="227"/>
      <c r="BA885" s="227"/>
      <c r="BB885" s="227"/>
      <c r="BC885" s="227"/>
      <c r="BD885" s="227"/>
      <c r="BE885" s="227"/>
      <c r="BF885" s="227"/>
      <c r="BG885" s="227"/>
      <c r="BH885" s="227"/>
      <c r="BI885" s="227"/>
    </row>
    <row r="88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  <c r="AB886" s="227"/>
      <c r="AC886" s="227"/>
      <c r="AD886" s="227"/>
      <c r="AE886" s="227"/>
      <c r="AF886" s="227"/>
      <c r="AG886" s="227"/>
      <c r="AH886" s="227"/>
      <c r="AI886" s="227"/>
      <c r="AJ886" s="227"/>
      <c r="AK886" s="227"/>
      <c r="AL886" s="227"/>
      <c r="AM886" s="227"/>
      <c r="AN886" s="227"/>
      <c r="AO886" s="227"/>
      <c r="AP886" s="227"/>
      <c r="AQ886" s="227"/>
      <c r="AR886" s="227"/>
      <c r="AS886" s="227"/>
      <c r="AT886" s="227"/>
      <c r="AU886" s="227"/>
      <c r="AV886" s="227"/>
      <c r="AW886" s="227"/>
      <c r="AX886" s="227"/>
      <c r="AY886" s="227"/>
      <c r="AZ886" s="227"/>
      <c r="BA886" s="227"/>
      <c r="BB886" s="227"/>
      <c r="BC886" s="227"/>
      <c r="BD886" s="227"/>
      <c r="BE886" s="227"/>
      <c r="BF886" s="227"/>
      <c r="BG886" s="227"/>
      <c r="BH886" s="227"/>
      <c r="BI886" s="227"/>
    </row>
    <row r="887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  <c r="AB887" s="227"/>
      <c r="AC887" s="227"/>
      <c r="AD887" s="227"/>
      <c r="AE887" s="227"/>
      <c r="AF887" s="227"/>
      <c r="AG887" s="227"/>
      <c r="AH887" s="227"/>
      <c r="AI887" s="227"/>
      <c r="AJ887" s="227"/>
      <c r="AK887" s="227"/>
      <c r="AL887" s="227"/>
      <c r="AM887" s="227"/>
      <c r="AN887" s="227"/>
      <c r="AO887" s="227"/>
      <c r="AP887" s="227"/>
      <c r="AQ887" s="227"/>
      <c r="AR887" s="227"/>
      <c r="AS887" s="227"/>
      <c r="AT887" s="227"/>
      <c r="AU887" s="227"/>
      <c r="AV887" s="227"/>
      <c r="AW887" s="227"/>
      <c r="AX887" s="227"/>
      <c r="AY887" s="227"/>
      <c r="AZ887" s="227"/>
      <c r="BA887" s="227"/>
      <c r="BB887" s="227"/>
      <c r="BC887" s="227"/>
      <c r="BD887" s="227"/>
      <c r="BE887" s="227"/>
      <c r="BF887" s="227"/>
      <c r="BG887" s="227"/>
      <c r="BH887" s="227"/>
      <c r="BI887" s="227"/>
    </row>
    <row r="888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  <c r="AB888" s="227"/>
      <c r="AC888" s="227"/>
      <c r="AD888" s="227"/>
      <c r="AE888" s="227"/>
      <c r="AF888" s="227"/>
      <c r="AG888" s="227"/>
      <c r="AH888" s="227"/>
      <c r="AI888" s="227"/>
      <c r="AJ888" s="227"/>
      <c r="AK888" s="227"/>
      <c r="AL888" s="227"/>
      <c r="AM888" s="227"/>
      <c r="AN888" s="227"/>
      <c r="AO888" s="227"/>
      <c r="AP888" s="227"/>
      <c r="AQ888" s="227"/>
      <c r="AR888" s="227"/>
      <c r="AS888" s="227"/>
      <c r="AT888" s="227"/>
      <c r="AU888" s="227"/>
      <c r="AV888" s="227"/>
      <c r="AW888" s="227"/>
      <c r="AX888" s="227"/>
      <c r="AY888" s="227"/>
      <c r="AZ888" s="227"/>
      <c r="BA888" s="227"/>
      <c r="BB888" s="227"/>
      <c r="BC888" s="227"/>
      <c r="BD888" s="227"/>
      <c r="BE888" s="227"/>
      <c r="BF888" s="227"/>
      <c r="BG888" s="227"/>
      <c r="BH888" s="227"/>
      <c r="BI888" s="227"/>
    </row>
    <row r="889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  <c r="AB889" s="227"/>
      <c r="AC889" s="227"/>
      <c r="AD889" s="227"/>
      <c r="AE889" s="227"/>
      <c r="AF889" s="227"/>
      <c r="AG889" s="227"/>
      <c r="AH889" s="227"/>
      <c r="AI889" s="227"/>
      <c r="AJ889" s="227"/>
      <c r="AK889" s="227"/>
      <c r="AL889" s="227"/>
      <c r="AM889" s="227"/>
      <c r="AN889" s="227"/>
      <c r="AO889" s="227"/>
      <c r="AP889" s="227"/>
      <c r="AQ889" s="227"/>
      <c r="AR889" s="227"/>
      <c r="AS889" s="227"/>
      <c r="AT889" s="227"/>
      <c r="AU889" s="227"/>
      <c r="AV889" s="227"/>
      <c r="AW889" s="227"/>
      <c r="AX889" s="227"/>
      <c r="AY889" s="227"/>
      <c r="AZ889" s="227"/>
      <c r="BA889" s="227"/>
      <c r="BB889" s="227"/>
      <c r="BC889" s="227"/>
      <c r="BD889" s="227"/>
      <c r="BE889" s="227"/>
      <c r="BF889" s="227"/>
      <c r="BG889" s="227"/>
      <c r="BH889" s="227"/>
      <c r="BI889" s="227"/>
    </row>
    <row r="890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  <c r="AB890" s="227"/>
      <c r="AC890" s="227"/>
      <c r="AD890" s="227"/>
      <c r="AE890" s="227"/>
      <c r="AF890" s="227"/>
      <c r="AG890" s="227"/>
      <c r="AH890" s="227"/>
      <c r="AI890" s="227"/>
      <c r="AJ890" s="227"/>
      <c r="AK890" s="227"/>
      <c r="AL890" s="227"/>
      <c r="AM890" s="227"/>
      <c r="AN890" s="227"/>
      <c r="AO890" s="227"/>
      <c r="AP890" s="227"/>
      <c r="AQ890" s="227"/>
      <c r="AR890" s="227"/>
      <c r="AS890" s="227"/>
      <c r="AT890" s="227"/>
      <c r="AU890" s="227"/>
      <c r="AV890" s="227"/>
      <c r="AW890" s="227"/>
      <c r="AX890" s="227"/>
      <c r="AY890" s="227"/>
      <c r="AZ890" s="227"/>
      <c r="BA890" s="227"/>
      <c r="BB890" s="227"/>
      <c r="BC890" s="227"/>
      <c r="BD890" s="227"/>
      <c r="BE890" s="227"/>
      <c r="BF890" s="227"/>
      <c r="BG890" s="227"/>
      <c r="BH890" s="227"/>
      <c r="BI890" s="227"/>
    </row>
    <row r="89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  <c r="AB891" s="227"/>
      <c r="AC891" s="227"/>
      <c r="AD891" s="227"/>
      <c r="AE891" s="227"/>
      <c r="AF891" s="227"/>
      <c r="AG891" s="227"/>
      <c r="AH891" s="227"/>
      <c r="AI891" s="227"/>
      <c r="AJ891" s="227"/>
      <c r="AK891" s="227"/>
      <c r="AL891" s="227"/>
      <c r="AM891" s="227"/>
      <c r="AN891" s="227"/>
      <c r="AO891" s="227"/>
      <c r="AP891" s="227"/>
      <c r="AQ891" s="227"/>
      <c r="AR891" s="227"/>
      <c r="AS891" s="227"/>
      <c r="AT891" s="227"/>
      <c r="AU891" s="227"/>
      <c r="AV891" s="227"/>
      <c r="AW891" s="227"/>
      <c r="AX891" s="227"/>
      <c r="AY891" s="227"/>
      <c r="AZ891" s="227"/>
      <c r="BA891" s="227"/>
      <c r="BB891" s="227"/>
      <c r="BC891" s="227"/>
      <c r="BD891" s="227"/>
      <c r="BE891" s="227"/>
      <c r="BF891" s="227"/>
      <c r="BG891" s="227"/>
      <c r="BH891" s="227"/>
      <c r="BI891" s="227"/>
    </row>
    <row r="892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  <c r="AB892" s="227"/>
      <c r="AC892" s="227"/>
      <c r="AD892" s="227"/>
      <c r="AE892" s="227"/>
      <c r="AF892" s="227"/>
      <c r="AG892" s="227"/>
      <c r="AH892" s="227"/>
      <c r="AI892" s="227"/>
      <c r="AJ892" s="227"/>
      <c r="AK892" s="227"/>
      <c r="AL892" s="227"/>
      <c r="AM892" s="227"/>
      <c r="AN892" s="227"/>
      <c r="AO892" s="227"/>
      <c r="AP892" s="227"/>
      <c r="AQ892" s="227"/>
      <c r="AR892" s="227"/>
      <c r="AS892" s="227"/>
      <c r="AT892" s="227"/>
      <c r="AU892" s="227"/>
      <c r="AV892" s="227"/>
      <c r="AW892" s="227"/>
      <c r="AX892" s="227"/>
      <c r="AY892" s="227"/>
      <c r="AZ892" s="227"/>
      <c r="BA892" s="227"/>
      <c r="BB892" s="227"/>
      <c r="BC892" s="227"/>
      <c r="BD892" s="227"/>
      <c r="BE892" s="227"/>
      <c r="BF892" s="227"/>
      <c r="BG892" s="227"/>
      <c r="BH892" s="227"/>
      <c r="BI892" s="227"/>
    </row>
    <row r="893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  <c r="AB893" s="227"/>
      <c r="AC893" s="227"/>
      <c r="AD893" s="227"/>
      <c r="AE893" s="227"/>
      <c r="AF893" s="227"/>
      <c r="AG893" s="227"/>
      <c r="AH893" s="227"/>
      <c r="AI893" s="227"/>
      <c r="AJ893" s="227"/>
      <c r="AK893" s="227"/>
      <c r="AL893" s="227"/>
      <c r="AM893" s="227"/>
      <c r="AN893" s="227"/>
      <c r="AO893" s="227"/>
      <c r="AP893" s="227"/>
      <c r="AQ893" s="227"/>
      <c r="AR893" s="227"/>
      <c r="AS893" s="227"/>
      <c r="AT893" s="227"/>
      <c r="AU893" s="227"/>
      <c r="AV893" s="227"/>
      <c r="AW893" s="227"/>
      <c r="AX893" s="227"/>
      <c r="AY893" s="227"/>
      <c r="AZ893" s="227"/>
      <c r="BA893" s="227"/>
      <c r="BB893" s="227"/>
      <c r="BC893" s="227"/>
      <c r="BD893" s="227"/>
      <c r="BE893" s="227"/>
      <c r="BF893" s="227"/>
      <c r="BG893" s="227"/>
      <c r="BH893" s="227"/>
      <c r="BI893" s="227"/>
    </row>
    <row r="894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  <c r="AB894" s="227"/>
      <c r="AC894" s="227"/>
      <c r="AD894" s="227"/>
      <c r="AE894" s="227"/>
      <c r="AF894" s="227"/>
      <c r="AG894" s="227"/>
      <c r="AH894" s="227"/>
      <c r="AI894" s="227"/>
      <c r="AJ894" s="227"/>
      <c r="AK894" s="227"/>
      <c r="AL894" s="227"/>
      <c r="AM894" s="227"/>
      <c r="AN894" s="227"/>
      <c r="AO894" s="227"/>
      <c r="AP894" s="227"/>
      <c r="AQ894" s="227"/>
      <c r="AR894" s="227"/>
      <c r="AS894" s="227"/>
      <c r="AT894" s="227"/>
      <c r="AU894" s="227"/>
      <c r="AV894" s="227"/>
      <c r="AW894" s="227"/>
      <c r="AX894" s="227"/>
      <c r="AY894" s="227"/>
      <c r="AZ894" s="227"/>
      <c r="BA894" s="227"/>
      <c r="BB894" s="227"/>
      <c r="BC894" s="227"/>
      <c r="BD894" s="227"/>
      <c r="BE894" s="227"/>
      <c r="BF894" s="227"/>
      <c r="BG894" s="227"/>
      <c r="BH894" s="227"/>
      <c r="BI894" s="227"/>
    </row>
    <row r="895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  <c r="AB895" s="227"/>
      <c r="AC895" s="227"/>
      <c r="AD895" s="227"/>
      <c r="AE895" s="227"/>
      <c r="AF895" s="227"/>
      <c r="AG895" s="227"/>
      <c r="AH895" s="227"/>
      <c r="AI895" s="227"/>
      <c r="AJ895" s="227"/>
      <c r="AK895" s="227"/>
      <c r="AL895" s="227"/>
      <c r="AM895" s="227"/>
      <c r="AN895" s="227"/>
      <c r="AO895" s="227"/>
      <c r="AP895" s="227"/>
      <c r="AQ895" s="227"/>
      <c r="AR895" s="227"/>
      <c r="AS895" s="227"/>
      <c r="AT895" s="227"/>
      <c r="AU895" s="227"/>
      <c r="AV895" s="227"/>
      <c r="AW895" s="227"/>
      <c r="AX895" s="227"/>
      <c r="AY895" s="227"/>
      <c r="AZ895" s="227"/>
      <c r="BA895" s="227"/>
      <c r="BB895" s="227"/>
      <c r="BC895" s="227"/>
      <c r="BD895" s="227"/>
      <c r="BE895" s="227"/>
      <c r="BF895" s="227"/>
      <c r="BG895" s="227"/>
      <c r="BH895" s="227"/>
      <c r="BI895" s="227"/>
    </row>
    <row r="89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  <c r="AB896" s="227"/>
      <c r="AC896" s="227"/>
      <c r="AD896" s="227"/>
      <c r="AE896" s="227"/>
      <c r="AF896" s="227"/>
      <c r="AG896" s="227"/>
      <c r="AH896" s="227"/>
      <c r="AI896" s="227"/>
      <c r="AJ896" s="227"/>
      <c r="AK896" s="227"/>
      <c r="AL896" s="227"/>
      <c r="AM896" s="227"/>
      <c r="AN896" s="227"/>
      <c r="AO896" s="227"/>
      <c r="AP896" s="227"/>
      <c r="AQ896" s="227"/>
      <c r="AR896" s="227"/>
      <c r="AS896" s="227"/>
      <c r="AT896" s="227"/>
      <c r="AU896" s="227"/>
      <c r="AV896" s="227"/>
      <c r="AW896" s="227"/>
      <c r="AX896" s="227"/>
      <c r="AY896" s="227"/>
      <c r="AZ896" s="227"/>
      <c r="BA896" s="227"/>
      <c r="BB896" s="227"/>
      <c r="BC896" s="227"/>
      <c r="BD896" s="227"/>
      <c r="BE896" s="227"/>
      <c r="BF896" s="227"/>
      <c r="BG896" s="227"/>
      <c r="BH896" s="227"/>
      <c r="BI896" s="227"/>
    </row>
    <row r="897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  <c r="AB897" s="227"/>
      <c r="AC897" s="227"/>
      <c r="AD897" s="227"/>
      <c r="AE897" s="227"/>
      <c r="AF897" s="227"/>
      <c r="AG897" s="227"/>
      <c r="AH897" s="227"/>
      <c r="AI897" s="227"/>
      <c r="AJ897" s="227"/>
      <c r="AK897" s="227"/>
      <c r="AL897" s="227"/>
      <c r="AM897" s="227"/>
      <c r="AN897" s="227"/>
      <c r="AO897" s="227"/>
      <c r="AP897" s="227"/>
      <c r="AQ897" s="227"/>
      <c r="AR897" s="227"/>
      <c r="AS897" s="227"/>
      <c r="AT897" s="227"/>
      <c r="AU897" s="227"/>
      <c r="AV897" s="227"/>
      <c r="AW897" s="227"/>
      <c r="AX897" s="227"/>
      <c r="AY897" s="227"/>
      <c r="AZ897" s="227"/>
      <c r="BA897" s="227"/>
      <c r="BB897" s="227"/>
      <c r="BC897" s="227"/>
      <c r="BD897" s="227"/>
      <c r="BE897" s="227"/>
      <c r="BF897" s="227"/>
      <c r="BG897" s="227"/>
      <c r="BH897" s="227"/>
      <c r="BI897" s="227"/>
    </row>
    <row r="898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  <c r="AB898" s="227"/>
      <c r="AC898" s="227"/>
      <c r="AD898" s="227"/>
      <c r="AE898" s="227"/>
      <c r="AF898" s="227"/>
      <c r="AG898" s="227"/>
      <c r="AH898" s="227"/>
      <c r="AI898" s="227"/>
      <c r="AJ898" s="227"/>
      <c r="AK898" s="227"/>
      <c r="AL898" s="227"/>
      <c r="AM898" s="227"/>
      <c r="AN898" s="227"/>
      <c r="AO898" s="227"/>
      <c r="AP898" s="227"/>
      <c r="AQ898" s="227"/>
      <c r="AR898" s="227"/>
      <c r="AS898" s="227"/>
      <c r="AT898" s="227"/>
      <c r="AU898" s="227"/>
      <c r="AV898" s="227"/>
      <c r="AW898" s="227"/>
      <c r="AX898" s="227"/>
      <c r="AY898" s="227"/>
      <c r="AZ898" s="227"/>
      <c r="BA898" s="227"/>
      <c r="BB898" s="227"/>
      <c r="BC898" s="227"/>
      <c r="BD898" s="227"/>
      <c r="BE898" s="227"/>
      <c r="BF898" s="227"/>
      <c r="BG898" s="227"/>
      <c r="BH898" s="227"/>
      <c r="BI898" s="227"/>
    </row>
    <row r="899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  <c r="AB899" s="227"/>
      <c r="AC899" s="227"/>
      <c r="AD899" s="227"/>
      <c r="AE899" s="227"/>
      <c r="AF899" s="227"/>
      <c r="AG899" s="227"/>
      <c r="AH899" s="227"/>
      <c r="AI899" s="227"/>
      <c r="AJ899" s="227"/>
      <c r="AK899" s="227"/>
      <c r="AL899" s="227"/>
      <c r="AM899" s="227"/>
      <c r="AN899" s="227"/>
      <c r="AO899" s="227"/>
      <c r="AP899" s="227"/>
      <c r="AQ899" s="227"/>
      <c r="AR899" s="227"/>
      <c r="AS899" s="227"/>
      <c r="AT899" s="227"/>
      <c r="AU899" s="227"/>
      <c r="AV899" s="227"/>
      <c r="AW899" s="227"/>
      <c r="AX899" s="227"/>
      <c r="AY899" s="227"/>
      <c r="AZ899" s="227"/>
      <c r="BA899" s="227"/>
      <c r="BB899" s="227"/>
      <c r="BC899" s="227"/>
      <c r="BD899" s="227"/>
      <c r="BE899" s="227"/>
      <c r="BF899" s="227"/>
      <c r="BG899" s="227"/>
      <c r="BH899" s="227"/>
      <c r="BI899" s="227"/>
    </row>
    <row r="900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  <c r="AB900" s="227"/>
      <c r="AC900" s="227"/>
      <c r="AD900" s="227"/>
      <c r="AE900" s="227"/>
      <c r="AF900" s="227"/>
      <c r="AG900" s="227"/>
      <c r="AH900" s="227"/>
      <c r="AI900" s="227"/>
      <c r="AJ900" s="227"/>
      <c r="AK900" s="227"/>
      <c r="AL900" s="227"/>
      <c r="AM900" s="227"/>
      <c r="AN900" s="227"/>
      <c r="AO900" s="227"/>
      <c r="AP900" s="227"/>
      <c r="AQ900" s="227"/>
      <c r="AR900" s="227"/>
      <c r="AS900" s="227"/>
      <c r="AT900" s="227"/>
      <c r="AU900" s="227"/>
      <c r="AV900" s="227"/>
      <c r="AW900" s="227"/>
      <c r="AX900" s="227"/>
      <c r="AY900" s="227"/>
      <c r="AZ900" s="227"/>
      <c r="BA900" s="227"/>
      <c r="BB900" s="227"/>
      <c r="BC900" s="227"/>
      <c r="BD900" s="227"/>
      <c r="BE900" s="227"/>
      <c r="BF900" s="227"/>
      <c r="BG900" s="227"/>
      <c r="BH900" s="227"/>
      <c r="BI900" s="227"/>
    </row>
    <row r="90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  <c r="AB901" s="227"/>
      <c r="AC901" s="227"/>
      <c r="AD901" s="227"/>
      <c r="AE901" s="227"/>
      <c r="AF901" s="227"/>
      <c r="AG901" s="227"/>
      <c r="AH901" s="227"/>
      <c r="AI901" s="227"/>
      <c r="AJ901" s="227"/>
      <c r="AK901" s="227"/>
      <c r="AL901" s="227"/>
      <c r="AM901" s="227"/>
      <c r="AN901" s="227"/>
      <c r="AO901" s="227"/>
      <c r="AP901" s="227"/>
      <c r="AQ901" s="227"/>
      <c r="AR901" s="227"/>
      <c r="AS901" s="227"/>
      <c r="AT901" s="227"/>
      <c r="AU901" s="227"/>
      <c r="AV901" s="227"/>
      <c r="AW901" s="227"/>
      <c r="AX901" s="227"/>
      <c r="AY901" s="227"/>
      <c r="AZ901" s="227"/>
      <c r="BA901" s="227"/>
      <c r="BB901" s="227"/>
      <c r="BC901" s="227"/>
      <c r="BD901" s="227"/>
      <c r="BE901" s="227"/>
      <c r="BF901" s="227"/>
      <c r="BG901" s="227"/>
      <c r="BH901" s="227"/>
      <c r="BI901" s="227"/>
    </row>
    <row r="902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  <c r="AB902" s="227"/>
      <c r="AC902" s="227"/>
      <c r="AD902" s="227"/>
      <c r="AE902" s="227"/>
      <c r="AF902" s="227"/>
      <c r="AG902" s="227"/>
      <c r="AH902" s="227"/>
      <c r="AI902" s="227"/>
      <c r="AJ902" s="227"/>
      <c r="AK902" s="227"/>
      <c r="AL902" s="227"/>
      <c r="AM902" s="227"/>
      <c r="AN902" s="227"/>
      <c r="AO902" s="227"/>
      <c r="AP902" s="227"/>
      <c r="AQ902" s="227"/>
      <c r="AR902" s="227"/>
      <c r="AS902" s="227"/>
      <c r="AT902" s="227"/>
      <c r="AU902" s="227"/>
      <c r="AV902" s="227"/>
      <c r="AW902" s="227"/>
      <c r="AX902" s="227"/>
      <c r="AY902" s="227"/>
      <c r="AZ902" s="227"/>
      <c r="BA902" s="227"/>
      <c r="BB902" s="227"/>
      <c r="BC902" s="227"/>
      <c r="BD902" s="227"/>
      <c r="BE902" s="227"/>
      <c r="BF902" s="227"/>
      <c r="BG902" s="227"/>
      <c r="BH902" s="227"/>
      <c r="BI902" s="227"/>
    </row>
    <row r="903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  <c r="AB903" s="227"/>
      <c r="AC903" s="227"/>
      <c r="AD903" s="227"/>
      <c r="AE903" s="227"/>
      <c r="AF903" s="227"/>
      <c r="AG903" s="227"/>
      <c r="AH903" s="227"/>
      <c r="AI903" s="227"/>
      <c r="AJ903" s="227"/>
      <c r="AK903" s="227"/>
      <c r="AL903" s="227"/>
      <c r="AM903" s="227"/>
      <c r="AN903" s="227"/>
      <c r="AO903" s="227"/>
      <c r="AP903" s="227"/>
      <c r="AQ903" s="227"/>
      <c r="AR903" s="227"/>
      <c r="AS903" s="227"/>
      <c r="AT903" s="227"/>
      <c r="AU903" s="227"/>
      <c r="AV903" s="227"/>
      <c r="AW903" s="227"/>
      <c r="AX903" s="227"/>
      <c r="AY903" s="227"/>
      <c r="AZ903" s="227"/>
      <c r="BA903" s="227"/>
      <c r="BB903" s="227"/>
      <c r="BC903" s="227"/>
      <c r="BD903" s="227"/>
      <c r="BE903" s="227"/>
      <c r="BF903" s="227"/>
      <c r="BG903" s="227"/>
      <c r="BH903" s="227"/>
      <c r="BI903" s="227"/>
    </row>
    <row r="904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  <c r="AB904" s="227"/>
      <c r="AC904" s="227"/>
      <c r="AD904" s="227"/>
      <c r="AE904" s="227"/>
      <c r="AF904" s="227"/>
      <c r="AG904" s="227"/>
      <c r="AH904" s="227"/>
      <c r="AI904" s="227"/>
      <c r="AJ904" s="227"/>
      <c r="AK904" s="227"/>
      <c r="AL904" s="227"/>
      <c r="AM904" s="227"/>
      <c r="AN904" s="227"/>
      <c r="AO904" s="227"/>
      <c r="AP904" s="227"/>
      <c r="AQ904" s="227"/>
      <c r="AR904" s="227"/>
      <c r="AS904" s="227"/>
      <c r="AT904" s="227"/>
      <c r="AU904" s="227"/>
      <c r="AV904" s="227"/>
      <c r="AW904" s="227"/>
      <c r="AX904" s="227"/>
      <c r="AY904" s="227"/>
      <c r="AZ904" s="227"/>
      <c r="BA904" s="227"/>
      <c r="BB904" s="227"/>
      <c r="BC904" s="227"/>
      <c r="BD904" s="227"/>
      <c r="BE904" s="227"/>
      <c r="BF904" s="227"/>
      <c r="BG904" s="227"/>
      <c r="BH904" s="227"/>
      <c r="BI904" s="227"/>
    </row>
    <row r="905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  <c r="AB905" s="227"/>
      <c r="AC905" s="227"/>
      <c r="AD905" s="227"/>
      <c r="AE905" s="227"/>
      <c r="AF905" s="227"/>
      <c r="AG905" s="227"/>
      <c r="AH905" s="227"/>
      <c r="AI905" s="227"/>
      <c r="AJ905" s="227"/>
      <c r="AK905" s="227"/>
      <c r="AL905" s="227"/>
      <c r="AM905" s="227"/>
      <c r="AN905" s="227"/>
      <c r="AO905" s="227"/>
      <c r="AP905" s="227"/>
      <c r="AQ905" s="227"/>
      <c r="AR905" s="227"/>
      <c r="AS905" s="227"/>
      <c r="AT905" s="227"/>
      <c r="AU905" s="227"/>
      <c r="AV905" s="227"/>
      <c r="AW905" s="227"/>
      <c r="AX905" s="227"/>
      <c r="AY905" s="227"/>
      <c r="AZ905" s="227"/>
      <c r="BA905" s="227"/>
      <c r="BB905" s="227"/>
      <c r="BC905" s="227"/>
      <c r="BD905" s="227"/>
      <c r="BE905" s="227"/>
      <c r="BF905" s="227"/>
      <c r="BG905" s="227"/>
      <c r="BH905" s="227"/>
      <c r="BI905" s="227"/>
    </row>
    <row r="90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  <c r="AB906" s="227"/>
      <c r="AC906" s="227"/>
      <c r="AD906" s="227"/>
      <c r="AE906" s="227"/>
      <c r="AF906" s="227"/>
      <c r="AG906" s="227"/>
      <c r="AH906" s="227"/>
      <c r="AI906" s="227"/>
      <c r="AJ906" s="227"/>
      <c r="AK906" s="227"/>
      <c r="AL906" s="227"/>
      <c r="AM906" s="227"/>
      <c r="AN906" s="227"/>
      <c r="AO906" s="227"/>
      <c r="AP906" s="227"/>
      <c r="AQ906" s="227"/>
      <c r="AR906" s="227"/>
      <c r="AS906" s="227"/>
      <c r="AT906" s="227"/>
      <c r="AU906" s="227"/>
      <c r="AV906" s="227"/>
      <c r="AW906" s="227"/>
      <c r="AX906" s="227"/>
      <c r="AY906" s="227"/>
      <c r="AZ906" s="227"/>
      <c r="BA906" s="227"/>
      <c r="BB906" s="227"/>
      <c r="BC906" s="227"/>
      <c r="BD906" s="227"/>
      <c r="BE906" s="227"/>
      <c r="BF906" s="227"/>
      <c r="BG906" s="227"/>
      <c r="BH906" s="227"/>
      <c r="BI906" s="227"/>
    </row>
    <row r="907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  <c r="AB907" s="227"/>
      <c r="AC907" s="227"/>
      <c r="AD907" s="227"/>
      <c r="AE907" s="227"/>
      <c r="AF907" s="227"/>
      <c r="AG907" s="227"/>
      <c r="AH907" s="227"/>
      <c r="AI907" s="227"/>
      <c r="AJ907" s="227"/>
      <c r="AK907" s="227"/>
      <c r="AL907" s="227"/>
      <c r="AM907" s="227"/>
      <c r="AN907" s="227"/>
      <c r="AO907" s="227"/>
      <c r="AP907" s="227"/>
      <c r="AQ907" s="227"/>
      <c r="AR907" s="227"/>
      <c r="AS907" s="227"/>
      <c r="AT907" s="227"/>
      <c r="AU907" s="227"/>
      <c r="AV907" s="227"/>
      <c r="AW907" s="227"/>
      <c r="AX907" s="227"/>
      <c r="AY907" s="227"/>
      <c r="AZ907" s="227"/>
      <c r="BA907" s="227"/>
      <c r="BB907" s="227"/>
      <c r="BC907" s="227"/>
      <c r="BD907" s="227"/>
      <c r="BE907" s="227"/>
      <c r="BF907" s="227"/>
      <c r="BG907" s="227"/>
      <c r="BH907" s="227"/>
      <c r="BI907" s="227"/>
    </row>
    <row r="908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  <c r="AB908" s="227"/>
      <c r="AC908" s="227"/>
      <c r="AD908" s="227"/>
      <c r="AE908" s="227"/>
      <c r="AF908" s="227"/>
      <c r="AG908" s="227"/>
      <c r="AH908" s="227"/>
      <c r="AI908" s="227"/>
      <c r="AJ908" s="227"/>
      <c r="AK908" s="227"/>
      <c r="AL908" s="227"/>
      <c r="AM908" s="227"/>
      <c r="AN908" s="227"/>
      <c r="AO908" s="227"/>
      <c r="AP908" s="227"/>
      <c r="AQ908" s="227"/>
      <c r="AR908" s="227"/>
      <c r="AS908" s="227"/>
      <c r="AT908" s="227"/>
      <c r="AU908" s="227"/>
      <c r="AV908" s="227"/>
      <c r="AW908" s="227"/>
      <c r="AX908" s="227"/>
      <c r="AY908" s="227"/>
      <c r="AZ908" s="227"/>
      <c r="BA908" s="227"/>
      <c r="BB908" s="227"/>
      <c r="BC908" s="227"/>
      <c r="BD908" s="227"/>
      <c r="BE908" s="227"/>
      <c r="BF908" s="227"/>
      <c r="BG908" s="227"/>
      <c r="BH908" s="227"/>
      <c r="BI908" s="227"/>
    </row>
    <row r="909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  <c r="AB909" s="227"/>
      <c r="AC909" s="227"/>
      <c r="AD909" s="227"/>
      <c r="AE909" s="227"/>
      <c r="AF909" s="227"/>
      <c r="AG909" s="227"/>
      <c r="AH909" s="227"/>
      <c r="AI909" s="227"/>
      <c r="AJ909" s="227"/>
      <c r="AK909" s="227"/>
      <c r="AL909" s="227"/>
      <c r="AM909" s="227"/>
      <c r="AN909" s="227"/>
      <c r="AO909" s="227"/>
      <c r="AP909" s="227"/>
      <c r="AQ909" s="227"/>
      <c r="AR909" s="227"/>
      <c r="AS909" s="227"/>
      <c r="AT909" s="227"/>
      <c r="AU909" s="227"/>
      <c r="AV909" s="227"/>
      <c r="AW909" s="227"/>
      <c r="AX909" s="227"/>
      <c r="AY909" s="227"/>
      <c r="AZ909" s="227"/>
      <c r="BA909" s="227"/>
      <c r="BB909" s="227"/>
      <c r="BC909" s="227"/>
      <c r="BD909" s="227"/>
      <c r="BE909" s="227"/>
      <c r="BF909" s="227"/>
      <c r="BG909" s="227"/>
      <c r="BH909" s="227"/>
      <c r="BI909" s="227"/>
    </row>
    <row r="910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  <c r="AB910" s="227"/>
      <c r="AC910" s="227"/>
      <c r="AD910" s="227"/>
      <c r="AE910" s="227"/>
      <c r="AF910" s="227"/>
      <c r="AG910" s="227"/>
      <c r="AH910" s="227"/>
      <c r="AI910" s="227"/>
      <c r="AJ910" s="227"/>
      <c r="AK910" s="227"/>
      <c r="AL910" s="227"/>
      <c r="AM910" s="227"/>
      <c r="AN910" s="227"/>
      <c r="AO910" s="227"/>
      <c r="AP910" s="227"/>
      <c r="AQ910" s="227"/>
      <c r="AR910" s="227"/>
      <c r="AS910" s="227"/>
      <c r="AT910" s="227"/>
      <c r="AU910" s="227"/>
      <c r="AV910" s="227"/>
      <c r="AW910" s="227"/>
      <c r="AX910" s="227"/>
      <c r="AY910" s="227"/>
      <c r="AZ910" s="227"/>
      <c r="BA910" s="227"/>
      <c r="BB910" s="227"/>
      <c r="BC910" s="227"/>
      <c r="BD910" s="227"/>
      <c r="BE910" s="227"/>
      <c r="BF910" s="227"/>
      <c r="BG910" s="227"/>
      <c r="BH910" s="227"/>
      <c r="BI910" s="227"/>
    </row>
    <row r="91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  <c r="AB911" s="227"/>
      <c r="AC911" s="227"/>
      <c r="AD911" s="227"/>
      <c r="AE911" s="227"/>
      <c r="AF911" s="227"/>
      <c r="AG911" s="227"/>
      <c r="AH911" s="227"/>
      <c r="AI911" s="227"/>
      <c r="AJ911" s="227"/>
      <c r="AK911" s="227"/>
      <c r="AL911" s="227"/>
      <c r="AM911" s="227"/>
      <c r="AN911" s="227"/>
      <c r="AO911" s="227"/>
      <c r="AP911" s="227"/>
      <c r="AQ911" s="227"/>
      <c r="AR911" s="227"/>
      <c r="AS911" s="227"/>
      <c r="AT911" s="227"/>
      <c r="AU911" s="227"/>
      <c r="AV911" s="227"/>
      <c r="AW911" s="227"/>
      <c r="AX911" s="227"/>
      <c r="AY911" s="227"/>
      <c r="AZ911" s="227"/>
      <c r="BA911" s="227"/>
      <c r="BB911" s="227"/>
      <c r="BC911" s="227"/>
      <c r="BD911" s="227"/>
      <c r="BE911" s="227"/>
      <c r="BF911" s="227"/>
      <c r="BG911" s="227"/>
      <c r="BH911" s="227"/>
      <c r="BI911" s="227"/>
    </row>
    <row r="912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  <c r="AB912" s="227"/>
      <c r="AC912" s="227"/>
      <c r="AD912" s="227"/>
      <c r="AE912" s="227"/>
      <c r="AF912" s="227"/>
      <c r="AG912" s="227"/>
      <c r="AH912" s="227"/>
      <c r="AI912" s="227"/>
      <c r="AJ912" s="227"/>
      <c r="AK912" s="227"/>
      <c r="AL912" s="227"/>
      <c r="AM912" s="227"/>
      <c r="AN912" s="227"/>
      <c r="AO912" s="227"/>
      <c r="AP912" s="227"/>
      <c r="AQ912" s="227"/>
      <c r="AR912" s="227"/>
      <c r="AS912" s="227"/>
      <c r="AT912" s="227"/>
      <c r="AU912" s="227"/>
      <c r="AV912" s="227"/>
      <c r="AW912" s="227"/>
      <c r="AX912" s="227"/>
      <c r="AY912" s="227"/>
      <c r="AZ912" s="227"/>
      <c r="BA912" s="227"/>
      <c r="BB912" s="227"/>
      <c r="BC912" s="227"/>
      <c r="BD912" s="227"/>
      <c r="BE912" s="227"/>
      <c r="BF912" s="227"/>
      <c r="BG912" s="227"/>
      <c r="BH912" s="227"/>
      <c r="BI912" s="227"/>
    </row>
    <row r="913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  <c r="AB913" s="227"/>
      <c r="AC913" s="227"/>
      <c r="AD913" s="227"/>
      <c r="AE913" s="227"/>
      <c r="AF913" s="227"/>
      <c r="AG913" s="227"/>
      <c r="AH913" s="227"/>
      <c r="AI913" s="227"/>
      <c r="AJ913" s="227"/>
      <c r="AK913" s="227"/>
      <c r="AL913" s="227"/>
      <c r="AM913" s="227"/>
      <c r="AN913" s="227"/>
      <c r="AO913" s="227"/>
      <c r="AP913" s="227"/>
      <c r="AQ913" s="227"/>
      <c r="AR913" s="227"/>
      <c r="AS913" s="227"/>
      <c r="AT913" s="227"/>
      <c r="AU913" s="227"/>
      <c r="AV913" s="227"/>
      <c r="AW913" s="227"/>
      <c r="AX913" s="227"/>
      <c r="AY913" s="227"/>
      <c r="AZ913" s="227"/>
      <c r="BA913" s="227"/>
      <c r="BB913" s="227"/>
      <c r="BC913" s="227"/>
      <c r="BD913" s="227"/>
      <c r="BE913" s="227"/>
      <c r="BF913" s="227"/>
      <c r="BG913" s="227"/>
      <c r="BH913" s="227"/>
      <c r="BI913" s="227"/>
    </row>
    <row r="914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  <c r="AB914" s="227"/>
      <c r="AC914" s="227"/>
      <c r="AD914" s="227"/>
      <c r="AE914" s="227"/>
      <c r="AF914" s="227"/>
      <c r="AG914" s="227"/>
      <c r="AH914" s="227"/>
      <c r="AI914" s="227"/>
      <c r="AJ914" s="227"/>
      <c r="AK914" s="227"/>
      <c r="AL914" s="227"/>
      <c r="AM914" s="227"/>
      <c r="AN914" s="227"/>
      <c r="AO914" s="227"/>
      <c r="AP914" s="227"/>
      <c r="AQ914" s="227"/>
      <c r="AR914" s="227"/>
      <c r="AS914" s="227"/>
      <c r="AT914" s="227"/>
      <c r="AU914" s="227"/>
      <c r="AV914" s="227"/>
      <c r="AW914" s="227"/>
      <c r="AX914" s="227"/>
      <c r="AY914" s="227"/>
      <c r="AZ914" s="227"/>
      <c r="BA914" s="227"/>
      <c r="BB914" s="227"/>
      <c r="BC914" s="227"/>
      <c r="BD914" s="227"/>
      <c r="BE914" s="227"/>
      <c r="BF914" s="227"/>
      <c r="BG914" s="227"/>
      <c r="BH914" s="227"/>
      <c r="BI914" s="227"/>
    </row>
    <row r="915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  <c r="AB915" s="227"/>
      <c r="AC915" s="227"/>
      <c r="AD915" s="227"/>
      <c r="AE915" s="227"/>
      <c r="AF915" s="227"/>
      <c r="AG915" s="227"/>
      <c r="AH915" s="227"/>
      <c r="AI915" s="227"/>
      <c r="AJ915" s="227"/>
      <c r="AK915" s="227"/>
      <c r="AL915" s="227"/>
      <c r="AM915" s="227"/>
      <c r="AN915" s="227"/>
      <c r="AO915" s="227"/>
      <c r="AP915" s="227"/>
      <c r="AQ915" s="227"/>
      <c r="AR915" s="227"/>
      <c r="AS915" s="227"/>
      <c r="AT915" s="227"/>
      <c r="AU915" s="227"/>
      <c r="AV915" s="227"/>
      <c r="AW915" s="227"/>
      <c r="AX915" s="227"/>
      <c r="AY915" s="227"/>
      <c r="AZ915" s="227"/>
      <c r="BA915" s="227"/>
      <c r="BB915" s="227"/>
      <c r="BC915" s="227"/>
      <c r="BD915" s="227"/>
      <c r="BE915" s="227"/>
      <c r="BF915" s="227"/>
      <c r="BG915" s="227"/>
      <c r="BH915" s="227"/>
      <c r="BI915" s="227"/>
    </row>
    <row r="91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  <c r="AB916" s="227"/>
      <c r="AC916" s="227"/>
      <c r="AD916" s="227"/>
      <c r="AE916" s="227"/>
      <c r="AF916" s="227"/>
      <c r="AG916" s="227"/>
      <c r="AH916" s="227"/>
      <c r="AI916" s="227"/>
      <c r="AJ916" s="227"/>
      <c r="AK916" s="227"/>
      <c r="AL916" s="227"/>
      <c r="AM916" s="227"/>
      <c r="AN916" s="227"/>
      <c r="AO916" s="227"/>
      <c r="AP916" s="227"/>
      <c r="AQ916" s="227"/>
      <c r="AR916" s="227"/>
      <c r="AS916" s="227"/>
      <c r="AT916" s="227"/>
      <c r="AU916" s="227"/>
      <c r="AV916" s="227"/>
      <c r="AW916" s="227"/>
      <c r="AX916" s="227"/>
      <c r="AY916" s="227"/>
      <c r="AZ916" s="227"/>
      <c r="BA916" s="227"/>
      <c r="BB916" s="227"/>
      <c r="BC916" s="227"/>
      <c r="BD916" s="227"/>
      <c r="BE916" s="227"/>
      <c r="BF916" s="227"/>
      <c r="BG916" s="227"/>
      <c r="BH916" s="227"/>
      <c r="BI916" s="227"/>
    </row>
    <row r="917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  <c r="AB917" s="227"/>
      <c r="AC917" s="227"/>
      <c r="AD917" s="227"/>
      <c r="AE917" s="227"/>
      <c r="AF917" s="227"/>
      <c r="AG917" s="227"/>
      <c r="AH917" s="227"/>
      <c r="AI917" s="227"/>
      <c r="AJ917" s="227"/>
      <c r="AK917" s="227"/>
      <c r="AL917" s="227"/>
      <c r="AM917" s="227"/>
      <c r="AN917" s="227"/>
      <c r="AO917" s="227"/>
      <c r="AP917" s="227"/>
      <c r="AQ917" s="227"/>
      <c r="AR917" s="227"/>
      <c r="AS917" s="227"/>
      <c r="AT917" s="227"/>
      <c r="AU917" s="227"/>
      <c r="AV917" s="227"/>
      <c r="AW917" s="227"/>
      <c r="AX917" s="227"/>
      <c r="AY917" s="227"/>
      <c r="AZ917" s="227"/>
      <c r="BA917" s="227"/>
      <c r="BB917" s="227"/>
      <c r="BC917" s="227"/>
      <c r="BD917" s="227"/>
      <c r="BE917" s="227"/>
      <c r="BF917" s="227"/>
      <c r="BG917" s="227"/>
      <c r="BH917" s="227"/>
      <c r="BI917" s="227"/>
    </row>
    <row r="918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  <c r="AB918" s="227"/>
      <c r="AC918" s="227"/>
      <c r="AD918" s="227"/>
      <c r="AE918" s="227"/>
      <c r="AF918" s="227"/>
      <c r="AG918" s="227"/>
      <c r="AH918" s="227"/>
      <c r="AI918" s="227"/>
      <c r="AJ918" s="227"/>
      <c r="AK918" s="227"/>
      <c r="AL918" s="227"/>
      <c r="AM918" s="227"/>
      <c r="AN918" s="227"/>
      <c r="AO918" s="227"/>
      <c r="AP918" s="227"/>
      <c r="AQ918" s="227"/>
      <c r="AR918" s="227"/>
      <c r="AS918" s="227"/>
      <c r="AT918" s="227"/>
      <c r="AU918" s="227"/>
      <c r="AV918" s="227"/>
      <c r="AW918" s="227"/>
      <c r="AX918" s="227"/>
      <c r="AY918" s="227"/>
      <c r="AZ918" s="227"/>
      <c r="BA918" s="227"/>
      <c r="BB918" s="227"/>
      <c r="BC918" s="227"/>
      <c r="BD918" s="227"/>
      <c r="BE918" s="227"/>
      <c r="BF918" s="227"/>
      <c r="BG918" s="227"/>
      <c r="BH918" s="227"/>
      <c r="BI918" s="227"/>
    </row>
    <row r="919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  <c r="AB919" s="227"/>
      <c r="AC919" s="227"/>
      <c r="AD919" s="227"/>
      <c r="AE919" s="227"/>
      <c r="AF919" s="227"/>
      <c r="AG919" s="227"/>
      <c r="AH919" s="227"/>
      <c r="AI919" s="227"/>
      <c r="AJ919" s="227"/>
      <c r="AK919" s="227"/>
      <c r="AL919" s="227"/>
      <c r="AM919" s="227"/>
      <c r="AN919" s="227"/>
      <c r="AO919" s="227"/>
      <c r="AP919" s="227"/>
      <c r="AQ919" s="227"/>
      <c r="AR919" s="227"/>
      <c r="AS919" s="227"/>
      <c r="AT919" s="227"/>
      <c r="AU919" s="227"/>
      <c r="AV919" s="227"/>
      <c r="AW919" s="227"/>
      <c r="AX919" s="227"/>
      <c r="AY919" s="227"/>
      <c r="AZ919" s="227"/>
      <c r="BA919" s="227"/>
      <c r="BB919" s="227"/>
      <c r="BC919" s="227"/>
      <c r="BD919" s="227"/>
      <c r="BE919" s="227"/>
      <c r="BF919" s="227"/>
      <c r="BG919" s="227"/>
      <c r="BH919" s="227"/>
      <c r="BI919" s="227"/>
    </row>
    <row r="920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  <c r="AB920" s="227"/>
      <c r="AC920" s="227"/>
      <c r="AD920" s="227"/>
      <c r="AE920" s="227"/>
      <c r="AF920" s="227"/>
      <c r="AG920" s="227"/>
      <c r="AH920" s="227"/>
      <c r="AI920" s="227"/>
      <c r="AJ920" s="227"/>
      <c r="AK920" s="227"/>
      <c r="AL920" s="227"/>
      <c r="AM920" s="227"/>
      <c r="AN920" s="227"/>
      <c r="AO920" s="227"/>
      <c r="AP920" s="227"/>
      <c r="AQ920" s="227"/>
      <c r="AR920" s="227"/>
      <c r="AS920" s="227"/>
      <c r="AT920" s="227"/>
      <c r="AU920" s="227"/>
      <c r="AV920" s="227"/>
      <c r="AW920" s="227"/>
      <c r="AX920" s="227"/>
      <c r="AY920" s="227"/>
      <c r="AZ920" s="227"/>
      <c r="BA920" s="227"/>
      <c r="BB920" s="227"/>
      <c r="BC920" s="227"/>
      <c r="BD920" s="227"/>
      <c r="BE920" s="227"/>
      <c r="BF920" s="227"/>
      <c r="BG920" s="227"/>
      <c r="BH920" s="227"/>
      <c r="BI920" s="227"/>
    </row>
    <row r="92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  <c r="AB921" s="227"/>
      <c r="AC921" s="227"/>
      <c r="AD921" s="227"/>
      <c r="AE921" s="227"/>
      <c r="AF921" s="227"/>
      <c r="AG921" s="227"/>
      <c r="AH921" s="227"/>
      <c r="AI921" s="227"/>
      <c r="AJ921" s="227"/>
      <c r="AK921" s="227"/>
      <c r="AL921" s="227"/>
      <c r="AM921" s="227"/>
      <c r="AN921" s="227"/>
      <c r="AO921" s="227"/>
      <c r="AP921" s="227"/>
      <c r="AQ921" s="227"/>
      <c r="AR921" s="227"/>
      <c r="AS921" s="227"/>
      <c r="AT921" s="227"/>
      <c r="AU921" s="227"/>
      <c r="AV921" s="227"/>
      <c r="AW921" s="227"/>
      <c r="AX921" s="227"/>
      <c r="AY921" s="227"/>
      <c r="AZ921" s="227"/>
      <c r="BA921" s="227"/>
      <c r="BB921" s="227"/>
      <c r="BC921" s="227"/>
      <c r="BD921" s="227"/>
      <c r="BE921" s="227"/>
      <c r="BF921" s="227"/>
      <c r="BG921" s="227"/>
      <c r="BH921" s="227"/>
      <c r="BI921" s="227"/>
    </row>
    <row r="922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  <c r="AB922" s="227"/>
      <c r="AC922" s="227"/>
      <c r="AD922" s="227"/>
      <c r="AE922" s="227"/>
      <c r="AF922" s="227"/>
      <c r="AG922" s="227"/>
      <c r="AH922" s="227"/>
      <c r="AI922" s="227"/>
      <c r="AJ922" s="227"/>
      <c r="AK922" s="227"/>
      <c r="AL922" s="227"/>
      <c r="AM922" s="227"/>
      <c r="AN922" s="227"/>
      <c r="AO922" s="227"/>
      <c r="AP922" s="227"/>
      <c r="AQ922" s="227"/>
      <c r="AR922" s="227"/>
      <c r="AS922" s="227"/>
      <c r="AT922" s="227"/>
      <c r="AU922" s="227"/>
      <c r="AV922" s="227"/>
      <c r="AW922" s="227"/>
      <c r="AX922" s="227"/>
      <c r="AY922" s="227"/>
      <c r="AZ922" s="227"/>
      <c r="BA922" s="227"/>
      <c r="BB922" s="227"/>
      <c r="BC922" s="227"/>
      <c r="BD922" s="227"/>
      <c r="BE922" s="227"/>
      <c r="BF922" s="227"/>
      <c r="BG922" s="227"/>
      <c r="BH922" s="227"/>
      <c r="BI922" s="227"/>
    </row>
    <row r="923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  <c r="AB923" s="227"/>
      <c r="AC923" s="227"/>
      <c r="AD923" s="227"/>
      <c r="AE923" s="227"/>
      <c r="AF923" s="227"/>
      <c r="AG923" s="227"/>
      <c r="AH923" s="227"/>
      <c r="AI923" s="227"/>
      <c r="AJ923" s="227"/>
      <c r="AK923" s="227"/>
      <c r="AL923" s="227"/>
      <c r="AM923" s="227"/>
      <c r="AN923" s="227"/>
      <c r="AO923" s="227"/>
      <c r="AP923" s="227"/>
      <c r="AQ923" s="227"/>
      <c r="AR923" s="227"/>
      <c r="AS923" s="227"/>
      <c r="AT923" s="227"/>
      <c r="AU923" s="227"/>
      <c r="AV923" s="227"/>
      <c r="AW923" s="227"/>
      <c r="AX923" s="227"/>
      <c r="AY923" s="227"/>
      <c r="AZ923" s="227"/>
      <c r="BA923" s="227"/>
      <c r="BB923" s="227"/>
      <c r="BC923" s="227"/>
      <c r="BD923" s="227"/>
      <c r="BE923" s="227"/>
      <c r="BF923" s="227"/>
      <c r="BG923" s="227"/>
      <c r="BH923" s="227"/>
      <c r="BI923" s="227"/>
    </row>
    <row r="924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  <c r="AB924" s="227"/>
      <c r="AC924" s="227"/>
      <c r="AD924" s="227"/>
      <c r="AE924" s="227"/>
      <c r="AF924" s="227"/>
      <c r="AG924" s="227"/>
      <c r="AH924" s="227"/>
      <c r="AI924" s="227"/>
      <c r="AJ924" s="227"/>
      <c r="AK924" s="227"/>
      <c r="AL924" s="227"/>
      <c r="AM924" s="227"/>
      <c r="AN924" s="227"/>
      <c r="AO924" s="227"/>
      <c r="AP924" s="227"/>
      <c r="AQ924" s="227"/>
      <c r="AR924" s="227"/>
      <c r="AS924" s="227"/>
      <c r="AT924" s="227"/>
      <c r="AU924" s="227"/>
      <c r="AV924" s="227"/>
      <c r="AW924" s="227"/>
      <c r="AX924" s="227"/>
      <c r="AY924" s="227"/>
      <c r="AZ924" s="227"/>
      <c r="BA924" s="227"/>
      <c r="BB924" s="227"/>
      <c r="BC924" s="227"/>
      <c r="BD924" s="227"/>
      <c r="BE924" s="227"/>
      <c r="BF924" s="227"/>
      <c r="BG924" s="227"/>
      <c r="BH924" s="227"/>
      <c r="BI924" s="227"/>
    </row>
    <row r="925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  <c r="AB925" s="227"/>
      <c r="AC925" s="227"/>
      <c r="AD925" s="227"/>
      <c r="AE925" s="227"/>
      <c r="AF925" s="227"/>
      <c r="AG925" s="227"/>
      <c r="AH925" s="227"/>
      <c r="AI925" s="227"/>
      <c r="AJ925" s="227"/>
      <c r="AK925" s="227"/>
      <c r="AL925" s="227"/>
      <c r="AM925" s="227"/>
      <c r="AN925" s="227"/>
      <c r="AO925" s="227"/>
      <c r="AP925" s="227"/>
      <c r="AQ925" s="227"/>
      <c r="AR925" s="227"/>
      <c r="AS925" s="227"/>
      <c r="AT925" s="227"/>
      <c r="AU925" s="227"/>
      <c r="AV925" s="227"/>
      <c r="AW925" s="227"/>
      <c r="AX925" s="227"/>
      <c r="AY925" s="227"/>
      <c r="AZ925" s="227"/>
      <c r="BA925" s="227"/>
      <c r="BB925" s="227"/>
      <c r="BC925" s="227"/>
      <c r="BD925" s="227"/>
      <c r="BE925" s="227"/>
      <c r="BF925" s="227"/>
      <c r="BG925" s="227"/>
      <c r="BH925" s="227"/>
      <c r="BI925" s="227"/>
    </row>
    <row r="9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  <c r="AB926" s="227"/>
      <c r="AC926" s="227"/>
      <c r="AD926" s="227"/>
      <c r="AE926" s="227"/>
      <c r="AF926" s="227"/>
      <c r="AG926" s="227"/>
      <c r="AH926" s="227"/>
      <c r="AI926" s="227"/>
      <c r="AJ926" s="227"/>
      <c r="AK926" s="227"/>
      <c r="AL926" s="227"/>
      <c r="AM926" s="227"/>
      <c r="AN926" s="227"/>
      <c r="AO926" s="227"/>
      <c r="AP926" s="227"/>
      <c r="AQ926" s="227"/>
      <c r="AR926" s="227"/>
      <c r="AS926" s="227"/>
      <c r="AT926" s="227"/>
      <c r="AU926" s="227"/>
      <c r="AV926" s="227"/>
      <c r="AW926" s="227"/>
      <c r="AX926" s="227"/>
      <c r="AY926" s="227"/>
      <c r="AZ926" s="227"/>
      <c r="BA926" s="227"/>
      <c r="BB926" s="227"/>
      <c r="BC926" s="227"/>
      <c r="BD926" s="227"/>
      <c r="BE926" s="227"/>
      <c r="BF926" s="227"/>
      <c r="BG926" s="227"/>
      <c r="BH926" s="227"/>
      <c r="BI926" s="227"/>
    </row>
    <row r="927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  <c r="AB927" s="227"/>
      <c r="AC927" s="227"/>
      <c r="AD927" s="227"/>
      <c r="AE927" s="227"/>
      <c r="AF927" s="227"/>
      <c r="AG927" s="227"/>
      <c r="AH927" s="227"/>
      <c r="AI927" s="227"/>
      <c r="AJ927" s="227"/>
      <c r="AK927" s="227"/>
      <c r="AL927" s="227"/>
      <c r="AM927" s="227"/>
      <c r="AN927" s="227"/>
      <c r="AO927" s="227"/>
      <c r="AP927" s="227"/>
      <c r="AQ927" s="227"/>
      <c r="AR927" s="227"/>
      <c r="AS927" s="227"/>
      <c r="AT927" s="227"/>
      <c r="AU927" s="227"/>
      <c r="AV927" s="227"/>
      <c r="AW927" s="227"/>
      <c r="AX927" s="227"/>
      <c r="AY927" s="227"/>
      <c r="AZ927" s="227"/>
      <c r="BA927" s="227"/>
      <c r="BB927" s="227"/>
      <c r="BC927" s="227"/>
      <c r="BD927" s="227"/>
      <c r="BE927" s="227"/>
      <c r="BF927" s="227"/>
      <c r="BG927" s="227"/>
      <c r="BH927" s="227"/>
      <c r="BI927" s="227"/>
    </row>
    <row r="928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  <c r="AB928" s="227"/>
      <c r="AC928" s="227"/>
      <c r="AD928" s="227"/>
      <c r="AE928" s="227"/>
      <c r="AF928" s="227"/>
      <c r="AG928" s="227"/>
      <c r="AH928" s="227"/>
      <c r="AI928" s="227"/>
      <c r="AJ928" s="227"/>
      <c r="AK928" s="227"/>
      <c r="AL928" s="227"/>
      <c r="AM928" s="227"/>
      <c r="AN928" s="227"/>
      <c r="AO928" s="227"/>
      <c r="AP928" s="227"/>
      <c r="AQ928" s="227"/>
      <c r="AR928" s="227"/>
      <c r="AS928" s="227"/>
      <c r="AT928" s="227"/>
      <c r="AU928" s="227"/>
      <c r="AV928" s="227"/>
      <c r="AW928" s="227"/>
      <c r="AX928" s="227"/>
      <c r="AY928" s="227"/>
      <c r="AZ928" s="227"/>
      <c r="BA928" s="227"/>
      <c r="BB928" s="227"/>
      <c r="BC928" s="227"/>
      <c r="BD928" s="227"/>
      <c r="BE928" s="227"/>
      <c r="BF928" s="227"/>
      <c r="BG928" s="227"/>
      <c r="BH928" s="227"/>
      <c r="BI928" s="227"/>
    </row>
    <row r="929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  <c r="AB929" s="227"/>
      <c r="AC929" s="227"/>
      <c r="AD929" s="227"/>
      <c r="AE929" s="227"/>
      <c r="AF929" s="227"/>
      <c r="AG929" s="227"/>
      <c r="AH929" s="227"/>
      <c r="AI929" s="227"/>
      <c r="AJ929" s="227"/>
      <c r="AK929" s="227"/>
      <c r="AL929" s="227"/>
      <c r="AM929" s="227"/>
      <c r="AN929" s="227"/>
      <c r="AO929" s="227"/>
      <c r="AP929" s="227"/>
      <c r="AQ929" s="227"/>
      <c r="AR929" s="227"/>
      <c r="AS929" s="227"/>
      <c r="AT929" s="227"/>
      <c r="AU929" s="227"/>
      <c r="AV929" s="227"/>
      <c r="AW929" s="227"/>
      <c r="AX929" s="227"/>
      <c r="AY929" s="227"/>
      <c r="AZ929" s="227"/>
      <c r="BA929" s="227"/>
      <c r="BB929" s="227"/>
      <c r="BC929" s="227"/>
      <c r="BD929" s="227"/>
      <c r="BE929" s="227"/>
      <c r="BF929" s="227"/>
      <c r="BG929" s="227"/>
      <c r="BH929" s="227"/>
      <c r="BI929" s="227"/>
    </row>
    <row r="930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  <c r="AB930" s="227"/>
      <c r="AC930" s="227"/>
      <c r="AD930" s="227"/>
      <c r="AE930" s="227"/>
      <c r="AF930" s="227"/>
      <c r="AG930" s="227"/>
      <c r="AH930" s="227"/>
      <c r="AI930" s="227"/>
      <c r="AJ930" s="227"/>
      <c r="AK930" s="227"/>
      <c r="AL930" s="227"/>
      <c r="AM930" s="227"/>
      <c r="AN930" s="227"/>
      <c r="AO930" s="227"/>
      <c r="AP930" s="227"/>
      <c r="AQ930" s="227"/>
      <c r="AR930" s="227"/>
      <c r="AS930" s="227"/>
      <c r="AT930" s="227"/>
      <c r="AU930" s="227"/>
      <c r="AV930" s="227"/>
      <c r="AW930" s="227"/>
      <c r="AX930" s="227"/>
      <c r="AY930" s="227"/>
      <c r="AZ930" s="227"/>
      <c r="BA930" s="227"/>
      <c r="BB930" s="227"/>
      <c r="BC930" s="227"/>
      <c r="BD930" s="227"/>
      <c r="BE930" s="227"/>
      <c r="BF930" s="227"/>
      <c r="BG930" s="227"/>
      <c r="BH930" s="227"/>
      <c r="BI930" s="227"/>
    </row>
    <row r="93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  <c r="AB931" s="227"/>
      <c r="AC931" s="227"/>
      <c r="AD931" s="227"/>
      <c r="AE931" s="227"/>
      <c r="AF931" s="227"/>
      <c r="AG931" s="227"/>
      <c r="AH931" s="227"/>
      <c r="AI931" s="227"/>
      <c r="AJ931" s="227"/>
      <c r="AK931" s="227"/>
      <c r="AL931" s="227"/>
      <c r="AM931" s="227"/>
      <c r="AN931" s="227"/>
      <c r="AO931" s="227"/>
      <c r="AP931" s="227"/>
      <c r="AQ931" s="227"/>
      <c r="AR931" s="227"/>
      <c r="AS931" s="227"/>
      <c r="AT931" s="227"/>
      <c r="AU931" s="227"/>
      <c r="AV931" s="227"/>
      <c r="AW931" s="227"/>
      <c r="AX931" s="227"/>
      <c r="AY931" s="227"/>
      <c r="AZ931" s="227"/>
      <c r="BA931" s="227"/>
      <c r="BB931" s="227"/>
      <c r="BC931" s="227"/>
      <c r="BD931" s="227"/>
      <c r="BE931" s="227"/>
      <c r="BF931" s="227"/>
      <c r="BG931" s="227"/>
      <c r="BH931" s="227"/>
      <c r="BI931" s="227"/>
    </row>
    <row r="932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  <c r="AB932" s="227"/>
      <c r="AC932" s="227"/>
      <c r="AD932" s="227"/>
      <c r="AE932" s="227"/>
      <c r="AF932" s="227"/>
      <c r="AG932" s="227"/>
      <c r="AH932" s="227"/>
      <c r="AI932" s="227"/>
      <c r="AJ932" s="227"/>
      <c r="AK932" s="227"/>
      <c r="AL932" s="227"/>
      <c r="AM932" s="227"/>
      <c r="AN932" s="227"/>
      <c r="AO932" s="227"/>
      <c r="AP932" s="227"/>
      <c r="AQ932" s="227"/>
      <c r="AR932" s="227"/>
      <c r="AS932" s="227"/>
      <c r="AT932" s="227"/>
      <c r="AU932" s="227"/>
      <c r="AV932" s="227"/>
      <c r="AW932" s="227"/>
      <c r="AX932" s="227"/>
      <c r="AY932" s="227"/>
      <c r="AZ932" s="227"/>
      <c r="BA932" s="227"/>
      <c r="BB932" s="227"/>
      <c r="BC932" s="227"/>
      <c r="BD932" s="227"/>
      <c r="BE932" s="227"/>
      <c r="BF932" s="227"/>
      <c r="BG932" s="227"/>
      <c r="BH932" s="227"/>
      <c r="BI932" s="227"/>
    </row>
    <row r="933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  <c r="AB933" s="227"/>
      <c r="AC933" s="227"/>
      <c r="AD933" s="227"/>
      <c r="AE933" s="227"/>
      <c r="AF933" s="227"/>
      <c r="AG933" s="227"/>
      <c r="AH933" s="227"/>
      <c r="AI933" s="227"/>
      <c r="AJ933" s="227"/>
      <c r="AK933" s="227"/>
      <c r="AL933" s="227"/>
      <c r="AM933" s="227"/>
      <c r="AN933" s="227"/>
      <c r="AO933" s="227"/>
      <c r="AP933" s="227"/>
      <c r="AQ933" s="227"/>
      <c r="AR933" s="227"/>
      <c r="AS933" s="227"/>
      <c r="AT933" s="227"/>
      <c r="AU933" s="227"/>
      <c r="AV933" s="227"/>
      <c r="AW933" s="227"/>
      <c r="AX933" s="227"/>
      <c r="AY933" s="227"/>
      <c r="AZ933" s="227"/>
      <c r="BA933" s="227"/>
      <c r="BB933" s="227"/>
      <c r="BC933" s="227"/>
      <c r="BD933" s="227"/>
      <c r="BE933" s="227"/>
      <c r="BF933" s="227"/>
      <c r="BG933" s="227"/>
      <c r="BH933" s="227"/>
      <c r="BI933" s="227"/>
    </row>
    <row r="934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  <c r="AB934" s="227"/>
      <c r="AC934" s="227"/>
      <c r="AD934" s="227"/>
      <c r="AE934" s="227"/>
      <c r="AF934" s="227"/>
      <c r="AG934" s="227"/>
      <c r="AH934" s="227"/>
      <c r="AI934" s="227"/>
      <c r="AJ934" s="227"/>
      <c r="AK934" s="227"/>
      <c r="AL934" s="227"/>
      <c r="AM934" s="227"/>
      <c r="AN934" s="227"/>
      <c r="AO934" s="227"/>
      <c r="AP934" s="227"/>
      <c r="AQ934" s="227"/>
      <c r="AR934" s="227"/>
      <c r="AS934" s="227"/>
      <c r="AT934" s="227"/>
      <c r="AU934" s="227"/>
      <c r="AV934" s="227"/>
      <c r="AW934" s="227"/>
      <c r="AX934" s="227"/>
      <c r="AY934" s="227"/>
      <c r="AZ934" s="227"/>
      <c r="BA934" s="227"/>
      <c r="BB934" s="227"/>
      <c r="BC934" s="227"/>
      <c r="BD934" s="227"/>
      <c r="BE934" s="227"/>
      <c r="BF934" s="227"/>
      <c r="BG934" s="227"/>
      <c r="BH934" s="227"/>
      <c r="BI934" s="227"/>
    </row>
    <row r="935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  <c r="AB935" s="227"/>
      <c r="AC935" s="227"/>
      <c r="AD935" s="227"/>
      <c r="AE935" s="227"/>
      <c r="AF935" s="227"/>
      <c r="AG935" s="227"/>
      <c r="AH935" s="227"/>
      <c r="AI935" s="227"/>
      <c r="AJ935" s="227"/>
      <c r="AK935" s="227"/>
      <c r="AL935" s="227"/>
      <c r="AM935" s="227"/>
      <c r="AN935" s="227"/>
      <c r="AO935" s="227"/>
      <c r="AP935" s="227"/>
      <c r="AQ935" s="227"/>
      <c r="AR935" s="227"/>
      <c r="AS935" s="227"/>
      <c r="AT935" s="227"/>
      <c r="AU935" s="227"/>
      <c r="AV935" s="227"/>
      <c r="AW935" s="227"/>
      <c r="AX935" s="227"/>
      <c r="AY935" s="227"/>
      <c r="AZ935" s="227"/>
      <c r="BA935" s="227"/>
      <c r="BB935" s="227"/>
      <c r="BC935" s="227"/>
      <c r="BD935" s="227"/>
      <c r="BE935" s="227"/>
      <c r="BF935" s="227"/>
      <c r="BG935" s="227"/>
      <c r="BH935" s="227"/>
      <c r="BI935" s="227"/>
    </row>
    <row r="93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  <c r="AB936" s="227"/>
      <c r="AC936" s="227"/>
      <c r="AD936" s="227"/>
      <c r="AE936" s="227"/>
      <c r="AF936" s="227"/>
      <c r="AG936" s="227"/>
      <c r="AH936" s="227"/>
      <c r="AI936" s="227"/>
      <c r="AJ936" s="227"/>
      <c r="AK936" s="227"/>
      <c r="AL936" s="227"/>
      <c r="AM936" s="227"/>
      <c r="AN936" s="227"/>
      <c r="AO936" s="227"/>
      <c r="AP936" s="227"/>
      <c r="AQ936" s="227"/>
      <c r="AR936" s="227"/>
      <c r="AS936" s="227"/>
      <c r="AT936" s="227"/>
      <c r="AU936" s="227"/>
      <c r="AV936" s="227"/>
      <c r="AW936" s="227"/>
      <c r="AX936" s="227"/>
      <c r="AY936" s="227"/>
      <c r="AZ936" s="227"/>
      <c r="BA936" s="227"/>
      <c r="BB936" s="227"/>
      <c r="BC936" s="227"/>
      <c r="BD936" s="227"/>
      <c r="BE936" s="227"/>
      <c r="BF936" s="227"/>
      <c r="BG936" s="227"/>
      <c r="BH936" s="227"/>
      <c r="BI936" s="227"/>
    </row>
    <row r="937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  <c r="AB937" s="227"/>
      <c r="AC937" s="227"/>
      <c r="AD937" s="227"/>
      <c r="AE937" s="227"/>
      <c r="AF937" s="227"/>
      <c r="AG937" s="227"/>
      <c r="AH937" s="227"/>
      <c r="AI937" s="227"/>
      <c r="AJ937" s="227"/>
      <c r="AK937" s="227"/>
      <c r="AL937" s="227"/>
      <c r="AM937" s="227"/>
      <c r="AN937" s="227"/>
      <c r="AO937" s="227"/>
      <c r="AP937" s="227"/>
      <c r="AQ937" s="227"/>
      <c r="AR937" s="227"/>
      <c r="AS937" s="227"/>
      <c r="AT937" s="227"/>
      <c r="AU937" s="227"/>
      <c r="AV937" s="227"/>
      <c r="AW937" s="227"/>
      <c r="AX937" s="227"/>
      <c r="AY937" s="227"/>
      <c r="AZ937" s="227"/>
      <c r="BA937" s="227"/>
      <c r="BB937" s="227"/>
      <c r="BC937" s="227"/>
      <c r="BD937" s="227"/>
      <c r="BE937" s="227"/>
      <c r="BF937" s="227"/>
      <c r="BG937" s="227"/>
      <c r="BH937" s="227"/>
      <c r="BI937" s="227"/>
    </row>
  </sheetData>
  <mergeCells count="1">
    <mergeCell ref="B3:C4"/>
  </mergeCells>
  <printOptions/>
  <pageMargins bottom="0.75" footer="0.0" header="0.0" left="0.25" right="0.25" top="0.75"/>
  <pageSetup fitToHeight="0"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75"/>
  <cols>
    <col customWidth="1" min="1" max="4" width="16.57"/>
    <col customWidth="1" min="5" max="5" width="20.0"/>
    <col customWidth="1" min="6" max="63" width="16.57"/>
  </cols>
  <sheetData>
    <row r="1" ht="29.25" customHeight="1">
      <c r="A1" s="207" t="s">
        <v>124</v>
      </c>
      <c r="B1" s="249"/>
      <c r="C1" s="249"/>
    </row>
    <row r="2" ht="29.25" customHeight="1">
      <c r="A2" s="249"/>
      <c r="B2" s="249"/>
      <c r="C2" s="249"/>
    </row>
    <row r="3" ht="15.75" customHeight="1">
      <c r="A3" s="250" t="s">
        <v>125</v>
      </c>
      <c r="B3" s="250" t="s">
        <v>72</v>
      </c>
      <c r="C3" s="250" t="s">
        <v>126</v>
      </c>
      <c r="E3" s="13" t="s">
        <v>127</v>
      </c>
    </row>
    <row r="4" ht="15.75" customHeight="1">
      <c r="A4" s="251">
        <v>100000.0</v>
      </c>
      <c r="B4" s="251">
        <v>30000.0</v>
      </c>
      <c r="C4" s="252">
        <v>0.04</v>
      </c>
      <c r="E4" s="253" t="s">
        <v>128</v>
      </c>
    </row>
    <row r="5"/>
    <row r="6"/>
    <row r="7"/>
    <row r="8" ht="15.75" customHeight="1">
      <c r="A8" s="254" t="s">
        <v>87</v>
      </c>
      <c r="B8" s="254" t="s">
        <v>129</v>
      </c>
      <c r="C8" s="254" t="s">
        <v>130</v>
      </c>
      <c r="D8" s="254" t="s">
        <v>131</v>
      </c>
      <c r="E8" s="254" t="s">
        <v>132</v>
      </c>
      <c r="F8" s="254" t="s">
        <v>133</v>
      </c>
      <c r="H8" s="255"/>
    </row>
    <row r="9" ht="15.75" customHeight="1">
      <c r="A9" s="256">
        <v>1.0</v>
      </c>
      <c r="B9" s="257">
        <f>A4</f>
        <v>100000</v>
      </c>
      <c r="C9" s="257">
        <f t="shared" ref="C9:C58" si="1">B$4*12</f>
        <v>360000</v>
      </c>
      <c r="D9" s="257">
        <f t="shared" ref="D9:D58" si="2">E9-SUM(B9:C9)</f>
        <v>10748.04057</v>
      </c>
      <c r="E9" s="257">
        <f>B9*(1+C$4/12)^12+B$4/(C$4/12)*((1+C$4/12)^(A9*12)-1)</f>
        <v>470748.0406</v>
      </c>
      <c r="F9" s="257">
        <f>C9+B9</f>
        <v>460000</v>
      </c>
    </row>
    <row r="10" ht="15.75" customHeight="1">
      <c r="A10" s="256">
        <f t="shared" ref="A10:A58" si="3">A9+1</f>
        <v>2</v>
      </c>
      <c r="B10" s="257">
        <f>E9</f>
        <v>470748.0406</v>
      </c>
      <c r="C10" s="257">
        <f t="shared" si="1"/>
        <v>360000</v>
      </c>
      <c r="D10" s="257">
        <f t="shared" si="2"/>
        <v>25852.88778</v>
      </c>
      <c r="E10" s="257">
        <f t="shared" ref="E10:E58" si="4">B$9*(1+C$4/12)^(A10*12)+B$4/(C$4/12)*((1+C$4/12)^(A10*12)-1)</f>
        <v>856600.9283</v>
      </c>
      <c r="F10" s="257">
        <f t="shared" ref="F10:F58" si="5">F9+C10</f>
        <v>820000</v>
      </c>
      <c r="H10" s="258"/>
      <c r="I10" s="258"/>
    </row>
    <row r="11" ht="15.75" customHeight="1">
      <c r="A11" s="256">
        <f t="shared" si="3"/>
        <v>3</v>
      </c>
      <c r="B11" s="257">
        <f t="shared" ref="B11:B58" si="6">B10+C10+D10</f>
        <v>856600.9283</v>
      </c>
      <c r="C11" s="257">
        <f t="shared" si="1"/>
        <v>360000</v>
      </c>
      <c r="D11" s="257">
        <f t="shared" si="2"/>
        <v>41573.12977</v>
      </c>
      <c r="E11" s="257">
        <f t="shared" si="4"/>
        <v>1258174.058</v>
      </c>
      <c r="F11" s="257">
        <f t="shared" si="5"/>
        <v>1180000</v>
      </c>
    </row>
    <row r="12" ht="15.75" customHeight="1">
      <c r="A12" s="256">
        <f t="shared" si="3"/>
        <v>4</v>
      </c>
      <c r="B12" s="257">
        <f t="shared" si="6"/>
        <v>1258174.058</v>
      </c>
      <c r="C12" s="257">
        <f t="shared" si="1"/>
        <v>360000</v>
      </c>
      <c r="D12" s="257">
        <f t="shared" si="2"/>
        <v>57933.83867</v>
      </c>
      <c r="E12" s="257">
        <f t="shared" si="4"/>
        <v>1676107.897</v>
      </c>
      <c r="F12" s="257">
        <f t="shared" si="5"/>
        <v>1540000</v>
      </c>
    </row>
    <row r="13" ht="15.75" customHeight="1">
      <c r="A13" s="256">
        <f t="shared" si="3"/>
        <v>5</v>
      </c>
      <c r="B13" s="257">
        <f t="shared" si="6"/>
        <v>1676107.897</v>
      </c>
      <c r="C13" s="257">
        <f t="shared" si="1"/>
        <v>360000</v>
      </c>
      <c r="D13" s="257">
        <f t="shared" si="2"/>
        <v>74961.10809</v>
      </c>
      <c r="E13" s="257">
        <f t="shared" si="4"/>
        <v>2111069.005</v>
      </c>
      <c r="F13" s="257">
        <f t="shared" si="5"/>
        <v>1900000</v>
      </c>
    </row>
    <row r="14" ht="15.75" customHeight="1">
      <c r="A14" s="256">
        <f t="shared" si="3"/>
        <v>6</v>
      </c>
      <c r="B14" s="257">
        <f t="shared" si="6"/>
        <v>2111069.005</v>
      </c>
      <c r="C14" s="257">
        <f t="shared" si="1"/>
        <v>360000</v>
      </c>
      <c r="D14" s="257">
        <f t="shared" si="2"/>
        <v>92682.09475</v>
      </c>
      <c r="E14" s="257">
        <f t="shared" si="4"/>
        <v>2563751.1</v>
      </c>
      <c r="F14" s="257">
        <f t="shared" si="5"/>
        <v>2260000</v>
      </c>
    </row>
    <row r="15" ht="15.75" customHeight="1">
      <c r="A15" s="256">
        <f t="shared" si="3"/>
        <v>7</v>
      </c>
      <c r="B15" s="257">
        <f t="shared" si="6"/>
        <v>2563751.1</v>
      </c>
      <c r="C15" s="257">
        <f t="shared" si="1"/>
        <v>360000</v>
      </c>
      <c r="D15" s="257">
        <f t="shared" si="2"/>
        <v>111125.0617</v>
      </c>
      <c r="E15" s="257">
        <f t="shared" si="4"/>
        <v>3034876.161</v>
      </c>
      <c r="F15" s="257">
        <f t="shared" si="5"/>
        <v>2620000</v>
      </c>
    </row>
    <row r="16" ht="15.75" customHeight="1">
      <c r="A16" s="256">
        <f t="shared" si="3"/>
        <v>8</v>
      </c>
      <c r="B16" s="257">
        <f t="shared" si="6"/>
        <v>3034876.161</v>
      </c>
      <c r="C16" s="257">
        <f t="shared" si="1"/>
        <v>360000</v>
      </c>
      <c r="D16" s="257">
        <f t="shared" si="2"/>
        <v>130319.4237</v>
      </c>
      <c r="E16" s="257">
        <f t="shared" si="4"/>
        <v>3525195.585</v>
      </c>
      <c r="F16" s="257">
        <f t="shared" si="5"/>
        <v>2980000</v>
      </c>
    </row>
    <row r="17" ht="15.75" customHeight="1">
      <c r="A17" s="256">
        <f t="shared" si="3"/>
        <v>9</v>
      </c>
      <c r="B17" s="257">
        <f t="shared" si="6"/>
        <v>3525195.585</v>
      </c>
      <c r="C17" s="257">
        <f t="shared" si="1"/>
        <v>360000</v>
      </c>
      <c r="D17" s="257">
        <f t="shared" si="2"/>
        <v>150295.7935</v>
      </c>
      <c r="E17" s="257">
        <f t="shared" si="4"/>
        <v>4035491.379</v>
      </c>
      <c r="F17" s="257">
        <f t="shared" si="5"/>
        <v>3340000</v>
      </c>
    </row>
    <row r="18" ht="15.75" customHeight="1">
      <c r="A18" s="256">
        <f t="shared" si="3"/>
        <v>10</v>
      </c>
      <c r="B18" s="257">
        <f t="shared" si="6"/>
        <v>4035491.379</v>
      </c>
      <c r="C18" s="257">
        <f t="shared" si="1"/>
        <v>360000</v>
      </c>
      <c r="D18" s="257">
        <f t="shared" si="2"/>
        <v>171086.0315</v>
      </c>
      <c r="E18" s="257">
        <f t="shared" si="4"/>
        <v>4566577.41</v>
      </c>
      <c r="F18" s="257">
        <f t="shared" si="5"/>
        <v>3700000</v>
      </c>
    </row>
    <row r="19" ht="15.75" customHeight="1">
      <c r="A19" s="256">
        <f t="shared" si="3"/>
        <v>11</v>
      </c>
      <c r="B19" s="257">
        <f t="shared" si="6"/>
        <v>4566577.41</v>
      </c>
      <c r="C19" s="257">
        <f t="shared" si="1"/>
        <v>360000</v>
      </c>
      <c r="D19" s="257">
        <f t="shared" si="2"/>
        <v>192723.2958</v>
      </c>
      <c r="E19" s="257">
        <f t="shared" si="4"/>
        <v>5119300.706</v>
      </c>
      <c r="F19" s="257">
        <f t="shared" si="5"/>
        <v>4060000</v>
      </c>
    </row>
    <row r="20" ht="15.75" customHeight="1">
      <c r="A20" s="256">
        <f t="shared" si="3"/>
        <v>12</v>
      </c>
      <c r="B20" s="257">
        <f t="shared" si="6"/>
        <v>5119300.706</v>
      </c>
      <c r="C20" s="257">
        <f t="shared" si="1"/>
        <v>360000</v>
      </c>
      <c r="D20" s="257">
        <f t="shared" si="2"/>
        <v>215242.0957</v>
      </c>
      <c r="E20" s="257">
        <f t="shared" si="4"/>
        <v>5694542.802</v>
      </c>
      <c r="F20" s="257">
        <f t="shared" si="5"/>
        <v>4420000</v>
      </c>
    </row>
    <row r="21" ht="15.75" customHeight="1">
      <c r="A21" s="256">
        <f t="shared" si="3"/>
        <v>13</v>
      </c>
      <c r="B21" s="257">
        <f t="shared" si="6"/>
        <v>5694542.802</v>
      </c>
      <c r="C21" s="257">
        <f t="shared" si="1"/>
        <v>360000</v>
      </c>
      <c r="D21" s="257">
        <f t="shared" si="2"/>
        <v>238678.3462</v>
      </c>
      <c r="E21" s="257">
        <f t="shared" si="4"/>
        <v>6293221.148</v>
      </c>
      <c r="F21" s="257">
        <f t="shared" si="5"/>
        <v>4780000</v>
      </c>
    </row>
    <row r="22" ht="15.75" customHeight="1">
      <c r="A22" s="256">
        <f t="shared" si="3"/>
        <v>14</v>
      </c>
      <c r="B22" s="257">
        <f t="shared" si="6"/>
        <v>6293221.148</v>
      </c>
      <c r="C22" s="257">
        <f t="shared" si="1"/>
        <v>360000</v>
      </c>
      <c r="D22" s="257">
        <f t="shared" si="2"/>
        <v>263069.4258</v>
      </c>
      <c r="E22" s="257">
        <f t="shared" si="4"/>
        <v>6916290.574</v>
      </c>
      <c r="F22" s="257">
        <f t="shared" si="5"/>
        <v>5140000</v>
      </c>
    </row>
    <row r="23" ht="15.75" customHeight="1">
      <c r="A23" s="256">
        <f t="shared" si="3"/>
        <v>15</v>
      </c>
      <c r="B23" s="257">
        <f t="shared" si="6"/>
        <v>6916290.574</v>
      </c>
      <c r="C23" s="257">
        <f t="shared" si="1"/>
        <v>360000</v>
      </c>
      <c r="D23" s="257">
        <f t="shared" si="2"/>
        <v>288454.2355</v>
      </c>
      <c r="E23" s="257">
        <f t="shared" si="4"/>
        <v>7564744.809</v>
      </c>
      <c r="F23" s="257">
        <f t="shared" si="5"/>
        <v>5500000</v>
      </c>
    </row>
    <row r="24" ht="15.75" customHeight="1">
      <c r="A24" s="256">
        <f t="shared" si="3"/>
        <v>16</v>
      </c>
      <c r="B24" s="257">
        <f t="shared" si="6"/>
        <v>7564744.809</v>
      </c>
      <c r="C24" s="257">
        <f t="shared" si="1"/>
        <v>360000</v>
      </c>
      <c r="D24" s="257">
        <f t="shared" si="2"/>
        <v>314873.2616</v>
      </c>
      <c r="E24" s="257">
        <f t="shared" si="4"/>
        <v>8239618.071</v>
      </c>
      <c r="F24" s="257">
        <f t="shared" si="5"/>
        <v>5860000</v>
      </c>
    </row>
    <row r="25" ht="15.75" customHeight="1">
      <c r="A25" s="256">
        <f t="shared" si="3"/>
        <v>17</v>
      </c>
      <c r="B25" s="257">
        <f t="shared" si="6"/>
        <v>8239618.071</v>
      </c>
      <c r="C25" s="257">
        <f t="shared" si="1"/>
        <v>360000</v>
      </c>
      <c r="D25" s="257">
        <f t="shared" si="2"/>
        <v>342368.6395</v>
      </c>
      <c r="E25" s="257">
        <f t="shared" si="4"/>
        <v>8941986.71</v>
      </c>
      <c r="F25" s="257">
        <f t="shared" si="5"/>
        <v>6220000</v>
      </c>
    </row>
    <row r="26" ht="15.75" customHeight="1">
      <c r="A26" s="256">
        <f t="shared" si="3"/>
        <v>18</v>
      </c>
      <c r="B26" s="257">
        <f t="shared" si="6"/>
        <v>8941986.71</v>
      </c>
      <c r="C26" s="257">
        <f t="shared" si="1"/>
        <v>360000</v>
      </c>
      <c r="D26" s="257">
        <f t="shared" si="2"/>
        <v>370984.2216</v>
      </c>
      <c r="E26" s="257">
        <f t="shared" si="4"/>
        <v>9672970.932</v>
      </c>
      <c r="F26" s="257">
        <f t="shared" si="5"/>
        <v>6580000</v>
      </c>
    </row>
    <row r="27" ht="15.75" customHeight="1">
      <c r="A27" s="256">
        <f t="shared" si="3"/>
        <v>19</v>
      </c>
      <c r="B27" s="257">
        <f t="shared" si="6"/>
        <v>9672970.932</v>
      </c>
      <c r="C27" s="257">
        <f t="shared" si="1"/>
        <v>360000</v>
      </c>
      <c r="D27" s="257">
        <f t="shared" si="2"/>
        <v>400765.6467</v>
      </c>
      <c r="E27" s="257">
        <f t="shared" si="4"/>
        <v>10433736.58</v>
      </c>
      <c r="F27" s="257">
        <f t="shared" si="5"/>
        <v>6940000</v>
      </c>
    </row>
    <row r="28" ht="15.75" customHeight="1">
      <c r="A28" s="256">
        <f t="shared" si="3"/>
        <v>20</v>
      </c>
      <c r="B28" s="257">
        <f t="shared" si="6"/>
        <v>10433736.58</v>
      </c>
      <c r="C28" s="257">
        <f t="shared" si="1"/>
        <v>360000</v>
      </c>
      <c r="D28" s="257">
        <f t="shared" si="2"/>
        <v>431760.4129</v>
      </c>
      <c r="E28" s="257">
        <f t="shared" si="4"/>
        <v>11225496.99</v>
      </c>
      <c r="F28" s="257">
        <f t="shared" si="5"/>
        <v>7300000</v>
      </c>
    </row>
    <row r="29" ht="15.75" customHeight="1">
      <c r="A29" s="256">
        <f t="shared" si="3"/>
        <v>21</v>
      </c>
      <c r="B29" s="257">
        <f t="shared" si="6"/>
        <v>11225496.99</v>
      </c>
      <c r="C29" s="257">
        <f t="shared" si="1"/>
        <v>360000</v>
      </c>
      <c r="D29" s="257">
        <f t="shared" si="2"/>
        <v>464017.9537</v>
      </c>
      <c r="E29" s="257">
        <f t="shared" si="4"/>
        <v>12049514.95</v>
      </c>
      <c r="F29" s="257">
        <f t="shared" si="5"/>
        <v>7660000</v>
      </c>
    </row>
    <row r="30" ht="15.75" customHeight="1">
      <c r="A30" s="256">
        <f t="shared" si="3"/>
        <v>22</v>
      </c>
      <c r="B30" s="257">
        <f t="shared" si="6"/>
        <v>12049514.95</v>
      </c>
      <c r="C30" s="257">
        <f t="shared" si="1"/>
        <v>360000</v>
      </c>
      <c r="D30" s="257">
        <f t="shared" si="2"/>
        <v>497589.7166</v>
      </c>
      <c r="E30" s="257">
        <f t="shared" si="4"/>
        <v>12907104.66</v>
      </c>
      <c r="F30" s="257">
        <f t="shared" si="5"/>
        <v>8020000</v>
      </c>
    </row>
    <row r="31" ht="15.75" customHeight="1">
      <c r="A31" s="256">
        <f t="shared" si="3"/>
        <v>23</v>
      </c>
      <c r="B31" s="257">
        <f t="shared" si="6"/>
        <v>12907104.66</v>
      </c>
      <c r="C31" s="257">
        <f t="shared" si="1"/>
        <v>360000</v>
      </c>
      <c r="D31" s="257">
        <f t="shared" si="2"/>
        <v>532529.2448</v>
      </c>
      <c r="E31" s="257">
        <f t="shared" si="4"/>
        <v>13799633.91</v>
      </c>
      <c r="F31" s="257">
        <f t="shared" si="5"/>
        <v>8380000</v>
      </c>
    </row>
    <row r="32" ht="15.75" customHeight="1">
      <c r="A32" s="256">
        <f t="shared" si="3"/>
        <v>24</v>
      </c>
      <c r="B32" s="257">
        <f t="shared" si="6"/>
        <v>13799633.91</v>
      </c>
      <c r="C32" s="257">
        <f t="shared" si="1"/>
        <v>360000</v>
      </c>
      <c r="D32" s="257">
        <f t="shared" si="2"/>
        <v>568892.2634</v>
      </c>
      <c r="E32" s="257">
        <f t="shared" si="4"/>
        <v>14728526.17</v>
      </c>
      <c r="F32" s="257">
        <f t="shared" si="5"/>
        <v>8740000</v>
      </c>
    </row>
    <row r="33" ht="15.75" customHeight="1">
      <c r="A33" s="256">
        <f t="shared" si="3"/>
        <v>25</v>
      </c>
      <c r="B33" s="257">
        <f t="shared" si="6"/>
        <v>14728526.17</v>
      </c>
      <c r="C33" s="257">
        <f t="shared" si="1"/>
        <v>360000</v>
      </c>
      <c r="D33" s="257">
        <f t="shared" si="2"/>
        <v>606736.7674</v>
      </c>
      <c r="E33" s="257">
        <f t="shared" si="4"/>
        <v>15695262.94</v>
      </c>
      <c r="F33" s="257">
        <f t="shared" si="5"/>
        <v>9100000</v>
      </c>
    </row>
    <row r="34" ht="15.75" customHeight="1">
      <c r="A34" s="256">
        <f t="shared" si="3"/>
        <v>26</v>
      </c>
      <c r="B34" s="257">
        <f t="shared" si="6"/>
        <v>15695262.94</v>
      </c>
      <c r="C34" s="257">
        <f t="shared" si="1"/>
        <v>360000</v>
      </c>
      <c r="D34" s="257">
        <f t="shared" si="2"/>
        <v>646123.1149</v>
      </c>
      <c r="E34" s="257">
        <f t="shared" si="4"/>
        <v>16701386.05</v>
      </c>
      <c r="F34" s="257">
        <f t="shared" si="5"/>
        <v>9460000</v>
      </c>
    </row>
    <row r="35" ht="15.75" customHeight="1">
      <c r="A35" s="256">
        <f t="shared" si="3"/>
        <v>27</v>
      </c>
      <c r="B35" s="257">
        <f t="shared" si="6"/>
        <v>16701386.05</v>
      </c>
      <c r="C35" s="257">
        <f t="shared" si="1"/>
        <v>360000</v>
      </c>
      <c r="D35" s="257">
        <f t="shared" si="2"/>
        <v>687114.1229</v>
      </c>
      <c r="E35" s="257">
        <f t="shared" si="4"/>
        <v>17748500.18</v>
      </c>
      <c r="F35" s="257">
        <f t="shared" si="5"/>
        <v>9820000</v>
      </c>
    </row>
    <row r="36" ht="15.75" customHeight="1">
      <c r="A36" s="256">
        <f t="shared" si="3"/>
        <v>28</v>
      </c>
      <c r="B36" s="257">
        <f t="shared" si="6"/>
        <v>17748500.18</v>
      </c>
      <c r="C36" s="257">
        <f t="shared" si="1"/>
        <v>360000</v>
      </c>
      <c r="D36" s="257">
        <f t="shared" si="2"/>
        <v>729775.1679</v>
      </c>
      <c r="E36" s="257">
        <f t="shared" si="4"/>
        <v>18838275.34</v>
      </c>
      <c r="F36" s="257">
        <f t="shared" si="5"/>
        <v>10180000</v>
      </c>
    </row>
    <row r="37" ht="15.75" customHeight="1">
      <c r="A37" s="256">
        <f t="shared" si="3"/>
        <v>29</v>
      </c>
      <c r="B37" s="257">
        <f t="shared" si="6"/>
        <v>18838275.34</v>
      </c>
      <c r="C37" s="257">
        <f t="shared" si="1"/>
        <v>360000</v>
      </c>
      <c r="D37" s="257">
        <f t="shared" si="2"/>
        <v>774174.2897</v>
      </c>
      <c r="E37" s="257">
        <f t="shared" si="4"/>
        <v>19972449.63</v>
      </c>
      <c r="F37" s="257">
        <f t="shared" si="5"/>
        <v>10540000</v>
      </c>
    </row>
    <row r="38" ht="15.75" customHeight="1">
      <c r="A38" s="256">
        <f t="shared" si="3"/>
        <v>30</v>
      </c>
      <c r="B38" s="257">
        <f t="shared" si="6"/>
        <v>19972449.63</v>
      </c>
      <c r="C38" s="257">
        <f t="shared" si="1"/>
        <v>360000</v>
      </c>
      <c r="D38" s="257">
        <f t="shared" si="2"/>
        <v>820382.3002</v>
      </c>
      <c r="E38" s="257">
        <f t="shared" si="4"/>
        <v>21152831.93</v>
      </c>
      <c r="F38" s="257">
        <f t="shared" si="5"/>
        <v>10900000</v>
      </c>
    </row>
    <row r="39">
      <c r="A39" s="256">
        <f t="shared" si="3"/>
        <v>31</v>
      </c>
      <c r="B39" s="257">
        <f t="shared" si="6"/>
        <v>21152831.93</v>
      </c>
      <c r="C39" s="257">
        <f t="shared" si="1"/>
        <v>360000</v>
      </c>
      <c r="D39" s="257">
        <f t="shared" si="2"/>
        <v>868472.8963</v>
      </c>
      <c r="E39" s="257">
        <f t="shared" si="4"/>
        <v>22381304.83</v>
      </c>
      <c r="F39" s="257">
        <f t="shared" si="5"/>
        <v>11260000</v>
      </c>
    </row>
    <row r="40">
      <c r="A40" s="256">
        <f t="shared" si="3"/>
        <v>32</v>
      </c>
      <c r="B40" s="257">
        <f t="shared" si="6"/>
        <v>22381304.83</v>
      </c>
      <c r="C40" s="257">
        <f t="shared" si="1"/>
        <v>360000</v>
      </c>
      <c r="D40" s="257">
        <f t="shared" si="2"/>
        <v>918522.7776</v>
      </c>
      <c r="E40" s="257">
        <f t="shared" si="4"/>
        <v>23659827.61</v>
      </c>
      <c r="F40" s="257">
        <f t="shared" si="5"/>
        <v>11620000</v>
      </c>
    </row>
    <row r="41">
      <c r="A41" s="256">
        <f t="shared" si="3"/>
        <v>33</v>
      </c>
      <c r="B41" s="257">
        <f t="shared" si="6"/>
        <v>23659827.61</v>
      </c>
      <c r="C41" s="257">
        <f t="shared" si="1"/>
        <v>360000</v>
      </c>
      <c r="D41" s="257">
        <f t="shared" si="2"/>
        <v>970611.7682</v>
      </c>
      <c r="E41" s="257">
        <f t="shared" si="4"/>
        <v>24990439.38</v>
      </c>
      <c r="F41" s="257">
        <f t="shared" si="5"/>
        <v>11980000</v>
      </c>
    </row>
    <row r="42">
      <c r="A42" s="256">
        <f t="shared" si="3"/>
        <v>34</v>
      </c>
      <c r="B42" s="257">
        <f t="shared" si="6"/>
        <v>24990439.38</v>
      </c>
      <c r="C42" s="257">
        <f t="shared" si="1"/>
        <v>360000</v>
      </c>
      <c r="D42" s="257">
        <f t="shared" si="2"/>
        <v>1024822.945</v>
      </c>
      <c r="E42" s="257">
        <f t="shared" si="4"/>
        <v>26375262.32</v>
      </c>
      <c r="F42" s="257">
        <f t="shared" si="5"/>
        <v>12340000</v>
      </c>
    </row>
    <row r="43">
      <c r="A43" s="256">
        <f t="shared" si="3"/>
        <v>35</v>
      </c>
      <c r="B43" s="257">
        <f t="shared" si="6"/>
        <v>26375262.32</v>
      </c>
      <c r="C43" s="257">
        <f t="shared" si="1"/>
        <v>360000</v>
      </c>
      <c r="D43" s="257">
        <f t="shared" si="2"/>
        <v>1081242.768</v>
      </c>
      <c r="E43" s="257">
        <f t="shared" si="4"/>
        <v>27816505.09</v>
      </c>
      <c r="F43" s="257">
        <f t="shared" si="5"/>
        <v>12700000</v>
      </c>
    </row>
    <row r="44">
      <c r="A44" s="256">
        <f t="shared" si="3"/>
        <v>36</v>
      </c>
      <c r="B44" s="257">
        <f t="shared" si="6"/>
        <v>27816505.09</v>
      </c>
      <c r="C44" s="257">
        <f t="shared" si="1"/>
        <v>360000</v>
      </c>
      <c r="D44" s="257">
        <f t="shared" si="2"/>
        <v>1139961.222</v>
      </c>
      <c r="E44" s="257">
        <f t="shared" si="4"/>
        <v>29316466.31</v>
      </c>
      <c r="F44" s="257">
        <f t="shared" si="5"/>
        <v>13060000</v>
      </c>
    </row>
    <row r="45">
      <c r="A45" s="256">
        <f t="shared" si="3"/>
        <v>37</v>
      </c>
      <c r="B45" s="257">
        <f t="shared" si="6"/>
        <v>29316466.31</v>
      </c>
      <c r="C45" s="257">
        <f t="shared" si="1"/>
        <v>360000</v>
      </c>
      <c r="D45" s="257">
        <f t="shared" si="2"/>
        <v>1201071.957</v>
      </c>
      <c r="E45" s="257">
        <f t="shared" si="4"/>
        <v>30877538.27</v>
      </c>
      <c r="F45" s="257">
        <f t="shared" si="5"/>
        <v>13420000</v>
      </c>
    </row>
    <row r="46">
      <c r="A46" s="256">
        <f t="shared" si="3"/>
        <v>38</v>
      </c>
      <c r="B46" s="257">
        <f t="shared" si="6"/>
        <v>30877538.27</v>
      </c>
      <c r="C46" s="257">
        <f t="shared" si="1"/>
        <v>360000</v>
      </c>
      <c r="D46" s="257">
        <f t="shared" si="2"/>
        <v>1264672.437</v>
      </c>
      <c r="E46" s="257">
        <f t="shared" si="4"/>
        <v>32502210.7</v>
      </c>
      <c r="F46" s="257">
        <f t="shared" si="5"/>
        <v>13780000</v>
      </c>
    </row>
    <row r="47">
      <c r="A47" s="256">
        <f t="shared" si="3"/>
        <v>39</v>
      </c>
      <c r="B47" s="257">
        <f t="shared" si="6"/>
        <v>32502210.7</v>
      </c>
      <c r="C47" s="257">
        <f t="shared" si="1"/>
        <v>360000</v>
      </c>
      <c r="D47" s="257">
        <f t="shared" si="2"/>
        <v>1330864.099</v>
      </c>
      <c r="E47" s="257">
        <f t="shared" si="4"/>
        <v>34193074.8</v>
      </c>
      <c r="F47" s="257">
        <f t="shared" si="5"/>
        <v>14140000</v>
      </c>
    </row>
    <row r="48">
      <c r="A48" s="256">
        <f t="shared" si="3"/>
        <v>40</v>
      </c>
      <c r="B48" s="257">
        <f t="shared" si="6"/>
        <v>34193074.8</v>
      </c>
      <c r="C48" s="257">
        <f t="shared" si="1"/>
        <v>360000</v>
      </c>
      <c r="D48" s="257">
        <f t="shared" si="2"/>
        <v>1399752.511</v>
      </c>
      <c r="E48" s="257">
        <f t="shared" si="4"/>
        <v>35952827.31</v>
      </c>
      <c r="F48" s="257">
        <f t="shared" si="5"/>
        <v>14500000</v>
      </c>
    </row>
    <row r="49">
      <c r="A49" s="256">
        <f t="shared" si="3"/>
        <v>41</v>
      </c>
      <c r="B49" s="257">
        <f t="shared" si="6"/>
        <v>35952827.31</v>
      </c>
      <c r="C49" s="257">
        <f t="shared" si="1"/>
        <v>360000</v>
      </c>
      <c r="D49" s="257">
        <f t="shared" si="2"/>
        <v>1471447.543</v>
      </c>
      <c r="E49" s="257">
        <f t="shared" si="4"/>
        <v>37784274.86</v>
      </c>
      <c r="F49" s="257">
        <f t="shared" si="5"/>
        <v>14860000</v>
      </c>
    </row>
    <row r="50">
      <c r="A50" s="256">
        <f t="shared" si="3"/>
        <v>42</v>
      </c>
      <c r="B50" s="257">
        <f t="shared" si="6"/>
        <v>37784274.86</v>
      </c>
      <c r="C50" s="257">
        <f t="shared" si="1"/>
        <v>360000</v>
      </c>
      <c r="D50" s="257">
        <f t="shared" si="2"/>
        <v>1546063.542</v>
      </c>
      <c r="E50" s="257">
        <f t="shared" si="4"/>
        <v>39690338.4</v>
      </c>
      <c r="F50" s="257">
        <f t="shared" si="5"/>
        <v>15220000</v>
      </c>
    </row>
    <row r="51">
      <c r="A51" s="256">
        <f t="shared" si="3"/>
        <v>43</v>
      </c>
      <c r="B51" s="257">
        <f t="shared" si="6"/>
        <v>39690338.4</v>
      </c>
      <c r="C51" s="257">
        <f t="shared" si="1"/>
        <v>360000</v>
      </c>
      <c r="D51" s="257">
        <f t="shared" si="2"/>
        <v>1623719.512</v>
      </c>
      <c r="E51" s="257">
        <f t="shared" si="4"/>
        <v>41674057.91</v>
      </c>
      <c r="F51" s="257">
        <f t="shared" si="5"/>
        <v>15580000</v>
      </c>
    </row>
    <row r="52">
      <c r="A52" s="256">
        <f t="shared" si="3"/>
        <v>44</v>
      </c>
      <c r="B52" s="257">
        <f t="shared" si="6"/>
        <v>41674057.91</v>
      </c>
      <c r="C52" s="257">
        <f t="shared" si="1"/>
        <v>360000</v>
      </c>
      <c r="D52" s="257">
        <f t="shared" si="2"/>
        <v>1704539.305</v>
      </c>
      <c r="E52" s="257">
        <f t="shared" si="4"/>
        <v>43738597.22</v>
      </c>
      <c r="F52" s="257">
        <f t="shared" si="5"/>
        <v>15940000</v>
      </c>
    </row>
    <row r="53">
      <c r="A53" s="256">
        <f t="shared" si="3"/>
        <v>45</v>
      </c>
      <c r="B53" s="257">
        <f t="shared" si="6"/>
        <v>43738597.22</v>
      </c>
      <c r="C53" s="257">
        <f t="shared" si="1"/>
        <v>360000</v>
      </c>
      <c r="D53" s="257">
        <f t="shared" si="2"/>
        <v>1788651.822</v>
      </c>
      <c r="E53" s="257">
        <f t="shared" si="4"/>
        <v>45887249.04</v>
      </c>
      <c r="F53" s="257">
        <f t="shared" si="5"/>
        <v>16300000</v>
      </c>
    </row>
    <row r="54">
      <c r="A54" s="256">
        <f t="shared" si="3"/>
        <v>46</v>
      </c>
      <c r="B54" s="257">
        <f t="shared" si="6"/>
        <v>45887249.04</v>
      </c>
      <c r="C54" s="257">
        <f t="shared" si="1"/>
        <v>360000</v>
      </c>
      <c r="D54" s="257">
        <f t="shared" si="2"/>
        <v>1876191.212</v>
      </c>
      <c r="E54" s="257">
        <f t="shared" si="4"/>
        <v>48123440.25</v>
      </c>
      <c r="F54" s="257">
        <f t="shared" si="5"/>
        <v>16660000</v>
      </c>
    </row>
    <row r="55">
      <c r="A55" s="256">
        <f t="shared" si="3"/>
        <v>47</v>
      </c>
      <c r="B55" s="257">
        <f t="shared" si="6"/>
        <v>48123440.25</v>
      </c>
      <c r="C55" s="257">
        <f t="shared" si="1"/>
        <v>360000</v>
      </c>
      <c r="D55" s="257">
        <f t="shared" si="2"/>
        <v>1967297.093</v>
      </c>
      <c r="E55" s="257">
        <f t="shared" si="4"/>
        <v>50450737.34</v>
      </c>
      <c r="F55" s="257">
        <f t="shared" si="5"/>
        <v>17020000</v>
      </c>
    </row>
    <row r="56">
      <c r="A56" s="256">
        <f t="shared" si="3"/>
        <v>48</v>
      </c>
      <c r="B56" s="257">
        <f t="shared" si="6"/>
        <v>50450737.34</v>
      </c>
      <c r="C56" s="257">
        <f t="shared" si="1"/>
        <v>360000</v>
      </c>
      <c r="D56" s="257">
        <f t="shared" si="2"/>
        <v>2062114.767</v>
      </c>
      <c r="E56" s="257">
        <f t="shared" si="4"/>
        <v>52872852.11</v>
      </c>
      <c r="F56" s="257">
        <f t="shared" si="5"/>
        <v>17380000</v>
      </c>
    </row>
    <row r="57">
      <c r="A57" s="256">
        <f t="shared" si="3"/>
        <v>49</v>
      </c>
      <c r="B57" s="257">
        <f t="shared" si="6"/>
        <v>52872852.11</v>
      </c>
      <c r="C57" s="257">
        <f t="shared" si="1"/>
        <v>360000</v>
      </c>
      <c r="D57" s="257">
        <f t="shared" si="2"/>
        <v>2160795.46</v>
      </c>
      <c r="E57" s="257">
        <f t="shared" si="4"/>
        <v>55393647.57</v>
      </c>
      <c r="F57" s="257">
        <f t="shared" si="5"/>
        <v>17740000</v>
      </c>
    </row>
    <row r="58">
      <c r="A58" s="256">
        <f t="shared" si="3"/>
        <v>50</v>
      </c>
      <c r="B58" s="257">
        <f t="shared" si="6"/>
        <v>55393647.57</v>
      </c>
      <c r="C58" s="257">
        <f t="shared" si="1"/>
        <v>360000</v>
      </c>
      <c r="D58" s="257">
        <f t="shared" si="2"/>
        <v>2263496.556</v>
      </c>
      <c r="E58" s="257">
        <f t="shared" si="4"/>
        <v>58017144.13</v>
      </c>
      <c r="F58" s="257">
        <f t="shared" si="5"/>
        <v>18100000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71"/>
    <col customWidth="1" min="2" max="2" width="44.71"/>
    <col customWidth="1" min="5" max="5" width="42.0"/>
  </cols>
  <sheetData>
    <row r="1">
      <c r="A1" s="1"/>
      <c r="B1" s="1" t="s">
        <v>134</v>
      </c>
    </row>
    <row r="3">
      <c r="A3" s="19"/>
      <c r="B3" s="19" t="s">
        <v>135</v>
      </c>
    </row>
    <row r="4">
      <c r="A4" s="259"/>
      <c r="B4" s="260" t="s">
        <v>136</v>
      </c>
      <c r="C4" s="260" t="s">
        <v>137</v>
      </c>
      <c r="D4" s="260" t="s">
        <v>138</v>
      </c>
      <c r="E4" s="260" t="s">
        <v>139</v>
      </c>
    </row>
    <row r="5">
      <c r="B5" s="261"/>
      <c r="C5" s="262"/>
      <c r="D5" s="47" t="b">
        <v>0</v>
      </c>
      <c r="E5" s="63"/>
    </row>
    <row r="6">
      <c r="B6" s="261"/>
      <c r="C6" s="262"/>
      <c r="D6" s="47" t="b">
        <v>0</v>
      </c>
      <c r="E6" s="63"/>
    </row>
    <row r="7">
      <c r="B7" s="261"/>
      <c r="C7" s="262"/>
      <c r="D7" s="47" t="b">
        <v>0</v>
      </c>
      <c r="E7" s="63"/>
    </row>
    <row r="8">
      <c r="B8" s="261"/>
      <c r="C8" s="262"/>
      <c r="D8" s="47" t="b">
        <v>0</v>
      </c>
      <c r="E8" s="63"/>
    </row>
    <row r="9">
      <c r="B9" s="261"/>
      <c r="C9" s="262"/>
      <c r="D9" s="47" t="b">
        <v>0</v>
      </c>
      <c r="E9" s="63"/>
    </row>
    <row r="10">
      <c r="B10" s="261"/>
      <c r="C10" s="262"/>
      <c r="D10" s="47" t="b">
        <v>0</v>
      </c>
      <c r="E10" s="63"/>
    </row>
    <row r="11">
      <c r="B11" s="261"/>
      <c r="C11" s="262"/>
      <c r="D11" s="47" t="b">
        <v>0</v>
      </c>
      <c r="E11" s="63"/>
    </row>
    <row r="12">
      <c r="B12" s="63"/>
      <c r="C12" s="262"/>
      <c r="D12" s="47" t="b">
        <v>0</v>
      </c>
      <c r="E12" s="63"/>
    </row>
    <row r="13">
      <c r="B13" s="63"/>
      <c r="C13" s="262"/>
      <c r="D13" s="47" t="b">
        <v>0</v>
      </c>
      <c r="E13" s="63"/>
    </row>
    <row r="14">
      <c r="B14" s="63"/>
      <c r="C14" s="262"/>
      <c r="D14" s="47" t="b">
        <v>0</v>
      </c>
      <c r="E14" s="63"/>
    </row>
    <row r="15">
      <c r="B15" s="63"/>
      <c r="C15" s="262"/>
      <c r="D15" s="47" t="b">
        <v>0</v>
      </c>
      <c r="E15" s="63"/>
    </row>
    <row r="16">
      <c r="B16" s="63"/>
      <c r="C16" s="262"/>
      <c r="D16" s="47" t="b">
        <v>0</v>
      </c>
      <c r="E16" s="63"/>
    </row>
    <row r="17">
      <c r="B17" s="63"/>
      <c r="C17" s="262"/>
      <c r="D17" s="47" t="b">
        <v>0</v>
      </c>
      <c r="E17" s="63"/>
    </row>
    <row r="18">
      <c r="B18" s="63"/>
      <c r="C18" s="262"/>
      <c r="D18" s="47" t="b">
        <v>0</v>
      </c>
      <c r="E18" s="63"/>
    </row>
    <row r="19">
      <c r="B19" s="63"/>
      <c r="C19" s="262"/>
      <c r="D19" s="47" t="b">
        <v>0</v>
      </c>
      <c r="E19" s="63"/>
    </row>
    <row r="20">
      <c r="B20" s="63"/>
      <c r="C20" s="262"/>
      <c r="D20" s="47" t="b">
        <v>0</v>
      </c>
      <c r="E20" s="63"/>
    </row>
    <row r="21">
      <c r="B21" s="63"/>
      <c r="C21" s="262"/>
      <c r="D21" s="47" t="b">
        <v>0</v>
      </c>
      <c r="E21" s="63"/>
    </row>
    <row r="22">
      <c r="B22" s="63"/>
      <c r="C22" s="262"/>
      <c r="D22" s="47" t="b">
        <v>0</v>
      </c>
      <c r="E22" s="63"/>
    </row>
    <row r="23">
      <c r="B23" s="63"/>
      <c r="C23" s="262"/>
      <c r="D23" s="47" t="b">
        <v>0</v>
      </c>
      <c r="E23" s="63"/>
    </row>
    <row r="24">
      <c r="B24" s="63"/>
      <c r="C24" s="262"/>
      <c r="D24" s="47" t="b">
        <v>0</v>
      </c>
      <c r="E24" s="63"/>
    </row>
    <row r="25">
      <c r="B25" s="63"/>
      <c r="C25" s="262"/>
      <c r="D25" s="47" t="b">
        <v>0</v>
      </c>
      <c r="E25" s="63"/>
    </row>
    <row r="26">
      <c r="B26" s="63"/>
      <c r="C26" s="262"/>
      <c r="D26" s="47" t="b">
        <v>0</v>
      </c>
      <c r="E26" s="63"/>
    </row>
    <row r="27">
      <c r="B27" s="63"/>
      <c r="C27" s="262"/>
      <c r="D27" s="47" t="b">
        <v>0</v>
      </c>
      <c r="E27" s="63"/>
    </row>
    <row r="28">
      <c r="B28" s="63"/>
      <c r="C28" s="262"/>
      <c r="D28" s="47" t="b">
        <v>0</v>
      </c>
      <c r="E28" s="63"/>
    </row>
    <row r="29">
      <c r="B29" s="63"/>
      <c r="C29" s="262"/>
      <c r="D29" s="47" t="b">
        <v>0</v>
      </c>
      <c r="E29" s="63"/>
    </row>
    <row r="30">
      <c r="B30" s="63"/>
      <c r="C30" s="262"/>
      <c r="D30" s="47" t="b">
        <v>0</v>
      </c>
      <c r="E30" s="63"/>
    </row>
    <row r="31">
      <c r="B31" s="63"/>
      <c r="C31" s="262"/>
      <c r="D31" s="47" t="b">
        <v>0</v>
      </c>
      <c r="E31" s="63"/>
    </row>
    <row r="32">
      <c r="B32" s="63"/>
      <c r="C32" s="262"/>
      <c r="D32" s="47" t="b">
        <v>0</v>
      </c>
      <c r="E32" s="63"/>
    </row>
    <row r="33">
      <c r="B33" s="63"/>
      <c r="C33" s="262"/>
      <c r="D33" s="47" t="b">
        <v>0</v>
      </c>
      <c r="E33" s="63"/>
    </row>
    <row r="34">
      <c r="B34" s="63"/>
      <c r="C34" s="262"/>
      <c r="D34" s="47" t="b">
        <v>0</v>
      </c>
      <c r="E34" s="63"/>
    </row>
    <row r="35">
      <c r="B35" s="63"/>
      <c r="C35" s="262"/>
      <c r="D35" s="47" t="b">
        <v>0</v>
      </c>
      <c r="E35" s="63"/>
    </row>
    <row r="36">
      <c r="B36" s="63"/>
      <c r="C36" s="262"/>
      <c r="D36" s="47" t="b">
        <v>0</v>
      </c>
      <c r="E36" s="63"/>
    </row>
    <row r="37">
      <c r="B37" s="63"/>
      <c r="C37" s="262"/>
      <c r="D37" s="47" t="b">
        <v>0</v>
      </c>
      <c r="E37" s="63"/>
    </row>
    <row r="38">
      <c r="B38" s="63"/>
      <c r="C38" s="262"/>
      <c r="D38" s="47" t="b">
        <v>0</v>
      </c>
      <c r="E38" s="6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8.29"/>
    <col customWidth="1" min="2" max="2" width="87.0"/>
    <col customWidth="1" min="3" max="3" width="16.0"/>
    <col customWidth="1" min="4" max="15" width="16.86"/>
    <col customWidth="1" hidden="1" min="16" max="25" width="16.43"/>
    <col customWidth="1" min="26" max="28" width="8.71"/>
  </cols>
  <sheetData>
    <row r="1" ht="21.0" customHeight="1">
      <c r="A1" s="207" t="s">
        <v>140</v>
      </c>
      <c r="C1" s="263"/>
      <c r="D1" s="263"/>
      <c r="E1" s="263"/>
      <c r="F1" s="264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</row>
    <row r="2" ht="21.0" customHeight="1">
      <c r="A2" s="265"/>
      <c r="B2" s="266"/>
      <c r="C2" s="263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3"/>
      <c r="AA2" s="263"/>
      <c r="AB2" s="263"/>
    </row>
    <row r="3" ht="21.0" customHeight="1">
      <c r="A3" s="268"/>
      <c r="B3" s="269" t="s">
        <v>141</v>
      </c>
      <c r="C3" s="270" t="s">
        <v>142</v>
      </c>
      <c r="D3" s="271" t="s">
        <v>143</v>
      </c>
      <c r="E3" s="272" t="s">
        <v>144</v>
      </c>
      <c r="F3" s="272" t="s">
        <v>145</v>
      </c>
      <c r="G3" s="273" t="s">
        <v>146</v>
      </c>
      <c r="H3" s="274" t="s">
        <v>147</v>
      </c>
      <c r="I3" s="272" t="s">
        <v>148</v>
      </c>
      <c r="J3" s="272" t="s">
        <v>149</v>
      </c>
      <c r="K3" s="272" t="s">
        <v>150</v>
      </c>
      <c r="L3" s="272" t="s">
        <v>32</v>
      </c>
      <c r="M3" s="272" t="s">
        <v>151</v>
      </c>
      <c r="N3" s="272" t="s">
        <v>116</v>
      </c>
      <c r="O3" s="275" t="s">
        <v>46</v>
      </c>
      <c r="P3" s="276" t="s">
        <v>152</v>
      </c>
      <c r="Q3" s="277" t="s">
        <v>153</v>
      </c>
      <c r="R3" s="277" t="s">
        <v>154</v>
      </c>
      <c r="S3" s="277" t="s">
        <v>155</v>
      </c>
      <c r="T3" s="277" t="s">
        <v>156</v>
      </c>
      <c r="U3" s="277" t="s">
        <v>157</v>
      </c>
      <c r="V3" s="277" t="s">
        <v>158</v>
      </c>
      <c r="W3" s="277" t="s">
        <v>159</v>
      </c>
      <c r="X3" s="277" t="s">
        <v>160</v>
      </c>
      <c r="Y3" s="278" t="s">
        <v>161</v>
      </c>
      <c r="Z3" s="263"/>
      <c r="AA3" s="263"/>
      <c r="AB3" s="263"/>
    </row>
    <row r="4" ht="21.0" customHeight="1">
      <c r="A4" s="279"/>
      <c r="B4" s="280" t="s">
        <v>162</v>
      </c>
      <c r="C4" s="281">
        <v>1000000.0</v>
      </c>
      <c r="D4" s="282">
        <v>1.0</v>
      </c>
      <c r="E4" s="283"/>
      <c r="F4" s="283"/>
      <c r="G4" s="283"/>
      <c r="H4" s="283"/>
      <c r="I4" s="283"/>
      <c r="J4" s="283"/>
      <c r="K4" s="283"/>
      <c r="L4" s="283"/>
      <c r="M4" s="284"/>
      <c r="N4" s="285"/>
      <c r="O4" s="286">
        <f>IF(SUM('🌟資産配分'!$D4:$N4)=0,"",SUM('🌟資産配分'!$D4:$N4))</f>
        <v>1</v>
      </c>
      <c r="P4" s="287">
        <f>'🌟資産配分'!$C4*'🌟資産配分'!$D4</f>
        <v>1000000</v>
      </c>
      <c r="Q4" s="288">
        <f>'🌟資産配分'!$C4*'🌟資産配分'!$E4</f>
        <v>0</v>
      </c>
      <c r="R4" s="288">
        <f>'🌟資産配分'!$C4*'🌟資産配分'!$F4</f>
        <v>0</v>
      </c>
      <c r="S4" s="288">
        <f>'🌟資産配分'!$C4*'🌟資産配分'!$G4</f>
        <v>0</v>
      </c>
      <c r="T4" s="288">
        <f>'🌟資産配分'!$C4*'🌟資産配分'!$H4</f>
        <v>0</v>
      </c>
      <c r="U4" s="288">
        <f>'🌟資産配分'!$C4*'🌟資産配分'!$I4</f>
        <v>0</v>
      </c>
      <c r="V4" s="288">
        <f>'🌟資産配分'!$C4*'🌟資産配分'!$J4</f>
        <v>0</v>
      </c>
      <c r="W4" s="288">
        <f>'🌟資産配分'!$C4*'🌟資産配分'!$K4</f>
        <v>0</v>
      </c>
      <c r="X4" s="288">
        <f>'🌟資産配分'!$C4*'🌟資産配分'!$L4</f>
        <v>0</v>
      </c>
      <c r="Y4" s="289">
        <f>'🌟資産配分'!$C4*'🌟資産配分'!$N4</f>
        <v>0</v>
      </c>
      <c r="Z4" s="263"/>
      <c r="AA4" s="263"/>
      <c r="AB4" s="263"/>
    </row>
    <row r="5" ht="21.0" customHeight="1">
      <c r="A5" s="279"/>
      <c r="B5" s="290" t="s">
        <v>163</v>
      </c>
      <c r="C5" s="291">
        <v>500000.0</v>
      </c>
      <c r="D5" s="292">
        <v>1.0</v>
      </c>
      <c r="E5" s="293"/>
      <c r="F5" s="293"/>
      <c r="G5" s="293"/>
      <c r="H5" s="293"/>
      <c r="I5" s="293"/>
      <c r="J5" s="293"/>
      <c r="K5" s="293"/>
      <c r="L5" s="293"/>
      <c r="M5" s="294"/>
      <c r="N5" s="295"/>
      <c r="O5" s="296">
        <f>IF(SUM('🌟資産配分'!$D5:$N5)=0,"",SUM('🌟資産配分'!$D5:$N5))</f>
        <v>1</v>
      </c>
      <c r="P5" s="287">
        <f>'🌟資産配分'!$C5*'🌟資産配分'!$D5</f>
        <v>500000</v>
      </c>
      <c r="Q5" s="288">
        <f>'🌟資産配分'!$C5*'🌟資産配分'!$E5</f>
        <v>0</v>
      </c>
      <c r="R5" s="288">
        <f>'🌟資産配分'!$C5*'🌟資産配分'!$F5</f>
        <v>0</v>
      </c>
      <c r="S5" s="288">
        <f>'🌟資産配分'!$C5*'🌟資産配分'!$G5</f>
        <v>0</v>
      </c>
      <c r="T5" s="288">
        <f>'🌟資産配分'!$C5*'🌟資産配分'!$H5</f>
        <v>0</v>
      </c>
      <c r="U5" s="288">
        <f>'🌟資産配分'!$C5*'🌟資産配分'!$I5</f>
        <v>0</v>
      </c>
      <c r="V5" s="288">
        <f>'🌟資産配分'!$C5*'🌟資産配分'!$J5</f>
        <v>0</v>
      </c>
      <c r="W5" s="288">
        <f>'🌟資産配分'!$C5*'🌟資産配分'!$K5</f>
        <v>0</v>
      </c>
      <c r="X5" s="288">
        <f>'🌟資産配分'!$C5*'🌟資産配分'!$L5</f>
        <v>0</v>
      </c>
      <c r="Y5" s="289">
        <f>'🌟資産配分'!$C5*'🌟資産配分'!$N5</f>
        <v>0</v>
      </c>
      <c r="Z5" s="263"/>
      <c r="AA5" s="263"/>
      <c r="AB5" s="263"/>
    </row>
    <row r="6" ht="21.0" customHeight="1">
      <c r="A6" s="279"/>
      <c r="B6" s="290" t="s">
        <v>164</v>
      </c>
      <c r="C6" s="291">
        <v>500000.0</v>
      </c>
      <c r="D6" s="292">
        <v>1.0</v>
      </c>
      <c r="E6" s="293"/>
      <c r="F6" s="293"/>
      <c r="G6" s="293"/>
      <c r="H6" s="293"/>
      <c r="I6" s="293"/>
      <c r="J6" s="293"/>
      <c r="K6" s="293"/>
      <c r="L6" s="293"/>
      <c r="M6" s="294"/>
      <c r="N6" s="295"/>
      <c r="O6" s="296">
        <f>IF(SUM('🌟資産配分'!$D6:$N6)=0,"",SUM('🌟資産配分'!$D6:$N6))</f>
        <v>1</v>
      </c>
      <c r="P6" s="287">
        <f>'🌟資産配分'!$C6*'🌟資産配分'!$D6</f>
        <v>500000</v>
      </c>
      <c r="Q6" s="288">
        <f>'🌟資産配分'!$C6*'🌟資産配分'!$E6</f>
        <v>0</v>
      </c>
      <c r="R6" s="288">
        <f>'🌟資産配分'!$C6*'🌟資産配分'!$F6</f>
        <v>0</v>
      </c>
      <c r="S6" s="288">
        <f>'🌟資産配分'!$C6*'🌟資産配分'!$G6</f>
        <v>0</v>
      </c>
      <c r="T6" s="288">
        <f>'🌟資産配分'!$C6*'🌟資産配分'!$H6</f>
        <v>0</v>
      </c>
      <c r="U6" s="288">
        <f>'🌟資産配分'!$C6*'🌟資産配分'!$I6</f>
        <v>0</v>
      </c>
      <c r="V6" s="288">
        <f>'🌟資産配分'!$C6*'🌟資産配分'!$J6</f>
        <v>0</v>
      </c>
      <c r="W6" s="288">
        <f>'🌟資産配分'!$C6*'🌟資産配分'!$K6</f>
        <v>0</v>
      </c>
      <c r="X6" s="288">
        <f>'🌟資産配分'!$C6*'🌟資産配分'!$L6</f>
        <v>0</v>
      </c>
      <c r="Y6" s="289">
        <f>'🌟資産配分'!$C6*'🌟資産配分'!$N6</f>
        <v>0</v>
      </c>
      <c r="Z6" s="263"/>
      <c r="AA6" s="263"/>
      <c r="AB6" s="263"/>
    </row>
    <row r="7" ht="21.0" customHeight="1">
      <c r="A7" s="279"/>
      <c r="B7" s="290" t="s">
        <v>165</v>
      </c>
      <c r="C7" s="291">
        <v>100000.0</v>
      </c>
      <c r="D7" s="292">
        <v>1.0</v>
      </c>
      <c r="E7" s="293"/>
      <c r="F7" s="293"/>
      <c r="G7" s="293"/>
      <c r="H7" s="293"/>
      <c r="I7" s="293"/>
      <c r="J7" s="293"/>
      <c r="K7" s="293"/>
      <c r="L7" s="293"/>
      <c r="M7" s="294"/>
      <c r="N7" s="295"/>
      <c r="O7" s="296">
        <f>IF(SUM('🌟資産配分'!$D7:$N7)=0,"",SUM('🌟資産配分'!$D7:$N7))</f>
        <v>1</v>
      </c>
      <c r="P7" s="287">
        <f>'🌟資産配分'!$C7*'🌟資産配分'!$D7</f>
        <v>100000</v>
      </c>
      <c r="Q7" s="288">
        <f>'🌟資産配分'!$C7*'🌟資産配分'!$E7</f>
        <v>0</v>
      </c>
      <c r="R7" s="288">
        <f>'🌟資産配分'!$C7*'🌟資産配分'!$F7</f>
        <v>0</v>
      </c>
      <c r="S7" s="288">
        <f>'🌟資産配分'!$C7*'🌟資産配分'!$G7</f>
        <v>0</v>
      </c>
      <c r="T7" s="288">
        <f>'🌟資産配分'!$C7*'🌟資産配分'!$H7</f>
        <v>0</v>
      </c>
      <c r="U7" s="288">
        <f>'🌟資産配分'!$C7*'🌟資産配分'!$I7</f>
        <v>0</v>
      </c>
      <c r="V7" s="288">
        <f>'🌟資産配分'!$C7*'🌟資産配分'!$J7</f>
        <v>0</v>
      </c>
      <c r="W7" s="288">
        <f>'🌟資産配分'!$C7*'🌟資産配分'!$K7</f>
        <v>0</v>
      </c>
      <c r="X7" s="288">
        <f>'🌟資産配分'!$C7*'🌟資産配分'!$L7</f>
        <v>0</v>
      </c>
      <c r="Y7" s="289">
        <f>'🌟資産配分'!$C7*'🌟資産配分'!$N7</f>
        <v>0</v>
      </c>
      <c r="Z7" s="263"/>
      <c r="AA7" s="263"/>
      <c r="AB7" s="263"/>
    </row>
    <row r="8" ht="21.0" customHeight="1">
      <c r="A8" s="279"/>
      <c r="B8" s="290" t="s">
        <v>166</v>
      </c>
      <c r="C8" s="291">
        <v>300000.0</v>
      </c>
      <c r="D8" s="297"/>
      <c r="E8" s="293"/>
      <c r="F8" s="293"/>
      <c r="G8" s="298">
        <v>1.0</v>
      </c>
      <c r="H8" s="293"/>
      <c r="I8" s="293"/>
      <c r="J8" s="293"/>
      <c r="K8" s="293"/>
      <c r="L8" s="293"/>
      <c r="M8" s="294"/>
      <c r="N8" s="295"/>
      <c r="O8" s="296">
        <f>IF(SUM('🌟資産配分'!$D8:$N8)=0,"",SUM('🌟資産配分'!$D8:$N8))</f>
        <v>1</v>
      </c>
      <c r="P8" s="287">
        <f>'🌟資産配分'!$C8*'🌟資産配分'!$D8</f>
        <v>0</v>
      </c>
      <c r="Q8" s="288">
        <f>'🌟資産配分'!$C8*'🌟資産配分'!$E8</f>
        <v>0</v>
      </c>
      <c r="R8" s="288">
        <f>'🌟資産配分'!$C8*'🌟資産配分'!$F8</f>
        <v>0</v>
      </c>
      <c r="S8" s="288">
        <f>'🌟資産配分'!$C8*'🌟資産配分'!$G8</f>
        <v>300000</v>
      </c>
      <c r="T8" s="288">
        <f>'🌟資産配分'!$C8*'🌟資産配分'!$H8</f>
        <v>0</v>
      </c>
      <c r="U8" s="288">
        <f>'🌟資産配分'!$C8*'🌟資産配分'!$I8</f>
        <v>0</v>
      </c>
      <c r="V8" s="288">
        <f>'🌟資産配分'!$C8*'🌟資産配分'!$J8</f>
        <v>0</v>
      </c>
      <c r="W8" s="288">
        <f>'🌟資産配分'!$C8*'🌟資産配分'!$K8</f>
        <v>0</v>
      </c>
      <c r="X8" s="288">
        <f>'🌟資産配分'!$C8*'🌟資産配分'!$L8</f>
        <v>0</v>
      </c>
      <c r="Y8" s="289">
        <f>'🌟資産配分'!$C8*'🌟資産配分'!$N8</f>
        <v>0</v>
      </c>
      <c r="Z8" s="263"/>
      <c r="AA8" s="263"/>
      <c r="AB8" s="263"/>
    </row>
    <row r="9" ht="21.0" customHeight="1">
      <c r="A9" s="279"/>
      <c r="B9" s="290"/>
      <c r="C9" s="291"/>
      <c r="D9" s="292"/>
      <c r="E9" s="298"/>
      <c r="F9" s="298"/>
      <c r="G9" s="298"/>
      <c r="H9" s="293"/>
      <c r="I9" s="293"/>
      <c r="J9" s="298"/>
      <c r="K9" s="298"/>
      <c r="L9" s="299"/>
      <c r="M9" s="295"/>
      <c r="N9" s="295"/>
      <c r="O9" s="296" t="str">
        <f>IF(SUM('🌟資産配分'!$D9:$N9)=0,"",SUM('🌟資産配分'!$D9:$N9))</f>
        <v/>
      </c>
      <c r="P9" s="287">
        <f>'🌟資産配分'!$C9*'🌟資産配分'!$D9</f>
        <v>0</v>
      </c>
      <c r="Q9" s="288">
        <f>'🌟資産配分'!$C9*'🌟資産配分'!$E9</f>
        <v>0</v>
      </c>
      <c r="R9" s="288">
        <f>'🌟資産配分'!$C9*'🌟資産配分'!$F9</f>
        <v>0</v>
      </c>
      <c r="S9" s="288">
        <f>'🌟資産配分'!$C9*'🌟資産配分'!$G9</f>
        <v>0</v>
      </c>
      <c r="T9" s="288">
        <f>'🌟資産配分'!$C9*'🌟資産配分'!$H9</f>
        <v>0</v>
      </c>
      <c r="U9" s="288">
        <f>'🌟資産配分'!$C9*'🌟資産配分'!$I9</f>
        <v>0</v>
      </c>
      <c r="V9" s="288">
        <f>'🌟資産配分'!$C9*'🌟資産配分'!$J9</f>
        <v>0</v>
      </c>
      <c r="W9" s="288">
        <f>'🌟資産配分'!$C9*'🌟資産配分'!$K9</f>
        <v>0</v>
      </c>
      <c r="X9" s="288">
        <f>'🌟資産配分'!$C9*'🌟資産配分'!$L9</f>
        <v>0</v>
      </c>
      <c r="Y9" s="289">
        <f>'🌟資産配分'!$C9*'🌟資産配分'!$N9</f>
        <v>0</v>
      </c>
      <c r="Z9" s="263"/>
      <c r="AA9" s="263"/>
      <c r="AB9" s="263"/>
    </row>
    <row r="10" ht="21.0" customHeight="1">
      <c r="A10" s="300"/>
      <c r="B10" s="301"/>
      <c r="C10" s="302"/>
      <c r="D10" s="297"/>
      <c r="E10" s="293"/>
      <c r="F10" s="293"/>
      <c r="G10" s="293"/>
      <c r="H10" s="293"/>
      <c r="I10" s="293"/>
      <c r="J10" s="293"/>
      <c r="K10" s="293"/>
      <c r="L10" s="293"/>
      <c r="M10" s="294"/>
      <c r="N10" s="295"/>
      <c r="O10" s="296" t="str">
        <f>IF(SUM('🌟資産配分'!$D10:$N10)=0,"",SUM('🌟資産配分'!$D10:$N10))</f>
        <v/>
      </c>
      <c r="P10" s="287">
        <f>'🌟資産配分'!$C10*'🌟資産配分'!$D10</f>
        <v>0</v>
      </c>
      <c r="Q10" s="288">
        <f>'🌟資産配分'!$C10*'🌟資産配分'!$E10</f>
        <v>0</v>
      </c>
      <c r="R10" s="288">
        <f>'🌟資産配分'!$C10*'🌟資産配分'!$F10</f>
        <v>0</v>
      </c>
      <c r="S10" s="288">
        <f>'🌟資産配分'!$C10*'🌟資産配分'!$G10</f>
        <v>0</v>
      </c>
      <c r="T10" s="288">
        <f>'🌟資産配分'!$C10*'🌟資産配分'!$H10</f>
        <v>0</v>
      </c>
      <c r="U10" s="288">
        <f>'🌟資産配分'!$C10*'🌟資産配分'!$I10</f>
        <v>0</v>
      </c>
      <c r="V10" s="288">
        <f>'🌟資産配分'!$C10*'🌟資産配分'!$J10</f>
        <v>0</v>
      </c>
      <c r="W10" s="288">
        <f>'🌟資産配分'!$C10*'🌟資産配分'!$K10</f>
        <v>0</v>
      </c>
      <c r="X10" s="288">
        <f>'🌟資産配分'!$C10*'🌟資産配分'!$L10</f>
        <v>0</v>
      </c>
      <c r="Y10" s="289">
        <f>'🌟資産配分'!$C10*'🌟資産配分'!$N10</f>
        <v>0</v>
      </c>
      <c r="Z10" s="263"/>
      <c r="AA10" s="263"/>
      <c r="AB10" s="263"/>
    </row>
    <row r="11" ht="21.0" customHeight="1">
      <c r="A11" s="300"/>
      <c r="B11" s="301"/>
      <c r="C11" s="302"/>
      <c r="D11" s="297"/>
      <c r="E11" s="293"/>
      <c r="F11" s="293"/>
      <c r="G11" s="293"/>
      <c r="H11" s="293"/>
      <c r="I11" s="293"/>
      <c r="J11" s="293"/>
      <c r="K11" s="293"/>
      <c r="L11" s="293"/>
      <c r="M11" s="294"/>
      <c r="N11" s="295"/>
      <c r="O11" s="296" t="str">
        <f>IF(SUM('🌟資産配分'!$D11:$N11)=0,"",SUM('🌟資産配分'!$D11:$N11))</f>
        <v/>
      </c>
      <c r="P11" s="287">
        <f>'🌟資産配分'!$C11*'🌟資産配分'!$D11</f>
        <v>0</v>
      </c>
      <c r="Q11" s="288">
        <f>'🌟資産配分'!$C11*'🌟資産配分'!$E11</f>
        <v>0</v>
      </c>
      <c r="R11" s="288">
        <f>'🌟資産配分'!$C11*'🌟資産配分'!$F11</f>
        <v>0</v>
      </c>
      <c r="S11" s="288">
        <f>'🌟資産配分'!$C11*'🌟資産配分'!$G11</f>
        <v>0</v>
      </c>
      <c r="T11" s="288">
        <f>'🌟資産配分'!$C11*'🌟資産配分'!$H11</f>
        <v>0</v>
      </c>
      <c r="U11" s="288">
        <f>'🌟資産配分'!$C11*'🌟資産配分'!$I11</f>
        <v>0</v>
      </c>
      <c r="V11" s="288">
        <f>'🌟資産配分'!$C11*'🌟資産配分'!$J11</f>
        <v>0</v>
      </c>
      <c r="W11" s="288">
        <f>'🌟資産配分'!$C11*'🌟資産配分'!$K11</f>
        <v>0</v>
      </c>
      <c r="X11" s="288">
        <f>'🌟資産配分'!$C11*'🌟資産配分'!$L11</f>
        <v>0</v>
      </c>
      <c r="Y11" s="289">
        <f>'🌟資産配分'!$C11*'🌟資産配分'!$N11</f>
        <v>0</v>
      </c>
      <c r="Z11" s="263"/>
      <c r="AA11" s="263"/>
      <c r="AB11" s="263"/>
    </row>
    <row r="12" ht="21.0" customHeight="1">
      <c r="A12" s="300"/>
      <c r="B12" s="301"/>
      <c r="C12" s="302"/>
      <c r="D12" s="297"/>
      <c r="E12" s="293"/>
      <c r="F12" s="293"/>
      <c r="G12" s="293"/>
      <c r="H12" s="293"/>
      <c r="I12" s="293"/>
      <c r="J12" s="293"/>
      <c r="K12" s="293"/>
      <c r="L12" s="293"/>
      <c r="M12" s="294"/>
      <c r="N12" s="295"/>
      <c r="O12" s="296" t="str">
        <f>IF(SUM('🌟資産配分'!$D12:$N12)=0,"",SUM('🌟資産配分'!$D12:$N12))</f>
        <v/>
      </c>
      <c r="P12" s="287">
        <f>'🌟資産配分'!$C12*'🌟資産配分'!$D12</f>
        <v>0</v>
      </c>
      <c r="Q12" s="288">
        <f>'🌟資産配分'!$C12*'🌟資産配分'!$E12</f>
        <v>0</v>
      </c>
      <c r="R12" s="288">
        <f>'🌟資産配分'!$C12*'🌟資産配分'!$F12</f>
        <v>0</v>
      </c>
      <c r="S12" s="288">
        <f>'🌟資産配分'!$C12*'🌟資産配分'!$G12</f>
        <v>0</v>
      </c>
      <c r="T12" s="288">
        <f>'🌟資産配分'!$C12*'🌟資産配分'!$H12</f>
        <v>0</v>
      </c>
      <c r="U12" s="288">
        <f>'🌟資産配分'!$C12*'🌟資産配分'!$I12</f>
        <v>0</v>
      </c>
      <c r="V12" s="288">
        <f>'🌟資産配分'!$C12*'🌟資産配分'!$J12</f>
        <v>0</v>
      </c>
      <c r="W12" s="288">
        <f>'🌟資産配分'!$C12*'🌟資産配分'!$K12</f>
        <v>0</v>
      </c>
      <c r="X12" s="288">
        <f>'🌟資産配分'!$C12*'🌟資産配分'!$L12</f>
        <v>0</v>
      </c>
      <c r="Y12" s="289">
        <f>'🌟資産配分'!$C12*'🌟資産配分'!$N12</f>
        <v>0</v>
      </c>
      <c r="Z12" s="263"/>
      <c r="AA12" s="263"/>
      <c r="AB12" s="263"/>
    </row>
    <row r="13" ht="21.0" customHeight="1">
      <c r="A13" s="300"/>
      <c r="B13" s="301"/>
      <c r="C13" s="302"/>
      <c r="D13" s="297"/>
      <c r="E13" s="293"/>
      <c r="F13" s="293"/>
      <c r="G13" s="293"/>
      <c r="H13" s="293"/>
      <c r="I13" s="293"/>
      <c r="J13" s="293"/>
      <c r="K13" s="293"/>
      <c r="L13" s="293"/>
      <c r="M13" s="294"/>
      <c r="N13" s="295"/>
      <c r="O13" s="296" t="str">
        <f>IF(SUM('🌟資産配分'!$D13:$N13)=0,"",SUM('🌟資産配分'!$D13:$N13))</f>
        <v/>
      </c>
      <c r="P13" s="287">
        <f>'🌟資産配分'!$C13*'🌟資産配分'!$D13</f>
        <v>0</v>
      </c>
      <c r="Q13" s="288">
        <f>'🌟資産配分'!$C13*'🌟資産配分'!$E13</f>
        <v>0</v>
      </c>
      <c r="R13" s="288">
        <f>'🌟資産配分'!$C13*'🌟資産配分'!$F13</f>
        <v>0</v>
      </c>
      <c r="S13" s="288">
        <f>'🌟資産配分'!$C13*'🌟資産配分'!$G13</f>
        <v>0</v>
      </c>
      <c r="T13" s="288">
        <f>'🌟資産配分'!$C13*'🌟資産配分'!$H13</f>
        <v>0</v>
      </c>
      <c r="U13" s="288">
        <f>'🌟資産配分'!$C13*'🌟資産配分'!$I13</f>
        <v>0</v>
      </c>
      <c r="V13" s="288">
        <f>'🌟資産配分'!$C13*'🌟資産配分'!$J13</f>
        <v>0</v>
      </c>
      <c r="W13" s="288">
        <f>'🌟資産配分'!$C13*'🌟資産配分'!$K13</f>
        <v>0</v>
      </c>
      <c r="X13" s="288">
        <f>'🌟資産配分'!$C13*'🌟資産配分'!$L13</f>
        <v>0</v>
      </c>
      <c r="Y13" s="289">
        <f>'🌟資産配分'!$C13*'🌟資産配分'!$N13</f>
        <v>0</v>
      </c>
      <c r="Z13" s="263"/>
      <c r="AA13" s="263"/>
      <c r="AB13" s="263"/>
    </row>
    <row r="14" ht="21.0" customHeight="1">
      <c r="A14" s="279"/>
      <c r="B14" s="303" t="s">
        <v>167</v>
      </c>
      <c r="C14" s="304">
        <v>3000000.0</v>
      </c>
      <c r="D14" s="305"/>
      <c r="E14" s="306"/>
      <c r="F14" s="306"/>
      <c r="G14" s="306"/>
      <c r="H14" s="306"/>
      <c r="I14" s="306"/>
      <c r="J14" s="306"/>
      <c r="K14" s="306"/>
      <c r="L14" s="306"/>
      <c r="M14" s="307"/>
      <c r="N14" s="308">
        <v>1.0</v>
      </c>
      <c r="O14" s="309">
        <f>IF(SUM('🌟資産配分'!$D14:$N14)=0,"",SUM('🌟資産配分'!$D14:$N14))</f>
        <v>1</v>
      </c>
      <c r="P14" s="287">
        <f>'🌟資産配分'!$C14*'🌟資産配分'!$D14</f>
        <v>0</v>
      </c>
      <c r="Q14" s="288">
        <f>'🌟資産配分'!$C14*'🌟資産配分'!$E14</f>
        <v>0</v>
      </c>
      <c r="R14" s="288">
        <f>'🌟資産配分'!$C14*'🌟資産配分'!$F14</f>
        <v>0</v>
      </c>
      <c r="S14" s="288">
        <f>'🌟資産配分'!$C14*'🌟資産配分'!$G14</f>
        <v>0</v>
      </c>
      <c r="T14" s="288">
        <f>'🌟資産配分'!$C14*'🌟資産配分'!$H14</f>
        <v>0</v>
      </c>
      <c r="U14" s="288">
        <f>'🌟資産配分'!$C14*'🌟資産配分'!$I14</f>
        <v>0</v>
      </c>
      <c r="V14" s="288">
        <f>'🌟資産配分'!$C14*'🌟資産配分'!$J14</f>
        <v>0</v>
      </c>
      <c r="W14" s="288">
        <f>'🌟資産配分'!$C14*'🌟資産配分'!$K14</f>
        <v>0</v>
      </c>
      <c r="X14" s="288">
        <f>'🌟資産配分'!$C14*'🌟資産配分'!$L14</f>
        <v>0</v>
      </c>
      <c r="Y14" s="289">
        <f>'🌟資産配分'!$C14*'🌟資産配分'!$N14</f>
        <v>3000000</v>
      </c>
      <c r="Z14" s="263"/>
      <c r="AA14" s="263"/>
      <c r="AB14" s="263"/>
    </row>
    <row r="15" ht="21.0" customHeight="1">
      <c r="A15" s="265"/>
      <c r="B15" s="310" t="s">
        <v>168</v>
      </c>
      <c r="C15" s="263"/>
      <c r="D15" s="311">
        <v>0.25</v>
      </c>
      <c r="E15" s="311">
        <v>0.24</v>
      </c>
      <c r="F15" s="311">
        <v>0.12</v>
      </c>
      <c r="G15" s="311">
        <v>0.11</v>
      </c>
      <c r="H15" s="263"/>
      <c r="I15" s="263"/>
      <c r="J15" s="311">
        <v>0.12</v>
      </c>
      <c r="K15" s="311">
        <v>0.12</v>
      </c>
      <c r="L15" s="311">
        <v>0.04</v>
      </c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</row>
    <row r="16" ht="21.0" customHeight="1">
      <c r="A16" s="265"/>
      <c r="B16" s="266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</row>
    <row r="17" ht="21.0" customHeight="1">
      <c r="A17" s="265"/>
      <c r="B17" s="266"/>
      <c r="C17" s="312" t="s">
        <v>169</v>
      </c>
      <c r="D17" s="159"/>
      <c r="E17" s="313" t="s">
        <v>115</v>
      </c>
      <c r="F17" s="159"/>
      <c r="G17" s="314" t="s">
        <v>170</v>
      </c>
      <c r="H17" s="159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</row>
    <row r="18" ht="21.0" customHeight="1">
      <c r="A18" s="315"/>
      <c r="B18" s="316"/>
      <c r="C18" s="317" t="s">
        <v>171</v>
      </c>
      <c r="D18" s="318" t="s">
        <v>142</v>
      </c>
      <c r="E18" s="319" t="s">
        <v>171</v>
      </c>
      <c r="F18" s="318" t="s">
        <v>142</v>
      </c>
      <c r="G18" s="319" t="s">
        <v>171</v>
      </c>
      <c r="H18" s="320" t="s">
        <v>142</v>
      </c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321"/>
      <c r="V18" s="263"/>
      <c r="W18" s="263"/>
      <c r="X18" s="263"/>
      <c r="Y18" s="263"/>
      <c r="Z18" s="263"/>
      <c r="AA18" s="263"/>
      <c r="AB18" s="263"/>
    </row>
    <row r="19" ht="21.0" customHeight="1">
      <c r="A19" s="265"/>
      <c r="B19" s="322" t="str">
        <f>D3</f>
        <v>国際株式</v>
      </c>
      <c r="C19" s="323">
        <v>0.4</v>
      </c>
      <c r="D19" s="324">
        <f t="shared" ref="D19:D29" si="2">IF(C19="","",$F$30*C19)</f>
        <v>2160000</v>
      </c>
      <c r="E19" s="325">
        <f t="shared" ref="E19:E29" si="3">IF(F19="","",F19/$F$30)</f>
        <v>0.3888888889</v>
      </c>
      <c r="F19" s="324">
        <f>IF(SUM('🌟資産配分'!$P$4:$P$14)=0,"",SUM('🌟資産配分'!$P$4:$P$14))</f>
        <v>2100000</v>
      </c>
      <c r="G19" s="326">
        <f t="shared" ref="G19:H19" si="1">IFERROR(C19-E19,"")</f>
        <v>0.01111111111</v>
      </c>
      <c r="H19" s="327">
        <f t="shared" si="1"/>
        <v>60000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328"/>
      <c r="V19" s="263"/>
      <c r="W19" s="263"/>
      <c r="X19" s="263"/>
      <c r="Y19" s="263"/>
      <c r="Z19" s="263"/>
      <c r="AA19" s="263"/>
      <c r="AB19" s="263"/>
    </row>
    <row r="20" ht="21.0" customHeight="1">
      <c r="A20" s="265"/>
      <c r="B20" s="329" t="str">
        <f>E3</f>
        <v>国際債券</v>
      </c>
      <c r="C20" s="330">
        <v>0.0</v>
      </c>
      <c r="D20" s="331">
        <f t="shared" si="2"/>
        <v>0</v>
      </c>
      <c r="E20" s="332" t="str">
        <f t="shared" si="3"/>
        <v/>
      </c>
      <c r="F20" s="331" t="str">
        <f>IF(SUM('🌟資産配分'!$Q$4:$Q$14)=0,"",SUM('🌟資産配分'!$Q$4:$Q$14))</f>
        <v/>
      </c>
      <c r="G20" s="333">
        <f t="shared" ref="G20:H20" si="4">IFERROR(C20-E20,"")</f>
        <v>0</v>
      </c>
      <c r="H20" s="334">
        <f t="shared" si="4"/>
        <v>0</v>
      </c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335"/>
      <c r="V20" s="263"/>
      <c r="W20" s="263"/>
      <c r="X20" s="263"/>
      <c r="Y20" s="263"/>
      <c r="Z20" s="263"/>
      <c r="AA20" s="263"/>
      <c r="AB20" s="263"/>
    </row>
    <row r="21" ht="21.0" customHeight="1">
      <c r="A21" s="265"/>
      <c r="B21" s="329" t="str">
        <f>F3</f>
        <v>国内株式</v>
      </c>
      <c r="C21" s="330">
        <v>0.0</v>
      </c>
      <c r="D21" s="331">
        <f t="shared" si="2"/>
        <v>0</v>
      </c>
      <c r="E21" s="332" t="str">
        <f t="shared" si="3"/>
        <v/>
      </c>
      <c r="F21" s="331" t="str">
        <f>IF(SUM('🌟資産配分'!$R$4:$R$14)=0,"",SUM('🌟資産配分'!$R$4:$R$14))</f>
        <v/>
      </c>
      <c r="G21" s="333">
        <f t="shared" ref="G21:H21" si="5">IFERROR(C21-E21,"")</f>
        <v>0</v>
      </c>
      <c r="H21" s="334">
        <f t="shared" si="5"/>
        <v>0</v>
      </c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335"/>
      <c r="V21" s="263"/>
      <c r="W21" s="263"/>
      <c r="X21" s="263"/>
      <c r="Y21" s="263"/>
      <c r="Z21" s="263"/>
      <c r="AA21" s="263"/>
      <c r="AB21" s="263"/>
    </row>
    <row r="22" ht="21.0" customHeight="1">
      <c r="A22" s="265"/>
      <c r="B22" s="329" t="str">
        <f>G3</f>
        <v>国内債券</v>
      </c>
      <c r="C22" s="330">
        <v>0.1</v>
      </c>
      <c r="D22" s="331">
        <f t="shared" si="2"/>
        <v>540000</v>
      </c>
      <c r="E22" s="332">
        <f t="shared" si="3"/>
        <v>0.05555555556</v>
      </c>
      <c r="F22" s="331">
        <f>IF(SUM('🌟資産配分'!$S$4:$S$14)=0,"",SUM('🌟資産配分'!$S$4:$S$14))</f>
        <v>300000</v>
      </c>
      <c r="G22" s="333">
        <f t="shared" ref="G22:H22" si="6">IFERROR(C22-E22,"")</f>
        <v>0.04444444444</v>
      </c>
      <c r="H22" s="334">
        <f t="shared" si="6"/>
        <v>240000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335"/>
      <c r="V22" s="263"/>
      <c r="W22" s="263"/>
      <c r="X22" s="263"/>
      <c r="Y22" s="263"/>
      <c r="Z22" s="263"/>
      <c r="AA22" s="263"/>
      <c r="AB22" s="263"/>
    </row>
    <row r="23" ht="21.0" customHeight="1">
      <c r="A23" s="265"/>
      <c r="B23" s="329" t="str">
        <f>H3</f>
        <v>新興国株式</v>
      </c>
      <c r="C23" s="330">
        <v>0.0</v>
      </c>
      <c r="D23" s="331">
        <f t="shared" si="2"/>
        <v>0</v>
      </c>
      <c r="E23" s="332" t="str">
        <f t="shared" si="3"/>
        <v/>
      </c>
      <c r="F23" s="331" t="str">
        <f>IF(SUM('🌟資産配分'!$T$4:$T$14)=0,"",SUM('🌟資産配分'!$T$4:$T$14))</f>
        <v/>
      </c>
      <c r="G23" s="333">
        <f t="shared" ref="G23:H23" si="7">IFERROR(C23-E23,"")</f>
        <v>0</v>
      </c>
      <c r="H23" s="334">
        <f t="shared" si="7"/>
        <v>0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335"/>
      <c r="V23" s="263"/>
      <c r="W23" s="263"/>
      <c r="X23" s="263"/>
      <c r="Y23" s="263"/>
      <c r="Z23" s="263"/>
      <c r="AA23" s="263"/>
      <c r="AB23" s="263"/>
    </row>
    <row r="24" ht="21.0" customHeight="1">
      <c r="A24" s="265"/>
      <c r="B24" s="329" t="str">
        <f>I3</f>
        <v>新興国債券</v>
      </c>
      <c r="C24" s="330">
        <v>0.0</v>
      </c>
      <c r="D24" s="331">
        <f t="shared" si="2"/>
        <v>0</v>
      </c>
      <c r="E24" s="332" t="str">
        <f t="shared" si="3"/>
        <v/>
      </c>
      <c r="F24" s="331" t="str">
        <f>IF(SUM('🌟資産配分'!$U$4:$U$14)=0,"",SUM('🌟資産配分'!$U$4:$U$14))</f>
        <v/>
      </c>
      <c r="G24" s="333">
        <f t="shared" ref="G24:H24" si="8">IFERROR(C24-E24,"")</f>
        <v>0</v>
      </c>
      <c r="H24" s="334">
        <f t="shared" si="8"/>
        <v>0</v>
      </c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335"/>
      <c r="V24" s="263"/>
      <c r="W24" s="263"/>
      <c r="X24" s="263"/>
      <c r="Y24" s="263"/>
      <c r="Z24" s="263"/>
      <c r="AA24" s="263"/>
      <c r="AB24" s="263"/>
    </row>
    <row r="25" ht="21.0" customHeight="1">
      <c r="A25" s="265"/>
      <c r="B25" s="329" t="str">
        <f>J3</f>
        <v>国際REIT</v>
      </c>
      <c r="C25" s="330">
        <v>0.0</v>
      </c>
      <c r="D25" s="331">
        <f t="shared" si="2"/>
        <v>0</v>
      </c>
      <c r="E25" s="332" t="str">
        <f t="shared" si="3"/>
        <v/>
      </c>
      <c r="F25" s="331" t="str">
        <f>IF(SUM('🌟資産配分'!$V$4:$V$14)=0,"",SUM('🌟資産配分'!$V$4:$V$14))</f>
        <v/>
      </c>
      <c r="G25" s="333">
        <f t="shared" ref="G25:H25" si="9">IFERROR(C25-E25,"")</f>
        <v>0</v>
      </c>
      <c r="H25" s="334">
        <f t="shared" si="9"/>
        <v>0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335"/>
      <c r="V25" s="263"/>
      <c r="W25" s="263"/>
      <c r="X25" s="263"/>
      <c r="Y25" s="263"/>
      <c r="Z25" s="263"/>
      <c r="AA25" s="263"/>
      <c r="AB25" s="263"/>
    </row>
    <row r="26" ht="21.0" customHeight="1">
      <c r="A26" s="265"/>
      <c r="B26" s="329" t="str">
        <f>K3</f>
        <v>国内REIT</v>
      </c>
      <c r="C26" s="330">
        <v>0.0</v>
      </c>
      <c r="D26" s="331">
        <f t="shared" si="2"/>
        <v>0</v>
      </c>
      <c r="E26" s="336" t="str">
        <f t="shared" si="3"/>
        <v/>
      </c>
      <c r="F26" s="337" t="str">
        <f>IF(SUM('🌟資産配分'!$W$4:$W$14)=0,"",SUM('🌟資産配分'!$W$4:$W$14))</f>
        <v/>
      </c>
      <c r="G26" s="333">
        <f t="shared" ref="G26:H26" si="10">IFERROR(C26-E26,"")</f>
        <v>0</v>
      </c>
      <c r="H26" s="334">
        <f t="shared" si="10"/>
        <v>0</v>
      </c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335"/>
      <c r="V26" s="263"/>
      <c r="W26" s="263"/>
      <c r="X26" s="263"/>
      <c r="Y26" s="263"/>
      <c r="Z26" s="263"/>
      <c r="AA26" s="263"/>
      <c r="AB26" s="263"/>
    </row>
    <row r="27" ht="21.0" customHeight="1">
      <c r="A27" s="265"/>
      <c r="B27" s="329" t="str">
        <f>L3</f>
        <v>その他</v>
      </c>
      <c r="C27" s="330">
        <v>0.0</v>
      </c>
      <c r="D27" s="338">
        <f t="shared" si="2"/>
        <v>0</v>
      </c>
      <c r="E27" s="339" t="str">
        <f t="shared" si="3"/>
        <v/>
      </c>
      <c r="F27" s="340" t="str">
        <f>IF(SUM('🌟資産配分'!$X$4:$X$14)=0,"",SUM('🌟資産配分'!$X$4:$X$14))</f>
        <v/>
      </c>
      <c r="G27" s="341">
        <f t="shared" ref="G27:H27" si="11">IFERROR(C27-E27,"")</f>
        <v>0</v>
      </c>
      <c r="H27" s="334">
        <f t="shared" si="11"/>
        <v>0</v>
      </c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335"/>
      <c r="V27" s="263"/>
      <c r="W27" s="263"/>
      <c r="X27" s="263"/>
      <c r="Y27" s="263"/>
      <c r="Z27" s="263"/>
      <c r="AA27" s="263"/>
      <c r="AB27" s="263"/>
    </row>
    <row r="28" ht="21.0" customHeight="1">
      <c r="A28" s="265"/>
      <c r="B28" s="342" t="s">
        <v>151</v>
      </c>
      <c r="C28" s="330">
        <v>0.0</v>
      </c>
      <c r="D28" s="338">
        <f t="shared" si="2"/>
        <v>0</v>
      </c>
      <c r="E28" s="339">
        <f t="shared" si="3"/>
        <v>0</v>
      </c>
      <c r="F28" s="343">
        <v>0.0</v>
      </c>
      <c r="G28" s="341">
        <f t="shared" ref="G28:H28" si="12">IFERROR(C28-E28,"")</f>
        <v>0</v>
      </c>
      <c r="H28" s="334">
        <f t="shared" si="12"/>
        <v>0</v>
      </c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344"/>
      <c r="V28" s="263"/>
      <c r="W28" s="263"/>
      <c r="X28" s="263"/>
      <c r="Y28" s="263"/>
      <c r="Z28" s="263"/>
      <c r="AA28" s="263"/>
      <c r="AB28" s="263"/>
    </row>
    <row r="29" ht="21.0" customHeight="1">
      <c r="A29" s="265"/>
      <c r="B29" s="345" t="str">
        <f>N3</f>
        <v>現金</v>
      </c>
      <c r="C29" s="330">
        <v>0.5</v>
      </c>
      <c r="D29" s="346">
        <f t="shared" si="2"/>
        <v>2700000</v>
      </c>
      <c r="E29" s="347">
        <f t="shared" si="3"/>
        <v>0.5555555556</v>
      </c>
      <c r="F29" s="348">
        <f>IF(SUM('🌟資産配分'!$Y$4:$Y$14)=0,"",SUM('🌟資産配分'!$Y$4:$Y$14))</f>
        <v>3000000</v>
      </c>
      <c r="G29" s="349">
        <f t="shared" ref="G29:H29" si="13">IFERROR(C29-E29,"")</f>
        <v>-0.05555555556</v>
      </c>
      <c r="H29" s="350">
        <f t="shared" si="13"/>
        <v>-300000</v>
      </c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344"/>
      <c r="V29" s="263"/>
      <c r="W29" s="263"/>
      <c r="X29" s="263"/>
      <c r="Y29" s="263"/>
      <c r="Z29" s="263"/>
      <c r="AA29" s="263"/>
      <c r="AB29" s="263"/>
    </row>
    <row r="30" ht="21.0" customHeight="1">
      <c r="A30" s="265"/>
      <c r="B30" s="351"/>
      <c r="C30" s="352">
        <f t="shared" ref="C30:F30" si="14">SUM(C19:C29)</f>
        <v>1</v>
      </c>
      <c r="D30" s="353">
        <f t="shared" si="14"/>
        <v>5400000</v>
      </c>
      <c r="E30" s="354">
        <f t="shared" si="14"/>
        <v>1</v>
      </c>
      <c r="F30" s="355">
        <f t="shared" si="14"/>
        <v>5400000</v>
      </c>
      <c r="G30" s="356"/>
      <c r="H30" s="357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321"/>
      <c r="V30" s="263"/>
      <c r="W30" s="263"/>
      <c r="X30" s="263"/>
      <c r="Y30" s="263"/>
      <c r="Z30" s="263"/>
      <c r="AA30" s="263"/>
      <c r="AB30" s="263"/>
    </row>
    <row r="31" ht="21.0" customHeight="1">
      <c r="A31" s="265"/>
      <c r="B31" s="266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</row>
    <row r="32" ht="21.0" customHeight="1">
      <c r="A32" s="265"/>
      <c r="B32" s="266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</row>
    <row r="33" ht="21.0" customHeight="1">
      <c r="A33" s="265"/>
      <c r="B33" s="266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</row>
    <row r="34" ht="21.0" customHeight="1">
      <c r="A34" s="265"/>
      <c r="B34" s="266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</row>
    <row r="35" ht="21.0" customHeight="1">
      <c r="A35" s="265"/>
      <c r="B35" s="266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</row>
    <row r="36" ht="21.0" customHeight="1">
      <c r="A36" s="265"/>
      <c r="B36" s="266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</row>
    <row r="37" ht="21.0" customHeight="1">
      <c r="A37" s="265"/>
      <c r="B37" s="266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</row>
    <row r="38" ht="21.0" customHeight="1">
      <c r="A38" s="265"/>
      <c r="B38" s="266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</row>
    <row r="39" ht="21.0" customHeight="1">
      <c r="A39" s="265"/>
      <c r="B39" s="266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</row>
    <row r="40" ht="21.0" customHeight="1">
      <c r="A40" s="265"/>
      <c r="B40" s="266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</row>
    <row r="41" ht="21.0" customHeight="1">
      <c r="A41" s="265"/>
      <c r="B41" s="266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</row>
    <row r="42" ht="21.0" customHeight="1">
      <c r="A42" s="265"/>
      <c r="B42" s="266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</row>
    <row r="43" ht="21.0" customHeight="1">
      <c r="A43" s="265"/>
      <c r="B43" s="266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</row>
    <row r="44" ht="21.0" customHeight="1">
      <c r="A44" s="265"/>
      <c r="B44" s="266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</row>
    <row r="45" ht="21.0" customHeight="1">
      <c r="A45" s="265"/>
      <c r="B45" s="266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</row>
    <row r="46" ht="21.0" customHeight="1">
      <c r="A46" s="265"/>
      <c r="B46" s="266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</row>
    <row r="47" ht="21.0" customHeight="1">
      <c r="A47" s="207"/>
      <c r="B47" s="207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</row>
    <row r="48" ht="21.0" customHeight="1">
      <c r="A48" s="265"/>
      <c r="B48" s="266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</row>
    <row r="49" ht="21.0" customHeight="1">
      <c r="A49" s="265"/>
      <c r="B49" s="266"/>
      <c r="C49" s="263"/>
      <c r="D49" s="263"/>
      <c r="E49" s="358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</row>
    <row r="50" ht="21.0" customHeight="1">
      <c r="A50" s="265"/>
      <c r="B50" s="266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</row>
    <row r="51" ht="21.0" customHeight="1">
      <c r="A51" s="265"/>
      <c r="B51" s="266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</row>
    <row r="52" ht="21.0" customHeight="1">
      <c r="A52" s="265"/>
      <c r="B52" s="266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</row>
    <row r="53" ht="21.0" customHeight="1">
      <c r="A53" s="265"/>
      <c r="B53" s="266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</row>
    <row r="54" ht="21.0" customHeight="1">
      <c r="A54" s="265"/>
      <c r="B54" s="266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</row>
    <row r="55" ht="21.0" customHeight="1">
      <c r="A55" s="265"/>
      <c r="B55" s="266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</row>
    <row r="56" ht="21.0" customHeight="1">
      <c r="A56" s="265"/>
      <c r="B56" s="266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</row>
    <row r="57" ht="21.0" customHeight="1">
      <c r="A57" s="265"/>
      <c r="B57" s="266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</row>
    <row r="58" ht="21.0" customHeight="1">
      <c r="A58" s="265"/>
      <c r="B58" s="266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</row>
    <row r="59" ht="21.0" customHeight="1">
      <c r="A59" s="265"/>
      <c r="B59" s="266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</row>
    <row r="60" ht="21.0" customHeight="1">
      <c r="A60" s="265"/>
      <c r="B60" s="266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</row>
    <row r="61" ht="21.0" customHeight="1">
      <c r="A61" s="265"/>
      <c r="B61" s="266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</row>
    <row r="62" ht="21.0" customHeight="1">
      <c r="A62" s="265"/>
      <c r="B62" s="266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  <c r="AB62" s="263"/>
    </row>
    <row r="63" ht="21.0" customHeight="1">
      <c r="A63" s="265"/>
      <c r="B63" s="266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</row>
    <row r="64" ht="21.0" customHeight="1">
      <c r="A64" s="265"/>
      <c r="B64" s="266"/>
      <c r="C64" s="263"/>
      <c r="D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</row>
    <row r="65" ht="21.0" customHeight="1">
      <c r="A65" s="265"/>
      <c r="B65" s="266"/>
      <c r="C65" s="263"/>
      <c r="D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</row>
    <row r="66" ht="21.0" customHeight="1">
      <c r="A66" s="265"/>
      <c r="B66" s="266"/>
      <c r="C66" s="263"/>
      <c r="D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</row>
    <row r="67" ht="21.0" customHeight="1">
      <c r="A67" s="265"/>
      <c r="B67" s="266"/>
      <c r="C67" s="263"/>
      <c r="D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</row>
    <row r="68" ht="21.0" customHeight="1">
      <c r="A68" s="265"/>
      <c r="B68" s="266"/>
      <c r="C68" s="263"/>
      <c r="D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</row>
    <row r="69" ht="21.0" customHeight="1">
      <c r="A69" s="265"/>
      <c r="B69" s="266"/>
      <c r="C69" s="263"/>
      <c r="D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</row>
    <row r="70" ht="21.0" customHeight="1">
      <c r="A70" s="265"/>
      <c r="B70" s="266"/>
      <c r="C70" s="263"/>
      <c r="D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</row>
    <row r="71" ht="21.0" customHeight="1">
      <c r="A71" s="265"/>
      <c r="B71" s="266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</row>
    <row r="72" ht="21.0" customHeight="1">
      <c r="A72" s="265"/>
      <c r="B72" s="266"/>
      <c r="C72" s="263"/>
      <c r="D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</row>
    <row r="73" ht="21.0" customHeight="1">
      <c r="A73" s="265"/>
      <c r="B73" s="266"/>
      <c r="C73" s="263"/>
      <c r="D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</row>
    <row r="74" ht="21.0" customHeight="1">
      <c r="A74" s="265"/>
      <c r="B74" s="266"/>
      <c r="C74" s="263"/>
      <c r="D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</row>
    <row r="75" ht="21.0" customHeight="1">
      <c r="A75" s="265"/>
      <c r="B75" s="266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</row>
    <row r="76" ht="21.0" customHeight="1">
      <c r="A76" s="265"/>
      <c r="B76" s="266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</row>
    <row r="77" ht="21.0" customHeight="1">
      <c r="A77" s="265"/>
      <c r="B77" s="266"/>
      <c r="C77" s="263"/>
      <c r="D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</row>
    <row r="78" ht="21.0" customHeight="1">
      <c r="A78" s="265"/>
      <c r="B78" s="266"/>
      <c r="C78" s="263"/>
      <c r="D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</row>
    <row r="79" ht="21.0" customHeight="1">
      <c r="A79" s="265"/>
      <c r="B79" s="266"/>
      <c r="C79" s="263"/>
      <c r="D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</row>
    <row r="80" ht="21.0" customHeight="1">
      <c r="A80" s="265"/>
      <c r="B80" s="266"/>
      <c r="C80" s="263"/>
      <c r="D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</row>
    <row r="81" ht="21.0" customHeight="1">
      <c r="A81" s="265"/>
      <c r="B81" s="266"/>
      <c r="C81" s="263"/>
      <c r="D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</row>
    <row r="82" ht="21.0" customHeight="1">
      <c r="A82" s="265"/>
      <c r="B82" s="266"/>
      <c r="C82" s="263"/>
      <c r="D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</row>
    <row r="83" ht="21.0" customHeight="1">
      <c r="A83" s="265"/>
      <c r="B83" s="266"/>
      <c r="C83" s="263"/>
      <c r="D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</row>
    <row r="84" ht="21.0" customHeight="1">
      <c r="A84" s="265"/>
      <c r="B84" s="266"/>
      <c r="C84" s="263"/>
      <c r="D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</row>
    <row r="85" ht="21.0" customHeight="1">
      <c r="A85" s="265"/>
      <c r="B85" s="266"/>
      <c r="C85" s="263"/>
      <c r="D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</row>
    <row r="86" ht="21.0" customHeight="1">
      <c r="A86" s="265"/>
      <c r="B86" s="266"/>
      <c r="C86" s="263"/>
      <c r="D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</row>
    <row r="87" ht="21.0" customHeight="1">
      <c r="A87" s="265"/>
      <c r="B87" s="266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</row>
    <row r="88" ht="21.0" customHeight="1">
      <c r="A88" s="265"/>
      <c r="B88" s="266"/>
      <c r="C88" s="263"/>
      <c r="D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</row>
    <row r="89" ht="21.0" customHeight="1">
      <c r="A89" s="265"/>
      <c r="B89" s="266"/>
      <c r="C89" s="263"/>
      <c r="D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</row>
    <row r="90" ht="21.0" customHeight="1">
      <c r="A90" s="265"/>
      <c r="B90" s="266"/>
      <c r="C90" s="263"/>
      <c r="D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</row>
    <row r="91" ht="21.0" customHeight="1">
      <c r="A91" s="265"/>
      <c r="B91" s="266"/>
      <c r="C91" s="263"/>
      <c r="D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</row>
    <row r="92" ht="21.0" customHeight="1">
      <c r="A92" s="265"/>
      <c r="B92" s="266"/>
      <c r="C92" s="263"/>
      <c r="D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</row>
    <row r="93" ht="21.0" customHeight="1">
      <c r="A93" s="265"/>
      <c r="B93" s="266"/>
      <c r="C93" s="263"/>
      <c r="D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</row>
    <row r="94" ht="21.0" customHeight="1">
      <c r="A94" s="265"/>
      <c r="B94" s="266"/>
      <c r="C94" s="263"/>
      <c r="D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</row>
    <row r="95" ht="21.0" customHeight="1">
      <c r="A95" s="265"/>
      <c r="B95" s="266"/>
      <c r="C95" s="263"/>
      <c r="D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</row>
    <row r="96" ht="21.0" customHeight="1">
      <c r="A96" s="265"/>
      <c r="B96" s="266"/>
      <c r="C96" s="263"/>
      <c r="D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</row>
    <row r="97" ht="21.0" customHeight="1">
      <c r="A97" s="265"/>
      <c r="B97" s="266"/>
      <c r="C97" s="263"/>
      <c r="D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</row>
    <row r="98" ht="21.0" customHeight="1">
      <c r="A98" s="265"/>
      <c r="B98" s="266"/>
      <c r="C98" s="263"/>
      <c r="D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</row>
    <row r="99" ht="21.0" customHeight="1">
      <c r="A99" s="265"/>
      <c r="B99" s="266"/>
      <c r="C99" s="263"/>
      <c r="D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</row>
    <row r="100" ht="21.0" customHeight="1">
      <c r="A100" s="265"/>
      <c r="B100" s="266"/>
      <c r="C100" s="263"/>
      <c r="D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</row>
    <row r="101" ht="21.0" customHeight="1">
      <c r="A101" s="265"/>
      <c r="B101" s="266"/>
      <c r="C101" s="263"/>
      <c r="D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</row>
    <row r="102" ht="21.0" customHeight="1">
      <c r="A102" s="265"/>
      <c r="B102" s="266"/>
      <c r="C102" s="263"/>
      <c r="D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</row>
    <row r="103" ht="21.0" customHeight="1">
      <c r="A103" s="265"/>
      <c r="B103" s="266"/>
      <c r="C103" s="263"/>
      <c r="D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</row>
    <row r="104" ht="21.0" customHeight="1">
      <c r="A104" s="265"/>
      <c r="B104" s="266"/>
      <c r="C104" s="263"/>
      <c r="D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</row>
    <row r="105" ht="21.0" customHeight="1">
      <c r="A105" s="265"/>
      <c r="B105" s="266"/>
      <c r="C105" s="263"/>
      <c r="D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</row>
    <row r="106" ht="21.0" customHeight="1">
      <c r="A106" s="265"/>
      <c r="B106" s="266"/>
      <c r="C106" s="263"/>
      <c r="D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</row>
    <row r="107" ht="21.0" customHeight="1">
      <c r="A107" s="265"/>
      <c r="B107" s="266"/>
      <c r="C107" s="263"/>
      <c r="D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</row>
    <row r="108" ht="21.0" customHeight="1">
      <c r="A108" s="265"/>
      <c r="B108" s="266"/>
      <c r="C108" s="263"/>
      <c r="D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</row>
    <row r="109" ht="21.0" customHeight="1">
      <c r="A109" s="265"/>
      <c r="B109" s="266"/>
      <c r="C109" s="263"/>
      <c r="D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</row>
    <row r="110" ht="21.0" customHeight="1">
      <c r="A110" s="265"/>
      <c r="B110" s="266"/>
      <c r="C110" s="263"/>
      <c r="D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</row>
    <row r="111" ht="21.0" customHeight="1">
      <c r="A111" s="265"/>
      <c r="B111" s="266"/>
      <c r="C111" s="263"/>
      <c r="D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</row>
    <row r="112" ht="21.0" customHeight="1">
      <c r="A112" s="265"/>
      <c r="B112" s="266"/>
      <c r="C112" s="263"/>
      <c r="D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</row>
    <row r="113" ht="21.0" customHeight="1">
      <c r="A113" s="265"/>
      <c r="B113" s="266"/>
      <c r="C113" s="263"/>
      <c r="D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</row>
    <row r="114" ht="21.0" customHeight="1">
      <c r="A114" s="265"/>
      <c r="B114" s="266"/>
      <c r="C114" s="263"/>
      <c r="D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</row>
    <row r="115" ht="21.0" customHeight="1">
      <c r="A115" s="265"/>
      <c r="B115" s="266"/>
      <c r="C115" s="263"/>
      <c r="D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</row>
    <row r="116" ht="21.0" customHeight="1">
      <c r="A116" s="265"/>
      <c r="B116" s="266"/>
      <c r="C116" s="263"/>
      <c r="D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</row>
    <row r="117" ht="21.0" customHeight="1">
      <c r="A117" s="265"/>
      <c r="B117" s="266"/>
      <c r="C117" s="263"/>
      <c r="D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</row>
    <row r="118" ht="21.0" customHeight="1">
      <c r="A118" s="265"/>
      <c r="B118" s="266"/>
      <c r="C118" s="263"/>
      <c r="D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</row>
    <row r="119" ht="21.0" customHeight="1">
      <c r="A119" s="265"/>
      <c r="B119" s="266"/>
      <c r="C119" s="263"/>
      <c r="D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</row>
    <row r="120" ht="21.0" customHeight="1">
      <c r="A120" s="265"/>
      <c r="B120" s="266"/>
      <c r="C120" s="263"/>
      <c r="D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</row>
    <row r="121" ht="21.0" customHeight="1">
      <c r="A121" s="265"/>
      <c r="B121" s="266"/>
      <c r="C121" s="263"/>
      <c r="D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</row>
    <row r="122" ht="21.0" customHeight="1">
      <c r="A122" s="265"/>
      <c r="B122" s="266"/>
      <c r="C122" s="263"/>
      <c r="D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</row>
    <row r="123" ht="21.0" customHeight="1">
      <c r="A123" s="265"/>
      <c r="B123" s="266"/>
      <c r="C123" s="263"/>
      <c r="D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</row>
    <row r="124" ht="21.0" customHeight="1">
      <c r="A124" s="265"/>
      <c r="B124" s="266"/>
      <c r="C124" s="263"/>
      <c r="D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</row>
    <row r="125" ht="21.0" customHeight="1">
      <c r="A125" s="265"/>
      <c r="B125" s="266"/>
      <c r="C125" s="263"/>
      <c r="D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</row>
    <row r="126" ht="21.0" customHeight="1">
      <c r="A126" s="265"/>
      <c r="B126" s="266"/>
      <c r="C126" s="263"/>
      <c r="D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</row>
    <row r="127" ht="21.0" customHeight="1">
      <c r="A127" s="265"/>
      <c r="B127" s="266"/>
      <c r="C127" s="263"/>
      <c r="D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</row>
    <row r="128" ht="21.0" customHeight="1">
      <c r="A128" s="265"/>
      <c r="B128" s="266"/>
      <c r="C128" s="263"/>
      <c r="D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</row>
    <row r="129" ht="21.0" customHeight="1">
      <c r="A129" s="265"/>
      <c r="B129" s="266"/>
      <c r="C129" s="263"/>
      <c r="D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</row>
    <row r="130" ht="21.0" customHeight="1">
      <c r="A130" s="265"/>
      <c r="B130" s="266"/>
      <c r="C130" s="263"/>
      <c r="D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</row>
    <row r="131" ht="21.0" customHeight="1">
      <c r="A131" s="265"/>
      <c r="B131" s="266"/>
      <c r="C131" s="263"/>
      <c r="D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</row>
    <row r="132" ht="21.0" customHeight="1">
      <c r="A132" s="265"/>
      <c r="B132" s="266"/>
      <c r="C132" s="263"/>
      <c r="D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</row>
    <row r="133" ht="21.0" customHeight="1">
      <c r="A133" s="265"/>
      <c r="B133" s="266"/>
      <c r="C133" s="263"/>
      <c r="D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</row>
    <row r="134" ht="21.0" customHeight="1">
      <c r="A134" s="265"/>
      <c r="B134" s="266"/>
      <c r="C134" s="263"/>
      <c r="D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</row>
    <row r="135" ht="21.0" customHeight="1">
      <c r="A135" s="265"/>
      <c r="B135" s="266"/>
      <c r="C135" s="263"/>
      <c r="D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</row>
    <row r="136" ht="21.0" customHeight="1">
      <c r="A136" s="265"/>
      <c r="B136" s="266"/>
      <c r="C136" s="263"/>
      <c r="D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</row>
    <row r="137" ht="21.0" customHeight="1">
      <c r="A137" s="265"/>
      <c r="B137" s="266"/>
      <c r="C137" s="263"/>
      <c r="D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</row>
    <row r="138" ht="21.0" customHeight="1">
      <c r="A138" s="265"/>
      <c r="B138" s="266"/>
      <c r="C138" s="263"/>
      <c r="D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</row>
    <row r="139" ht="21.0" customHeight="1">
      <c r="A139" s="265"/>
      <c r="B139" s="266"/>
      <c r="C139" s="263"/>
      <c r="D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</row>
    <row r="140" ht="21.0" customHeight="1">
      <c r="A140" s="265"/>
      <c r="B140" s="266"/>
      <c r="C140" s="263"/>
      <c r="D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</row>
    <row r="141" ht="21.0" customHeight="1">
      <c r="A141" s="265"/>
      <c r="B141" s="266"/>
      <c r="C141" s="263"/>
      <c r="D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  <c r="AB141" s="263"/>
    </row>
    <row r="142" ht="21.0" customHeight="1">
      <c r="A142" s="265"/>
      <c r="B142" s="266"/>
      <c r="C142" s="263"/>
      <c r="D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</row>
    <row r="143" ht="21.0" customHeight="1">
      <c r="A143" s="265"/>
      <c r="B143" s="266"/>
      <c r="C143" s="263"/>
      <c r="D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</row>
    <row r="144" ht="21.0" customHeight="1">
      <c r="A144" s="265"/>
      <c r="B144" s="266"/>
      <c r="C144" s="263"/>
      <c r="D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</row>
    <row r="145" ht="21.0" customHeight="1">
      <c r="A145" s="265"/>
      <c r="B145" s="266"/>
      <c r="C145" s="263"/>
      <c r="D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  <c r="AB145" s="263"/>
    </row>
    <row r="146" ht="21.0" customHeight="1">
      <c r="A146" s="265"/>
      <c r="B146" s="266"/>
      <c r="C146" s="263"/>
      <c r="D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</row>
    <row r="147" ht="21.0" customHeight="1">
      <c r="A147" s="265"/>
      <c r="B147" s="266"/>
      <c r="C147" s="263"/>
      <c r="D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</row>
    <row r="148" ht="21.0" customHeight="1">
      <c r="A148" s="265"/>
      <c r="B148" s="266"/>
      <c r="C148" s="263"/>
      <c r="D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</row>
    <row r="149" ht="21.0" customHeight="1">
      <c r="A149" s="265"/>
      <c r="B149" s="266"/>
      <c r="C149" s="263"/>
      <c r="D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</row>
    <row r="150" ht="21.0" customHeight="1">
      <c r="A150" s="265"/>
      <c r="B150" s="266"/>
      <c r="C150" s="263"/>
      <c r="D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</row>
    <row r="151" ht="21.0" customHeight="1">
      <c r="A151" s="265"/>
      <c r="B151" s="266"/>
      <c r="C151" s="263"/>
      <c r="D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</row>
    <row r="152" ht="21.0" customHeight="1">
      <c r="A152" s="265"/>
      <c r="B152" s="266"/>
      <c r="C152" s="263"/>
      <c r="D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</row>
    <row r="153" ht="21.0" customHeight="1">
      <c r="A153" s="265"/>
      <c r="B153" s="266"/>
      <c r="C153" s="263"/>
      <c r="D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</row>
    <row r="154" ht="21.0" customHeight="1">
      <c r="A154" s="265"/>
      <c r="B154" s="266"/>
      <c r="C154" s="263"/>
      <c r="D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</row>
    <row r="155" ht="21.0" customHeight="1">
      <c r="A155" s="265"/>
      <c r="B155" s="266"/>
      <c r="C155" s="263"/>
      <c r="D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</row>
    <row r="156" ht="21.0" customHeight="1">
      <c r="A156" s="265"/>
      <c r="B156" s="266"/>
      <c r="C156" s="263"/>
      <c r="D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</row>
    <row r="157" ht="21.0" customHeight="1">
      <c r="A157" s="265"/>
      <c r="B157" s="266"/>
      <c r="C157" s="263"/>
      <c r="D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</row>
    <row r="158" ht="21.0" customHeight="1">
      <c r="A158" s="265"/>
      <c r="B158" s="266"/>
      <c r="C158" s="263"/>
      <c r="D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</row>
    <row r="159" ht="21.0" customHeight="1">
      <c r="A159" s="265"/>
      <c r="B159" s="266"/>
      <c r="C159" s="263"/>
      <c r="D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</row>
    <row r="160" ht="21.0" customHeight="1">
      <c r="A160" s="265"/>
      <c r="B160" s="266"/>
      <c r="C160" s="263"/>
      <c r="D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</row>
    <row r="161" ht="21.0" customHeight="1">
      <c r="A161" s="265"/>
      <c r="B161" s="266"/>
      <c r="C161" s="263"/>
      <c r="D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</row>
    <row r="162" ht="21.0" customHeight="1">
      <c r="A162" s="265"/>
      <c r="B162" s="266"/>
      <c r="C162" s="263"/>
      <c r="D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</row>
    <row r="163" ht="21.0" customHeight="1">
      <c r="A163" s="265"/>
      <c r="B163" s="266"/>
      <c r="C163" s="263"/>
      <c r="D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</row>
    <row r="164" ht="21.0" customHeight="1">
      <c r="A164" s="265"/>
      <c r="B164" s="266"/>
      <c r="C164" s="263"/>
      <c r="D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</row>
    <row r="165" ht="21.0" customHeight="1">
      <c r="A165" s="265"/>
      <c r="B165" s="266"/>
      <c r="C165" s="263"/>
      <c r="D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</row>
    <row r="166" ht="21.0" customHeight="1">
      <c r="A166" s="265"/>
      <c r="B166" s="266"/>
      <c r="C166" s="263"/>
      <c r="D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</row>
    <row r="167" ht="21.0" customHeight="1">
      <c r="A167" s="265"/>
      <c r="B167" s="266"/>
      <c r="C167" s="263"/>
      <c r="D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</row>
    <row r="168" ht="21.0" customHeight="1">
      <c r="A168" s="265"/>
      <c r="B168" s="266"/>
      <c r="C168" s="263"/>
      <c r="D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</row>
    <row r="169" ht="21.0" customHeight="1">
      <c r="A169" s="265"/>
      <c r="B169" s="266"/>
      <c r="C169" s="263"/>
      <c r="D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</row>
    <row r="170" ht="21.0" customHeight="1">
      <c r="A170" s="265"/>
      <c r="B170" s="266"/>
      <c r="C170" s="263"/>
      <c r="D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</row>
    <row r="171" ht="21.0" customHeight="1">
      <c r="A171" s="265"/>
      <c r="B171" s="266"/>
      <c r="C171" s="263"/>
      <c r="D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</row>
    <row r="172" ht="21.0" customHeight="1">
      <c r="A172" s="265"/>
      <c r="B172" s="266"/>
      <c r="C172" s="263"/>
      <c r="D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</row>
    <row r="173" ht="21.0" customHeight="1">
      <c r="A173" s="265"/>
      <c r="B173" s="266"/>
      <c r="C173" s="263"/>
      <c r="D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</row>
    <row r="174" ht="21.0" customHeight="1">
      <c r="A174" s="265"/>
      <c r="B174" s="266"/>
      <c r="C174" s="263"/>
      <c r="D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</row>
    <row r="175" ht="21.0" customHeight="1">
      <c r="A175" s="265"/>
      <c r="B175" s="266"/>
      <c r="C175" s="263"/>
      <c r="D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</row>
    <row r="176" ht="21.0" customHeight="1">
      <c r="A176" s="265"/>
      <c r="B176" s="266"/>
      <c r="C176" s="263"/>
      <c r="D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</row>
    <row r="177" ht="21.0" customHeight="1">
      <c r="A177" s="265"/>
      <c r="B177" s="266"/>
      <c r="C177" s="263"/>
      <c r="D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</row>
    <row r="178" ht="21.0" customHeight="1">
      <c r="A178" s="265"/>
      <c r="B178" s="266"/>
      <c r="C178" s="263"/>
      <c r="D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</row>
    <row r="179" ht="21.0" customHeight="1">
      <c r="A179" s="265"/>
      <c r="B179" s="266"/>
      <c r="C179" s="263"/>
      <c r="D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</row>
    <row r="180" ht="21.0" customHeight="1">
      <c r="A180" s="265"/>
      <c r="B180" s="266"/>
      <c r="C180" s="263"/>
      <c r="D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</row>
    <row r="181" ht="21.0" customHeight="1">
      <c r="A181" s="265"/>
      <c r="B181" s="266"/>
      <c r="C181" s="263"/>
      <c r="D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</row>
    <row r="182" ht="21.0" customHeight="1">
      <c r="A182" s="265"/>
      <c r="B182" s="266"/>
      <c r="C182" s="263"/>
      <c r="D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</row>
    <row r="183" ht="21.0" customHeight="1">
      <c r="A183" s="265"/>
      <c r="B183" s="266"/>
      <c r="C183" s="263"/>
      <c r="D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</row>
    <row r="184" ht="21.0" customHeight="1">
      <c r="A184" s="265"/>
      <c r="B184" s="266"/>
      <c r="C184" s="263"/>
      <c r="D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</row>
    <row r="185" ht="21.0" customHeight="1">
      <c r="A185" s="265"/>
      <c r="B185" s="266"/>
      <c r="C185" s="263"/>
      <c r="D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</row>
    <row r="186" ht="21.0" customHeight="1">
      <c r="A186" s="265"/>
      <c r="B186" s="266"/>
      <c r="C186" s="263"/>
      <c r="D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</row>
    <row r="187" ht="21.0" customHeight="1">
      <c r="A187" s="265"/>
      <c r="B187" s="266"/>
      <c r="C187" s="263"/>
      <c r="D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</row>
    <row r="188" ht="21.0" customHeight="1">
      <c r="A188" s="265"/>
      <c r="B188" s="266"/>
      <c r="C188" s="263"/>
      <c r="D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</row>
    <row r="189" ht="21.0" customHeight="1">
      <c r="A189" s="265"/>
      <c r="B189" s="266"/>
      <c r="C189" s="263"/>
      <c r="D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</row>
    <row r="190" ht="21.0" customHeight="1">
      <c r="A190" s="265"/>
      <c r="B190" s="266"/>
      <c r="C190" s="263"/>
      <c r="D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</row>
    <row r="191" ht="21.0" customHeight="1">
      <c r="A191" s="265"/>
      <c r="B191" s="266"/>
      <c r="C191" s="263"/>
      <c r="D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</row>
    <row r="192" ht="21.0" customHeight="1">
      <c r="A192" s="265"/>
      <c r="B192" s="266"/>
      <c r="C192" s="263"/>
      <c r="D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</row>
    <row r="193" ht="21.0" customHeight="1">
      <c r="A193" s="265"/>
      <c r="B193" s="266"/>
      <c r="C193" s="263"/>
      <c r="D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</row>
    <row r="194" ht="21.0" customHeight="1">
      <c r="A194" s="265"/>
      <c r="B194" s="266"/>
      <c r="C194" s="263"/>
      <c r="D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</row>
    <row r="195" ht="21.0" customHeight="1">
      <c r="A195" s="265"/>
      <c r="B195" s="266"/>
      <c r="C195" s="263"/>
      <c r="D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</row>
    <row r="196" ht="21.0" customHeight="1">
      <c r="A196" s="265"/>
      <c r="B196" s="266"/>
      <c r="C196" s="263"/>
      <c r="D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</row>
    <row r="197" ht="21.0" customHeight="1">
      <c r="A197" s="265"/>
      <c r="B197" s="266"/>
      <c r="C197" s="263"/>
      <c r="D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</row>
    <row r="198" ht="21.0" customHeight="1">
      <c r="A198" s="265"/>
      <c r="B198" s="266"/>
      <c r="C198" s="263"/>
      <c r="D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</row>
    <row r="199" ht="21.0" customHeight="1">
      <c r="A199" s="265"/>
      <c r="B199" s="266"/>
      <c r="C199" s="263"/>
      <c r="D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</row>
    <row r="200" ht="21.0" customHeight="1">
      <c r="A200" s="265"/>
      <c r="B200" s="266"/>
      <c r="C200" s="263"/>
      <c r="D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</row>
    <row r="201" ht="21.0" customHeight="1">
      <c r="A201" s="265"/>
      <c r="B201" s="266"/>
      <c r="C201" s="263"/>
      <c r="D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</row>
    <row r="202" ht="21.0" customHeight="1">
      <c r="A202" s="265"/>
      <c r="B202" s="266"/>
      <c r="C202" s="263"/>
      <c r="D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</row>
    <row r="203" ht="21.0" customHeight="1">
      <c r="A203" s="265"/>
      <c r="B203" s="266"/>
      <c r="C203" s="263"/>
      <c r="D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</row>
    <row r="204" ht="21.0" customHeight="1">
      <c r="A204" s="265"/>
      <c r="B204" s="266"/>
      <c r="C204" s="263"/>
      <c r="D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</row>
    <row r="205" ht="21.0" customHeight="1">
      <c r="A205" s="265"/>
      <c r="B205" s="266"/>
      <c r="C205" s="263"/>
      <c r="D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</row>
    <row r="206" ht="21.0" customHeight="1">
      <c r="A206" s="265"/>
      <c r="B206" s="266"/>
      <c r="C206" s="263"/>
      <c r="D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</row>
    <row r="207" ht="21.0" customHeight="1">
      <c r="A207" s="265"/>
      <c r="B207" s="266"/>
      <c r="C207" s="263"/>
      <c r="D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</row>
    <row r="208" ht="21.0" customHeight="1">
      <c r="A208" s="265"/>
      <c r="B208" s="266"/>
      <c r="C208" s="263"/>
      <c r="D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</row>
    <row r="209" ht="21.0" customHeight="1">
      <c r="A209" s="265"/>
      <c r="B209" s="266"/>
      <c r="C209" s="263"/>
      <c r="D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</row>
    <row r="210" ht="21.0" customHeight="1">
      <c r="A210" s="265"/>
      <c r="B210" s="266"/>
      <c r="C210" s="263"/>
      <c r="D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</row>
    <row r="211" ht="21.0" customHeight="1">
      <c r="A211" s="265"/>
      <c r="B211" s="266"/>
      <c r="C211" s="263"/>
      <c r="D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</row>
    <row r="212" ht="21.0" customHeight="1">
      <c r="A212" s="265"/>
      <c r="B212" s="266"/>
      <c r="C212" s="263"/>
      <c r="D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</row>
    <row r="213" ht="21.0" customHeight="1">
      <c r="A213" s="265"/>
      <c r="B213" s="266"/>
      <c r="C213" s="263"/>
      <c r="D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</row>
    <row r="214" ht="21.0" customHeight="1">
      <c r="A214" s="265"/>
      <c r="B214" s="266"/>
      <c r="C214" s="263"/>
      <c r="D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</row>
    <row r="215" ht="21.0" customHeight="1">
      <c r="A215" s="265"/>
      <c r="B215" s="266"/>
      <c r="C215" s="263"/>
      <c r="D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</row>
    <row r="216" ht="21.0" customHeight="1">
      <c r="A216" s="265"/>
      <c r="B216" s="266"/>
      <c r="C216" s="263"/>
      <c r="D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</row>
    <row r="217" ht="21.0" customHeight="1">
      <c r="A217" s="265"/>
      <c r="B217" s="266"/>
      <c r="C217" s="263"/>
      <c r="D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</row>
    <row r="218" ht="21.0" customHeight="1">
      <c r="A218" s="265"/>
      <c r="B218" s="266"/>
      <c r="C218" s="263"/>
      <c r="D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</row>
    <row r="219" ht="21.0" customHeight="1">
      <c r="A219" s="265"/>
      <c r="B219" s="266"/>
      <c r="C219" s="263"/>
      <c r="D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</row>
    <row r="220" ht="21.0" customHeight="1">
      <c r="A220" s="265"/>
      <c r="B220" s="266"/>
      <c r="C220" s="263"/>
      <c r="D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</row>
    <row r="221" ht="21.0" customHeight="1">
      <c r="A221" s="265"/>
      <c r="B221" s="266"/>
      <c r="C221" s="263"/>
      <c r="D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</row>
    <row r="222" ht="21.0" customHeight="1">
      <c r="A222" s="265"/>
      <c r="B222" s="266"/>
      <c r="C222" s="263"/>
      <c r="D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</row>
    <row r="223" ht="21.0" customHeight="1">
      <c r="A223" s="265"/>
      <c r="B223" s="266"/>
      <c r="C223" s="263"/>
      <c r="D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</row>
    <row r="224" ht="21.0" customHeight="1">
      <c r="A224" s="265"/>
      <c r="B224" s="266"/>
      <c r="C224" s="263"/>
      <c r="D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</row>
    <row r="225" ht="21.0" customHeight="1">
      <c r="A225" s="265"/>
      <c r="B225" s="266"/>
      <c r="C225" s="263"/>
      <c r="D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</row>
    <row r="226" ht="21.0" customHeight="1">
      <c r="A226" s="265"/>
      <c r="B226" s="266"/>
      <c r="C226" s="263"/>
      <c r="D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</row>
    <row r="227" ht="21.0" customHeight="1">
      <c r="A227" s="265"/>
      <c r="B227" s="266"/>
      <c r="C227" s="263"/>
      <c r="D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</row>
    <row r="228" ht="21.0" customHeight="1">
      <c r="A228" s="265"/>
      <c r="B228" s="266"/>
      <c r="C228" s="263"/>
      <c r="D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</row>
    <row r="229" ht="21.0" customHeight="1">
      <c r="A229" s="265"/>
      <c r="B229" s="266"/>
      <c r="C229" s="263"/>
      <c r="D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</row>
    <row r="230" ht="21.0" customHeight="1">
      <c r="A230" s="265"/>
      <c r="B230" s="266"/>
      <c r="C230" s="263"/>
      <c r="D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</row>
    <row r="231" ht="21.0" customHeight="1">
      <c r="A231" s="265"/>
      <c r="B231" s="266"/>
      <c r="C231" s="263"/>
      <c r="D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</row>
    <row r="232" ht="21.0" customHeight="1">
      <c r="A232" s="265"/>
      <c r="B232" s="266"/>
      <c r="C232" s="263"/>
      <c r="D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</row>
    <row r="233" ht="21.0" customHeight="1">
      <c r="A233" s="265"/>
      <c r="B233" s="266"/>
      <c r="C233" s="263"/>
      <c r="D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</row>
    <row r="234" ht="21.0" customHeight="1">
      <c r="A234" s="265"/>
      <c r="B234" s="266"/>
      <c r="C234" s="263"/>
      <c r="D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</row>
    <row r="235" ht="21.0" customHeight="1">
      <c r="A235" s="265"/>
      <c r="B235" s="266"/>
      <c r="C235" s="263"/>
      <c r="D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</row>
    <row r="236" ht="21.0" customHeight="1">
      <c r="A236" s="265"/>
      <c r="B236" s="266"/>
      <c r="C236" s="263"/>
      <c r="D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</row>
    <row r="237" ht="21.0" customHeight="1">
      <c r="A237" s="265"/>
      <c r="B237" s="266"/>
      <c r="C237" s="263"/>
      <c r="D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</row>
    <row r="238" ht="21.0" customHeight="1">
      <c r="A238" s="265"/>
      <c r="B238" s="266"/>
      <c r="C238" s="263"/>
      <c r="D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</row>
    <row r="239" ht="21.0" customHeight="1">
      <c r="A239" s="265"/>
      <c r="B239" s="266"/>
      <c r="C239" s="263"/>
      <c r="D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</row>
    <row r="240" ht="21.0" customHeight="1">
      <c r="A240" s="265"/>
      <c r="B240" s="266"/>
      <c r="C240" s="263"/>
      <c r="D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</row>
    <row r="241" ht="21.0" customHeight="1">
      <c r="A241" s="265"/>
      <c r="B241" s="266"/>
      <c r="C241" s="263"/>
      <c r="D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</row>
    <row r="242" ht="21.0" customHeight="1">
      <c r="A242" s="265"/>
      <c r="B242" s="266"/>
      <c r="C242" s="263"/>
      <c r="D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</row>
    <row r="243" ht="21.0" customHeight="1">
      <c r="A243" s="265"/>
      <c r="B243" s="266"/>
      <c r="C243" s="263"/>
      <c r="D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</row>
    <row r="244" ht="21.0" customHeight="1">
      <c r="A244" s="265"/>
      <c r="B244" s="266"/>
      <c r="C244" s="263"/>
      <c r="D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</row>
    <row r="245" ht="21.0" customHeight="1">
      <c r="A245" s="265"/>
      <c r="B245" s="266"/>
      <c r="C245" s="263"/>
      <c r="D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</row>
    <row r="246" ht="21.0" customHeight="1">
      <c r="A246" s="265"/>
      <c r="B246" s="266"/>
      <c r="C246" s="263"/>
      <c r="D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</row>
    <row r="247" ht="21.0" customHeight="1">
      <c r="A247" s="265"/>
      <c r="B247" s="266"/>
      <c r="C247" s="263"/>
      <c r="D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</row>
    <row r="248" ht="21.0" customHeight="1">
      <c r="A248" s="265"/>
      <c r="B248" s="266"/>
      <c r="C248" s="263"/>
      <c r="D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</row>
    <row r="249" ht="21.0" customHeight="1">
      <c r="A249" s="265"/>
      <c r="B249" s="266"/>
      <c r="C249" s="263"/>
      <c r="D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</row>
    <row r="250" ht="21.0" customHeight="1">
      <c r="A250" s="265"/>
      <c r="B250" s="266"/>
      <c r="C250" s="263"/>
      <c r="D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</row>
    <row r="251" ht="21.0" customHeight="1">
      <c r="A251" s="265"/>
      <c r="B251" s="266"/>
      <c r="C251" s="263"/>
      <c r="D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</row>
    <row r="252" ht="21.0" customHeight="1">
      <c r="A252" s="265"/>
      <c r="B252" s="266"/>
      <c r="C252" s="263"/>
      <c r="D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</row>
    <row r="253" ht="21.0" customHeight="1">
      <c r="A253" s="265"/>
      <c r="B253" s="266"/>
      <c r="C253" s="263"/>
      <c r="D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</row>
    <row r="254" ht="21.0" customHeight="1">
      <c r="A254" s="265"/>
      <c r="B254" s="266"/>
      <c r="C254" s="263"/>
      <c r="D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</row>
    <row r="255" ht="21.0" customHeight="1">
      <c r="A255" s="265"/>
      <c r="B255" s="266"/>
      <c r="C255" s="263"/>
      <c r="D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</row>
    <row r="256" ht="21.0" customHeight="1">
      <c r="A256" s="265"/>
      <c r="B256" s="266"/>
      <c r="C256" s="263"/>
      <c r="D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</row>
    <row r="257" ht="21.0" customHeight="1">
      <c r="A257" s="265"/>
      <c r="B257" s="266"/>
      <c r="C257" s="263"/>
      <c r="D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</row>
    <row r="258" ht="21.0" customHeight="1">
      <c r="A258" s="265"/>
      <c r="B258" s="266"/>
      <c r="C258" s="263"/>
      <c r="D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</row>
    <row r="259" ht="21.0" customHeight="1">
      <c r="A259" s="265"/>
      <c r="B259" s="266"/>
      <c r="C259" s="263"/>
      <c r="D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</row>
    <row r="260" ht="21.0" customHeight="1">
      <c r="A260" s="265"/>
      <c r="B260" s="266"/>
      <c r="C260" s="263"/>
      <c r="D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</row>
    <row r="261" ht="21.0" customHeight="1">
      <c r="A261" s="265"/>
      <c r="B261" s="266"/>
      <c r="C261" s="263"/>
      <c r="D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</row>
    <row r="262" ht="21.0" customHeight="1">
      <c r="A262" s="265"/>
      <c r="B262" s="266"/>
      <c r="C262" s="263"/>
      <c r="D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</row>
    <row r="263" ht="21.0" customHeight="1">
      <c r="A263" s="265"/>
      <c r="B263" s="266"/>
      <c r="C263" s="263"/>
      <c r="D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</row>
    <row r="264" ht="21.0" customHeight="1">
      <c r="A264" s="265"/>
      <c r="B264" s="266"/>
      <c r="C264" s="263"/>
      <c r="D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</row>
    <row r="265" ht="21.0" customHeight="1">
      <c r="A265" s="265"/>
      <c r="B265" s="266"/>
      <c r="C265" s="263"/>
      <c r="D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</row>
    <row r="266" ht="21.0" customHeight="1">
      <c r="A266" s="265"/>
      <c r="B266" s="266"/>
      <c r="C266" s="263"/>
      <c r="D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</row>
    <row r="267" ht="21.0" customHeight="1">
      <c r="A267" s="265"/>
      <c r="B267" s="266"/>
      <c r="C267" s="263"/>
      <c r="D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</row>
    <row r="268" ht="21.0" customHeight="1">
      <c r="A268" s="265"/>
      <c r="B268" s="266"/>
      <c r="C268" s="263"/>
      <c r="D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</row>
    <row r="269" ht="21.0" customHeight="1">
      <c r="A269" s="265"/>
      <c r="B269" s="266"/>
      <c r="C269" s="263"/>
      <c r="D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</row>
    <row r="270" ht="21.0" customHeight="1">
      <c r="A270" s="265"/>
      <c r="B270" s="266"/>
      <c r="C270" s="263"/>
      <c r="D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</row>
    <row r="271" ht="21.0" customHeight="1">
      <c r="A271" s="265"/>
      <c r="B271" s="266"/>
      <c r="C271" s="263"/>
      <c r="D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</row>
    <row r="272" ht="21.0" customHeight="1">
      <c r="A272" s="265"/>
      <c r="B272" s="266"/>
      <c r="C272" s="263"/>
      <c r="D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</row>
    <row r="273" ht="21.0" customHeight="1">
      <c r="A273" s="265"/>
      <c r="B273" s="266"/>
      <c r="C273" s="263"/>
      <c r="D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</row>
    <row r="274" ht="21.0" customHeight="1">
      <c r="A274" s="265"/>
      <c r="B274" s="266"/>
      <c r="C274" s="263"/>
      <c r="D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</row>
    <row r="275" ht="21.0" customHeight="1">
      <c r="A275" s="265"/>
      <c r="B275" s="266"/>
      <c r="C275" s="263"/>
      <c r="D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</row>
    <row r="276" ht="21.0" customHeight="1">
      <c r="A276" s="265"/>
      <c r="B276" s="266"/>
      <c r="C276" s="263"/>
      <c r="D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</row>
    <row r="277" ht="21.0" customHeight="1">
      <c r="A277" s="265"/>
      <c r="B277" s="266"/>
      <c r="C277" s="263"/>
      <c r="D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</row>
    <row r="278" ht="21.0" customHeight="1">
      <c r="A278" s="265"/>
      <c r="B278" s="266"/>
      <c r="C278" s="263"/>
      <c r="D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</row>
    <row r="279" ht="21.0" customHeight="1">
      <c r="A279" s="265"/>
      <c r="B279" s="266"/>
      <c r="C279" s="263"/>
      <c r="D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</row>
    <row r="280" ht="21.0" customHeight="1">
      <c r="A280" s="265"/>
      <c r="B280" s="266"/>
      <c r="C280" s="263"/>
      <c r="D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</row>
    <row r="281" ht="21.0" customHeight="1">
      <c r="A281" s="265"/>
      <c r="B281" s="266"/>
      <c r="C281" s="263"/>
      <c r="D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</row>
    <row r="282" ht="21.0" customHeight="1">
      <c r="A282" s="265"/>
      <c r="B282" s="266"/>
      <c r="C282" s="263"/>
      <c r="D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</row>
    <row r="283" ht="21.0" customHeight="1">
      <c r="A283" s="265"/>
      <c r="B283" s="266"/>
      <c r="C283" s="263"/>
      <c r="D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</row>
    <row r="284" ht="21.0" customHeight="1">
      <c r="A284" s="265"/>
      <c r="B284" s="266"/>
      <c r="C284" s="263"/>
      <c r="D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</row>
    <row r="285" ht="21.0" customHeight="1">
      <c r="A285" s="265"/>
      <c r="B285" s="266"/>
      <c r="C285" s="263"/>
      <c r="D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</row>
    <row r="286" ht="21.0" customHeight="1">
      <c r="A286" s="265"/>
      <c r="B286" s="266"/>
      <c r="C286" s="263"/>
      <c r="D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</row>
    <row r="287" ht="21.0" customHeight="1">
      <c r="A287" s="265"/>
      <c r="B287" s="266"/>
      <c r="C287" s="263"/>
      <c r="D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</row>
    <row r="288" ht="21.0" customHeight="1">
      <c r="A288" s="265"/>
      <c r="B288" s="266"/>
      <c r="C288" s="263"/>
      <c r="D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</row>
    <row r="289" ht="21.0" customHeight="1">
      <c r="A289" s="265"/>
      <c r="B289" s="266"/>
      <c r="C289" s="263"/>
      <c r="D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</row>
    <row r="290" ht="21.0" customHeight="1">
      <c r="A290" s="265"/>
      <c r="B290" s="266"/>
      <c r="C290" s="263"/>
      <c r="D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</row>
    <row r="291" ht="21.0" customHeight="1">
      <c r="A291" s="265"/>
      <c r="B291" s="266"/>
      <c r="C291" s="263"/>
      <c r="D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</row>
    <row r="292" ht="21.0" customHeight="1">
      <c r="A292" s="265"/>
      <c r="B292" s="266"/>
      <c r="C292" s="263"/>
      <c r="D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</row>
    <row r="293" ht="21.0" customHeight="1">
      <c r="A293" s="265"/>
      <c r="B293" s="266"/>
      <c r="C293" s="263"/>
      <c r="D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</row>
    <row r="294" ht="21.0" customHeight="1">
      <c r="A294" s="265"/>
      <c r="B294" s="266"/>
      <c r="C294" s="263"/>
      <c r="D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</row>
    <row r="295" ht="21.0" customHeight="1">
      <c r="A295" s="265"/>
      <c r="B295" s="266"/>
      <c r="C295" s="263"/>
      <c r="D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</row>
    <row r="296" ht="21.0" customHeight="1">
      <c r="A296" s="265"/>
      <c r="B296" s="266"/>
      <c r="C296" s="263"/>
      <c r="D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</row>
    <row r="297" ht="21.0" customHeight="1">
      <c r="A297" s="265"/>
      <c r="B297" s="266"/>
      <c r="C297" s="263"/>
      <c r="D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</row>
    <row r="298" ht="21.0" customHeight="1">
      <c r="A298" s="265"/>
      <c r="B298" s="266"/>
      <c r="C298" s="263"/>
      <c r="D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</row>
    <row r="299" ht="21.0" customHeight="1">
      <c r="A299" s="265"/>
      <c r="B299" s="266"/>
      <c r="C299" s="263"/>
      <c r="D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</row>
    <row r="300" ht="21.0" customHeight="1">
      <c r="A300" s="265"/>
      <c r="B300" s="266"/>
      <c r="C300" s="263"/>
      <c r="D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</row>
    <row r="301" ht="21.0" customHeight="1">
      <c r="A301" s="265"/>
      <c r="B301" s="266"/>
      <c r="C301" s="263"/>
      <c r="D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</row>
    <row r="302" ht="21.0" customHeight="1">
      <c r="A302" s="265"/>
      <c r="B302" s="266"/>
      <c r="C302" s="263"/>
      <c r="D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</row>
    <row r="303" ht="21.0" customHeight="1">
      <c r="A303" s="265"/>
      <c r="B303" s="266"/>
      <c r="C303" s="263"/>
      <c r="D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</row>
    <row r="304" ht="21.0" customHeight="1">
      <c r="A304" s="265"/>
      <c r="B304" s="266"/>
      <c r="C304" s="263"/>
      <c r="D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</row>
    <row r="305" ht="21.0" customHeight="1">
      <c r="A305" s="265"/>
      <c r="B305" s="266"/>
      <c r="C305" s="263"/>
      <c r="D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</row>
    <row r="306" ht="21.0" customHeight="1">
      <c r="A306" s="265"/>
      <c r="B306" s="266"/>
      <c r="C306" s="263"/>
      <c r="D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</row>
    <row r="307" ht="21.0" customHeight="1">
      <c r="A307" s="265"/>
      <c r="B307" s="266"/>
      <c r="C307" s="263"/>
      <c r="D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</row>
    <row r="308" ht="21.0" customHeight="1">
      <c r="A308" s="265"/>
      <c r="B308" s="266"/>
      <c r="C308" s="263"/>
      <c r="D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</row>
    <row r="309" ht="21.0" customHeight="1">
      <c r="A309" s="265"/>
      <c r="B309" s="266"/>
      <c r="C309" s="263"/>
      <c r="D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</row>
    <row r="310" ht="21.0" customHeight="1">
      <c r="A310" s="265"/>
      <c r="B310" s="266"/>
      <c r="C310" s="263"/>
      <c r="D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</row>
    <row r="311" ht="21.0" customHeight="1">
      <c r="A311" s="265"/>
      <c r="B311" s="266"/>
      <c r="C311" s="263"/>
      <c r="D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</row>
    <row r="312" ht="21.0" customHeight="1">
      <c r="A312" s="265"/>
      <c r="B312" s="266"/>
      <c r="C312" s="263"/>
      <c r="D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</row>
    <row r="313" ht="21.0" customHeight="1">
      <c r="A313" s="265"/>
      <c r="B313" s="266"/>
      <c r="C313" s="263"/>
      <c r="D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</row>
    <row r="314" ht="21.0" customHeight="1">
      <c r="A314" s="265"/>
      <c r="B314" s="266"/>
      <c r="C314" s="263"/>
      <c r="D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</row>
    <row r="315" ht="21.0" customHeight="1">
      <c r="A315" s="265"/>
      <c r="B315" s="266"/>
      <c r="C315" s="263"/>
      <c r="D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</row>
    <row r="316" ht="21.0" customHeight="1">
      <c r="A316" s="265"/>
      <c r="B316" s="266"/>
      <c r="C316" s="263"/>
      <c r="D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</row>
    <row r="317" ht="21.0" customHeight="1">
      <c r="A317" s="265"/>
      <c r="B317" s="266"/>
      <c r="C317" s="263"/>
      <c r="D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</row>
    <row r="318" ht="21.0" customHeight="1">
      <c r="A318" s="265"/>
      <c r="B318" s="266"/>
      <c r="C318" s="263"/>
      <c r="D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</row>
    <row r="319" ht="21.0" customHeight="1">
      <c r="A319" s="265"/>
      <c r="B319" s="266"/>
      <c r="C319" s="263"/>
      <c r="D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</row>
    <row r="320" ht="21.0" customHeight="1">
      <c r="A320" s="265"/>
      <c r="B320" s="266"/>
      <c r="C320" s="263"/>
      <c r="D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</row>
    <row r="321" ht="21.0" customHeight="1">
      <c r="A321" s="265"/>
      <c r="B321" s="266"/>
      <c r="C321" s="263"/>
      <c r="D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</row>
    <row r="322" ht="21.0" customHeight="1">
      <c r="A322" s="265"/>
      <c r="B322" s="266"/>
      <c r="C322" s="263"/>
      <c r="D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</row>
    <row r="323" ht="21.0" customHeight="1">
      <c r="A323" s="265"/>
      <c r="B323" s="266"/>
      <c r="C323" s="263"/>
      <c r="D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</row>
    <row r="324" ht="21.0" customHeight="1">
      <c r="A324" s="265"/>
      <c r="B324" s="266"/>
      <c r="C324" s="263"/>
      <c r="D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</row>
    <row r="325" ht="21.0" customHeight="1">
      <c r="A325" s="265"/>
      <c r="B325" s="266"/>
      <c r="C325" s="263"/>
      <c r="D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</row>
    <row r="326" ht="21.0" customHeight="1">
      <c r="A326" s="265"/>
      <c r="B326" s="266"/>
      <c r="C326" s="263"/>
      <c r="D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</row>
    <row r="327" ht="21.0" customHeight="1">
      <c r="A327" s="265"/>
      <c r="B327" s="266"/>
      <c r="C327" s="263"/>
      <c r="D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</row>
    <row r="328" ht="21.0" customHeight="1">
      <c r="A328" s="265"/>
      <c r="B328" s="266"/>
      <c r="C328" s="263"/>
      <c r="D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</row>
    <row r="329" ht="21.0" customHeight="1">
      <c r="A329" s="265"/>
      <c r="B329" s="266"/>
      <c r="C329" s="263"/>
      <c r="D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</row>
    <row r="330" ht="21.0" customHeight="1">
      <c r="A330" s="265"/>
      <c r="B330" s="266"/>
      <c r="C330" s="263"/>
      <c r="D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</row>
    <row r="331" ht="21.0" customHeight="1">
      <c r="A331" s="265"/>
      <c r="B331" s="266"/>
      <c r="C331" s="263"/>
      <c r="D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</row>
    <row r="332" ht="21.0" customHeight="1">
      <c r="A332" s="265"/>
      <c r="B332" s="266"/>
      <c r="C332" s="263"/>
      <c r="D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</row>
    <row r="333" ht="21.0" customHeight="1">
      <c r="A333" s="265"/>
      <c r="B333" s="266"/>
      <c r="C333" s="263"/>
      <c r="D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</row>
    <row r="334" ht="21.0" customHeight="1">
      <c r="A334" s="265"/>
      <c r="B334" s="266"/>
      <c r="C334" s="263"/>
      <c r="D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</row>
    <row r="335" ht="21.0" customHeight="1">
      <c r="A335" s="265"/>
      <c r="B335" s="266"/>
      <c r="C335" s="263"/>
      <c r="D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</row>
    <row r="336" ht="21.0" customHeight="1">
      <c r="A336" s="265"/>
      <c r="B336" s="266"/>
      <c r="C336" s="263"/>
      <c r="D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</row>
    <row r="337" ht="21.0" customHeight="1">
      <c r="A337" s="265"/>
      <c r="B337" s="266"/>
      <c r="C337" s="263"/>
      <c r="D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</row>
    <row r="338" ht="21.0" customHeight="1">
      <c r="A338" s="265"/>
      <c r="B338" s="266"/>
      <c r="C338" s="263"/>
      <c r="D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</row>
    <row r="339" ht="21.0" customHeight="1">
      <c r="A339" s="265"/>
      <c r="B339" s="266"/>
      <c r="C339" s="263"/>
      <c r="D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</row>
    <row r="340" ht="21.0" customHeight="1">
      <c r="A340" s="265"/>
      <c r="B340" s="266"/>
      <c r="C340" s="263"/>
      <c r="D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</row>
    <row r="341" ht="21.0" customHeight="1">
      <c r="A341" s="265"/>
      <c r="B341" s="266"/>
      <c r="C341" s="263"/>
      <c r="D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</row>
    <row r="342" ht="21.0" customHeight="1">
      <c r="A342" s="265"/>
      <c r="B342" s="266"/>
      <c r="C342" s="263"/>
      <c r="D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</row>
    <row r="343" ht="21.0" customHeight="1">
      <c r="A343" s="265"/>
      <c r="B343" s="266"/>
      <c r="C343" s="263"/>
      <c r="D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</row>
    <row r="344" ht="21.0" customHeight="1">
      <c r="A344" s="265"/>
      <c r="B344" s="266"/>
      <c r="C344" s="263"/>
      <c r="D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</row>
    <row r="345" ht="21.0" customHeight="1">
      <c r="A345" s="265"/>
      <c r="B345" s="266"/>
      <c r="C345" s="263"/>
      <c r="D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</row>
    <row r="346" ht="21.0" customHeight="1">
      <c r="A346" s="265"/>
      <c r="B346" s="266"/>
      <c r="C346" s="263"/>
      <c r="D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</row>
    <row r="347" ht="21.0" customHeight="1">
      <c r="A347" s="265"/>
      <c r="B347" s="266"/>
      <c r="C347" s="263"/>
      <c r="D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</row>
    <row r="348" ht="21.0" customHeight="1">
      <c r="A348" s="265"/>
      <c r="B348" s="266"/>
      <c r="C348" s="263"/>
      <c r="D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</row>
    <row r="349" ht="21.0" customHeight="1">
      <c r="A349" s="265"/>
      <c r="B349" s="266"/>
      <c r="C349" s="263"/>
      <c r="D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</row>
    <row r="350" ht="21.0" customHeight="1">
      <c r="A350" s="265"/>
      <c r="B350" s="266"/>
      <c r="C350" s="263"/>
      <c r="D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</row>
    <row r="351" ht="21.0" customHeight="1">
      <c r="A351" s="265"/>
      <c r="B351" s="266"/>
      <c r="C351" s="263"/>
      <c r="D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</row>
    <row r="352" ht="21.0" customHeight="1">
      <c r="A352" s="265"/>
      <c r="B352" s="266"/>
      <c r="C352" s="263"/>
      <c r="D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</row>
    <row r="353" ht="21.0" customHeight="1">
      <c r="A353" s="265"/>
      <c r="B353" s="266"/>
      <c r="C353" s="263"/>
      <c r="D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</row>
    <row r="354" ht="21.0" customHeight="1">
      <c r="A354" s="265"/>
      <c r="B354" s="266"/>
      <c r="C354" s="263"/>
      <c r="D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</row>
    <row r="355" ht="21.0" customHeight="1">
      <c r="A355" s="265"/>
      <c r="B355" s="266"/>
      <c r="C355" s="263"/>
      <c r="D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</row>
    <row r="356" ht="21.0" customHeight="1">
      <c r="A356" s="265"/>
      <c r="B356" s="266"/>
      <c r="C356" s="263"/>
      <c r="D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</row>
    <row r="357" ht="21.0" customHeight="1">
      <c r="A357" s="265"/>
      <c r="B357" s="266"/>
      <c r="C357" s="263"/>
      <c r="D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</row>
    <row r="358" ht="21.0" customHeight="1">
      <c r="A358" s="265"/>
      <c r="B358" s="266"/>
      <c r="C358" s="263"/>
      <c r="D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</row>
    <row r="359" ht="21.0" customHeight="1">
      <c r="A359" s="265"/>
      <c r="B359" s="266"/>
      <c r="C359" s="263"/>
      <c r="D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</row>
    <row r="360" ht="21.0" customHeight="1">
      <c r="A360" s="265"/>
      <c r="B360" s="266"/>
      <c r="C360" s="263"/>
      <c r="D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</row>
    <row r="361" ht="21.0" customHeight="1">
      <c r="A361" s="265"/>
      <c r="B361" s="266"/>
      <c r="C361" s="263"/>
      <c r="D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</row>
    <row r="362" ht="21.0" customHeight="1">
      <c r="A362" s="265"/>
      <c r="B362" s="266"/>
      <c r="C362" s="263"/>
      <c r="D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</row>
    <row r="363" ht="21.0" customHeight="1">
      <c r="A363" s="265"/>
      <c r="B363" s="266"/>
      <c r="C363" s="263"/>
      <c r="D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</row>
    <row r="364" ht="21.0" customHeight="1">
      <c r="A364" s="265"/>
      <c r="B364" s="266"/>
      <c r="C364" s="263"/>
      <c r="D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</row>
    <row r="365" ht="21.0" customHeight="1">
      <c r="A365" s="265"/>
      <c r="B365" s="266"/>
      <c r="C365" s="263"/>
      <c r="D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</row>
    <row r="366" ht="21.0" customHeight="1">
      <c r="A366" s="265"/>
      <c r="B366" s="266"/>
      <c r="C366" s="263"/>
      <c r="D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</row>
    <row r="367" ht="21.0" customHeight="1">
      <c r="A367" s="265"/>
      <c r="B367" s="266"/>
      <c r="C367" s="263"/>
      <c r="D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</row>
    <row r="368" ht="21.0" customHeight="1">
      <c r="A368" s="265"/>
      <c r="B368" s="266"/>
      <c r="C368" s="263"/>
      <c r="D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</row>
    <row r="369" ht="21.0" customHeight="1">
      <c r="A369" s="265"/>
      <c r="B369" s="266"/>
      <c r="C369" s="263"/>
      <c r="D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</row>
    <row r="370" ht="21.0" customHeight="1">
      <c r="A370" s="265"/>
      <c r="B370" s="266"/>
      <c r="C370" s="263"/>
      <c r="D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</row>
    <row r="371" ht="21.0" customHeight="1">
      <c r="A371" s="265"/>
      <c r="B371" s="266"/>
      <c r="C371" s="263"/>
      <c r="D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</row>
    <row r="372" ht="21.0" customHeight="1">
      <c r="A372" s="265"/>
      <c r="B372" s="266"/>
      <c r="C372" s="263"/>
      <c r="D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</row>
    <row r="373" ht="21.0" customHeight="1">
      <c r="A373" s="265"/>
      <c r="B373" s="266"/>
      <c r="C373" s="263"/>
      <c r="D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</row>
    <row r="374" ht="21.0" customHeight="1">
      <c r="A374" s="265"/>
      <c r="B374" s="266"/>
      <c r="C374" s="263"/>
      <c r="D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</row>
    <row r="375" ht="21.0" customHeight="1">
      <c r="A375" s="265"/>
      <c r="B375" s="266"/>
      <c r="C375" s="263"/>
      <c r="D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</row>
    <row r="376" ht="21.0" customHeight="1">
      <c r="A376" s="265"/>
      <c r="B376" s="266"/>
      <c r="C376" s="263"/>
      <c r="D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</row>
    <row r="377" ht="21.0" customHeight="1">
      <c r="A377" s="265"/>
      <c r="B377" s="266"/>
      <c r="C377" s="263"/>
      <c r="D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</row>
    <row r="378" ht="21.0" customHeight="1">
      <c r="A378" s="265"/>
      <c r="B378" s="266"/>
      <c r="C378" s="263"/>
      <c r="D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</row>
    <row r="379" ht="21.0" customHeight="1">
      <c r="A379" s="265"/>
      <c r="B379" s="266"/>
      <c r="C379" s="263"/>
      <c r="D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</row>
    <row r="380" ht="21.0" customHeight="1">
      <c r="A380" s="265"/>
      <c r="B380" s="266"/>
      <c r="C380" s="263"/>
      <c r="D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</row>
    <row r="381" ht="21.0" customHeight="1">
      <c r="A381" s="265"/>
      <c r="B381" s="266"/>
      <c r="C381" s="263"/>
      <c r="D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</row>
    <row r="382" ht="21.0" customHeight="1">
      <c r="A382" s="265"/>
      <c r="B382" s="266"/>
      <c r="C382" s="263"/>
      <c r="D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</row>
    <row r="383" ht="21.0" customHeight="1">
      <c r="A383" s="265"/>
      <c r="B383" s="266"/>
      <c r="C383" s="263"/>
      <c r="D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</row>
    <row r="384" ht="21.0" customHeight="1">
      <c r="A384" s="265"/>
      <c r="B384" s="266"/>
      <c r="C384" s="263"/>
      <c r="D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</row>
    <row r="385" ht="21.0" customHeight="1">
      <c r="A385" s="265"/>
      <c r="B385" s="266"/>
      <c r="C385" s="263"/>
      <c r="D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</row>
    <row r="386" ht="21.0" customHeight="1">
      <c r="A386" s="265"/>
      <c r="B386" s="266"/>
      <c r="C386" s="263"/>
      <c r="D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</row>
    <row r="387" ht="21.0" customHeight="1">
      <c r="A387" s="265"/>
      <c r="B387" s="266"/>
      <c r="C387" s="263"/>
      <c r="D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</row>
    <row r="388" ht="21.0" customHeight="1">
      <c r="A388" s="265"/>
      <c r="B388" s="266"/>
      <c r="C388" s="263"/>
      <c r="D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</row>
    <row r="389" ht="21.0" customHeight="1">
      <c r="A389" s="265"/>
      <c r="B389" s="266"/>
      <c r="C389" s="263"/>
      <c r="D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</row>
    <row r="390" ht="21.0" customHeight="1">
      <c r="A390" s="265"/>
      <c r="B390" s="266"/>
      <c r="C390" s="263"/>
      <c r="D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</row>
    <row r="391" ht="21.0" customHeight="1">
      <c r="A391" s="265"/>
      <c r="B391" s="266"/>
      <c r="C391" s="263"/>
      <c r="D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</row>
    <row r="392" ht="21.0" customHeight="1">
      <c r="A392" s="265"/>
      <c r="B392" s="266"/>
      <c r="C392" s="263"/>
      <c r="D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</row>
    <row r="393" ht="21.0" customHeight="1">
      <c r="A393" s="265"/>
      <c r="B393" s="266"/>
      <c r="C393" s="263"/>
      <c r="D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</row>
    <row r="394" ht="21.0" customHeight="1">
      <c r="A394" s="265"/>
      <c r="B394" s="266"/>
      <c r="C394" s="263"/>
      <c r="D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</row>
    <row r="395" ht="21.0" customHeight="1">
      <c r="A395" s="265"/>
      <c r="B395" s="266"/>
      <c r="C395" s="263"/>
      <c r="D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</row>
    <row r="396" ht="21.0" customHeight="1">
      <c r="A396" s="265"/>
      <c r="B396" s="266"/>
      <c r="C396" s="263"/>
      <c r="D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</row>
    <row r="397" ht="21.0" customHeight="1">
      <c r="A397" s="265"/>
      <c r="B397" s="266"/>
      <c r="C397" s="263"/>
      <c r="D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</row>
    <row r="398" ht="21.0" customHeight="1">
      <c r="A398" s="265"/>
      <c r="B398" s="266"/>
      <c r="C398" s="263"/>
      <c r="D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</row>
    <row r="399" ht="21.0" customHeight="1">
      <c r="A399" s="265"/>
      <c r="B399" s="266"/>
      <c r="C399" s="263"/>
      <c r="D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</row>
    <row r="400" ht="21.0" customHeight="1">
      <c r="A400" s="265"/>
      <c r="B400" s="266"/>
      <c r="C400" s="263"/>
      <c r="D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</row>
    <row r="401" ht="21.0" customHeight="1">
      <c r="A401" s="265"/>
      <c r="B401" s="266"/>
      <c r="C401" s="263"/>
      <c r="D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</row>
    <row r="402" ht="21.0" customHeight="1">
      <c r="A402" s="265"/>
      <c r="B402" s="266"/>
      <c r="C402" s="263"/>
      <c r="D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</row>
    <row r="403" ht="21.0" customHeight="1">
      <c r="A403" s="265"/>
      <c r="B403" s="266"/>
      <c r="C403" s="263"/>
      <c r="D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</row>
    <row r="404" ht="21.0" customHeight="1">
      <c r="A404" s="265"/>
      <c r="B404" s="266"/>
      <c r="C404" s="263"/>
      <c r="D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</row>
    <row r="405" ht="21.0" customHeight="1">
      <c r="A405" s="265"/>
      <c r="B405" s="266"/>
      <c r="C405" s="263"/>
      <c r="D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</row>
    <row r="406" ht="21.0" customHeight="1">
      <c r="A406" s="265"/>
      <c r="B406" s="266"/>
      <c r="C406" s="263"/>
      <c r="D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</row>
    <row r="407" ht="21.0" customHeight="1">
      <c r="A407" s="265"/>
      <c r="B407" s="266"/>
      <c r="C407" s="263"/>
      <c r="D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  <c r="AB407" s="263"/>
    </row>
    <row r="408" ht="21.0" customHeight="1">
      <c r="A408" s="265"/>
      <c r="B408" s="266"/>
      <c r="C408" s="263"/>
      <c r="D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  <c r="AB408" s="263"/>
    </row>
    <row r="409" ht="21.0" customHeight="1">
      <c r="A409" s="265"/>
      <c r="B409" s="266"/>
      <c r="C409" s="263"/>
      <c r="D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  <c r="AB409" s="263"/>
    </row>
    <row r="410" ht="21.0" customHeight="1">
      <c r="A410" s="265"/>
      <c r="B410" s="266"/>
      <c r="C410" s="263"/>
      <c r="D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  <c r="AB410" s="263"/>
    </row>
    <row r="411" ht="21.0" customHeight="1">
      <c r="A411" s="265"/>
      <c r="B411" s="266"/>
      <c r="C411" s="263"/>
      <c r="D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  <c r="AB411" s="263"/>
    </row>
    <row r="412" ht="21.0" customHeight="1">
      <c r="A412" s="265"/>
      <c r="B412" s="266"/>
      <c r="C412" s="263"/>
      <c r="D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  <c r="AB412" s="263"/>
    </row>
    <row r="413" ht="21.0" customHeight="1">
      <c r="A413" s="265"/>
      <c r="B413" s="266"/>
      <c r="C413" s="263"/>
      <c r="D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  <c r="AB413" s="263"/>
    </row>
    <row r="414" ht="21.0" customHeight="1">
      <c r="A414" s="265"/>
      <c r="B414" s="266"/>
      <c r="C414" s="263"/>
      <c r="D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  <c r="AB414" s="263"/>
    </row>
    <row r="415" ht="21.0" customHeight="1">
      <c r="A415" s="265"/>
      <c r="B415" s="266"/>
      <c r="C415" s="263"/>
      <c r="D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  <c r="AB415" s="263"/>
    </row>
    <row r="416" ht="21.0" customHeight="1">
      <c r="A416" s="265"/>
      <c r="B416" s="266"/>
      <c r="C416" s="263"/>
      <c r="D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  <c r="AB416" s="263"/>
    </row>
    <row r="417" ht="21.0" customHeight="1">
      <c r="A417" s="265"/>
      <c r="B417" s="266"/>
      <c r="C417" s="263"/>
      <c r="D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  <c r="AB417" s="263"/>
    </row>
    <row r="418" ht="21.0" customHeight="1">
      <c r="A418" s="265"/>
      <c r="B418" s="266"/>
      <c r="C418" s="263"/>
      <c r="D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  <c r="AB418" s="263"/>
    </row>
    <row r="419" ht="21.0" customHeight="1">
      <c r="A419" s="265"/>
      <c r="B419" s="266"/>
      <c r="C419" s="263"/>
      <c r="D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  <c r="AB419" s="263"/>
    </row>
    <row r="420" ht="21.0" customHeight="1">
      <c r="A420" s="265"/>
      <c r="B420" s="266"/>
      <c r="C420" s="263"/>
      <c r="D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  <c r="AB420" s="263"/>
    </row>
    <row r="421" ht="21.0" customHeight="1">
      <c r="A421" s="265"/>
      <c r="B421" s="266"/>
      <c r="C421" s="263"/>
      <c r="D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  <c r="AB421" s="263"/>
    </row>
    <row r="422" ht="21.0" customHeight="1">
      <c r="A422" s="265"/>
      <c r="B422" s="266"/>
      <c r="C422" s="263"/>
      <c r="D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  <c r="AB422" s="263"/>
    </row>
    <row r="423" ht="21.0" customHeight="1">
      <c r="A423" s="265"/>
      <c r="B423" s="266"/>
      <c r="C423" s="263"/>
      <c r="D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  <c r="AB423" s="263"/>
    </row>
    <row r="424" ht="21.0" customHeight="1">
      <c r="A424" s="265"/>
      <c r="B424" s="266"/>
      <c r="C424" s="263"/>
      <c r="D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</row>
    <row r="425" ht="21.0" customHeight="1">
      <c r="A425" s="265"/>
      <c r="B425" s="266"/>
      <c r="C425" s="263"/>
      <c r="D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  <c r="AB425" s="263"/>
    </row>
    <row r="426" ht="21.0" customHeight="1">
      <c r="A426" s="265"/>
      <c r="B426" s="266"/>
      <c r="C426" s="263"/>
      <c r="D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  <c r="AB426" s="263"/>
    </row>
    <row r="427" ht="21.0" customHeight="1">
      <c r="A427" s="265"/>
      <c r="B427" s="266"/>
      <c r="C427" s="263"/>
      <c r="D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  <c r="AB427" s="263"/>
    </row>
    <row r="428" ht="21.0" customHeight="1">
      <c r="A428" s="265"/>
      <c r="B428" s="266"/>
      <c r="C428" s="263"/>
      <c r="D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  <c r="AB428" s="263"/>
    </row>
    <row r="429" ht="21.0" customHeight="1">
      <c r="A429" s="265"/>
      <c r="B429" s="266"/>
      <c r="C429" s="263"/>
      <c r="D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3"/>
    </row>
    <row r="430" ht="21.0" customHeight="1">
      <c r="A430" s="265"/>
      <c r="B430" s="266"/>
      <c r="C430" s="263"/>
      <c r="D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  <c r="AB430" s="263"/>
    </row>
    <row r="431" ht="21.0" customHeight="1">
      <c r="A431" s="265"/>
      <c r="B431" s="266"/>
      <c r="C431" s="263"/>
      <c r="D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  <c r="AB431" s="263"/>
    </row>
    <row r="432" ht="21.0" customHeight="1">
      <c r="A432" s="265"/>
      <c r="B432" s="266"/>
      <c r="C432" s="263"/>
      <c r="D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  <c r="AB432" s="263"/>
    </row>
    <row r="433" ht="21.0" customHeight="1">
      <c r="A433" s="265"/>
      <c r="B433" s="266"/>
      <c r="C433" s="263"/>
      <c r="D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  <c r="AB433" s="263"/>
    </row>
    <row r="434" ht="21.0" customHeight="1">
      <c r="A434" s="265"/>
      <c r="B434" s="266"/>
      <c r="C434" s="263"/>
      <c r="D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  <c r="AB434" s="263"/>
    </row>
    <row r="435" ht="21.0" customHeight="1">
      <c r="A435" s="265"/>
      <c r="B435" s="266"/>
      <c r="C435" s="263"/>
      <c r="D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  <c r="AB435" s="263"/>
    </row>
    <row r="436" ht="21.0" customHeight="1">
      <c r="A436" s="265"/>
      <c r="B436" s="266"/>
      <c r="C436" s="263"/>
      <c r="D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  <c r="AB436" s="263"/>
    </row>
    <row r="437" ht="21.0" customHeight="1">
      <c r="A437" s="265"/>
      <c r="B437" s="266"/>
      <c r="C437" s="263"/>
      <c r="D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  <c r="AB437" s="263"/>
    </row>
    <row r="438" ht="21.0" customHeight="1">
      <c r="A438" s="265"/>
      <c r="B438" s="266"/>
      <c r="C438" s="263"/>
      <c r="D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  <c r="AB438" s="263"/>
    </row>
    <row r="439" ht="21.0" customHeight="1">
      <c r="A439" s="265"/>
      <c r="B439" s="266"/>
      <c r="C439" s="263"/>
      <c r="D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  <c r="AB439" s="263"/>
    </row>
    <row r="440" ht="21.0" customHeight="1">
      <c r="A440" s="265"/>
      <c r="B440" s="266"/>
      <c r="C440" s="263"/>
      <c r="D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  <c r="AB440" s="263"/>
    </row>
    <row r="441" ht="21.0" customHeight="1">
      <c r="A441" s="265"/>
      <c r="B441" s="266"/>
      <c r="C441" s="263"/>
      <c r="D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  <c r="AB441" s="263"/>
    </row>
    <row r="442" ht="21.0" customHeight="1">
      <c r="A442" s="265"/>
      <c r="B442" s="266"/>
      <c r="C442" s="263"/>
      <c r="D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</row>
    <row r="443" ht="21.0" customHeight="1">
      <c r="A443" s="265"/>
      <c r="B443" s="266"/>
      <c r="C443" s="263"/>
      <c r="D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  <c r="AB443" s="263"/>
    </row>
    <row r="444" ht="21.0" customHeight="1">
      <c r="A444" s="265"/>
      <c r="B444" s="266"/>
      <c r="C444" s="263"/>
      <c r="D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  <c r="AB444" s="263"/>
    </row>
    <row r="445" ht="21.0" customHeight="1">
      <c r="A445" s="265"/>
      <c r="B445" s="266"/>
      <c r="C445" s="263"/>
      <c r="D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  <c r="AB445" s="263"/>
    </row>
    <row r="446" ht="21.0" customHeight="1">
      <c r="A446" s="265"/>
      <c r="B446" s="266"/>
      <c r="C446" s="263"/>
      <c r="D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</row>
    <row r="447" ht="21.0" customHeight="1">
      <c r="A447" s="265"/>
      <c r="B447" s="266"/>
      <c r="C447" s="263"/>
      <c r="D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  <c r="AB447" s="263"/>
    </row>
    <row r="448" ht="21.0" customHeight="1">
      <c r="A448" s="265"/>
      <c r="B448" s="266"/>
      <c r="C448" s="263"/>
      <c r="D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  <c r="AB448" s="263"/>
    </row>
    <row r="449" ht="21.0" customHeight="1">
      <c r="A449" s="265"/>
      <c r="B449" s="266"/>
      <c r="C449" s="263"/>
      <c r="D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  <c r="AB449" s="263"/>
    </row>
    <row r="450" ht="21.0" customHeight="1">
      <c r="A450" s="265"/>
      <c r="B450" s="266"/>
      <c r="C450" s="263"/>
      <c r="D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  <c r="AB450" s="263"/>
    </row>
    <row r="451" ht="21.0" customHeight="1">
      <c r="A451" s="265"/>
      <c r="B451" s="266"/>
      <c r="C451" s="263"/>
      <c r="D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  <c r="AB451" s="263"/>
    </row>
    <row r="452" ht="21.0" customHeight="1">
      <c r="A452" s="265"/>
      <c r="B452" s="266"/>
      <c r="C452" s="263"/>
      <c r="D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  <c r="AB452" s="263"/>
    </row>
    <row r="453" ht="21.0" customHeight="1">
      <c r="A453" s="265"/>
      <c r="B453" s="266"/>
      <c r="C453" s="263"/>
      <c r="D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  <c r="AB453" s="263"/>
    </row>
    <row r="454" ht="21.0" customHeight="1">
      <c r="A454" s="265"/>
      <c r="B454" s="266"/>
      <c r="C454" s="263"/>
      <c r="D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  <c r="AB454" s="263"/>
    </row>
    <row r="455" ht="21.0" customHeight="1">
      <c r="A455" s="265"/>
      <c r="B455" s="266"/>
      <c r="C455" s="263"/>
      <c r="D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  <c r="AB455" s="263"/>
    </row>
    <row r="456" ht="21.0" customHeight="1">
      <c r="A456" s="265"/>
      <c r="B456" s="266"/>
      <c r="C456" s="263"/>
      <c r="D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  <c r="AB456" s="263"/>
    </row>
    <row r="457" ht="21.0" customHeight="1">
      <c r="A457" s="265"/>
      <c r="B457" s="266"/>
      <c r="C457" s="263"/>
      <c r="D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  <c r="AB457" s="263"/>
    </row>
    <row r="458" ht="21.0" customHeight="1">
      <c r="A458" s="265"/>
      <c r="B458" s="266"/>
      <c r="C458" s="263"/>
      <c r="D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  <c r="AB458" s="263"/>
    </row>
    <row r="459" ht="21.0" customHeight="1">
      <c r="A459" s="265"/>
      <c r="B459" s="266"/>
      <c r="C459" s="263"/>
      <c r="D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  <c r="AB459" s="263"/>
    </row>
    <row r="460" ht="21.0" customHeight="1">
      <c r="A460" s="265"/>
      <c r="B460" s="266"/>
      <c r="C460" s="263"/>
      <c r="D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  <c r="AB460" s="263"/>
    </row>
    <row r="461" ht="21.0" customHeight="1">
      <c r="A461" s="265"/>
      <c r="B461" s="266"/>
      <c r="C461" s="263"/>
      <c r="D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  <c r="AB461" s="263"/>
    </row>
    <row r="462" ht="21.0" customHeight="1">
      <c r="A462" s="265"/>
      <c r="B462" s="266"/>
      <c r="C462" s="263"/>
      <c r="D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  <c r="AB462" s="263"/>
    </row>
    <row r="463" ht="21.0" customHeight="1">
      <c r="A463" s="265"/>
      <c r="B463" s="266"/>
      <c r="C463" s="263"/>
      <c r="D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  <c r="AB463" s="263"/>
    </row>
    <row r="464" ht="21.0" customHeight="1">
      <c r="A464" s="265"/>
      <c r="B464" s="266"/>
      <c r="C464" s="263"/>
      <c r="D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</row>
    <row r="465" ht="21.0" customHeight="1">
      <c r="A465" s="265"/>
      <c r="B465" s="266"/>
      <c r="C465" s="263"/>
      <c r="D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  <c r="AB465" s="263"/>
    </row>
    <row r="466" ht="21.0" customHeight="1">
      <c r="A466" s="265"/>
      <c r="B466" s="266"/>
      <c r="C466" s="263"/>
      <c r="D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  <c r="AB466" s="263"/>
    </row>
    <row r="467" ht="21.0" customHeight="1">
      <c r="A467" s="265"/>
      <c r="B467" s="266"/>
      <c r="C467" s="263"/>
      <c r="D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  <c r="AB467" s="263"/>
    </row>
    <row r="468" ht="21.0" customHeight="1">
      <c r="A468" s="265"/>
      <c r="B468" s="266"/>
      <c r="C468" s="263"/>
      <c r="D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  <c r="AB468" s="263"/>
    </row>
    <row r="469" ht="21.0" customHeight="1">
      <c r="A469" s="265"/>
      <c r="B469" s="266"/>
      <c r="C469" s="263"/>
      <c r="D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  <c r="AB469" s="263"/>
    </row>
    <row r="470" ht="21.0" customHeight="1">
      <c r="A470" s="265"/>
      <c r="B470" s="266"/>
      <c r="C470" s="263"/>
      <c r="D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  <c r="AB470" s="263"/>
    </row>
    <row r="471" ht="21.0" customHeight="1">
      <c r="A471" s="265"/>
      <c r="B471" s="266"/>
      <c r="C471" s="263"/>
      <c r="D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  <c r="AB471" s="263"/>
    </row>
    <row r="472" ht="21.0" customHeight="1">
      <c r="A472" s="265"/>
      <c r="B472" s="266"/>
      <c r="C472" s="263"/>
      <c r="D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  <c r="AB472" s="263"/>
    </row>
    <row r="473" ht="21.0" customHeight="1">
      <c r="A473" s="265"/>
      <c r="B473" s="266"/>
      <c r="C473" s="263"/>
      <c r="D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  <c r="AB473" s="263"/>
    </row>
    <row r="474" ht="21.0" customHeight="1">
      <c r="A474" s="265"/>
      <c r="B474" s="266"/>
      <c r="C474" s="263"/>
      <c r="D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  <c r="AB474" s="263"/>
    </row>
    <row r="475" ht="21.0" customHeight="1">
      <c r="A475" s="265"/>
      <c r="B475" s="266"/>
      <c r="C475" s="263"/>
      <c r="D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  <c r="AB475" s="263"/>
    </row>
    <row r="476" ht="21.0" customHeight="1">
      <c r="A476" s="265"/>
      <c r="B476" s="266"/>
      <c r="C476" s="263"/>
      <c r="D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  <c r="AB476" s="263"/>
    </row>
    <row r="477" ht="21.0" customHeight="1">
      <c r="A477" s="265"/>
      <c r="B477" s="266"/>
      <c r="C477" s="263"/>
      <c r="D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  <c r="AB477" s="263"/>
    </row>
    <row r="478" ht="21.0" customHeight="1">
      <c r="A478" s="265"/>
      <c r="B478" s="266"/>
      <c r="C478" s="263"/>
      <c r="D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</row>
    <row r="479" ht="21.0" customHeight="1">
      <c r="A479" s="265"/>
      <c r="B479" s="266"/>
      <c r="C479" s="263"/>
      <c r="D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</row>
    <row r="480" ht="21.0" customHeight="1">
      <c r="A480" s="265"/>
      <c r="B480" s="266"/>
      <c r="C480" s="263"/>
      <c r="D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  <c r="AB480" s="263"/>
    </row>
    <row r="481" ht="21.0" customHeight="1">
      <c r="A481" s="265"/>
      <c r="B481" s="266"/>
      <c r="C481" s="263"/>
      <c r="D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  <c r="AB481" s="263"/>
    </row>
    <row r="482" ht="21.0" customHeight="1">
      <c r="A482" s="265"/>
      <c r="B482" s="266"/>
      <c r="C482" s="263"/>
      <c r="D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  <c r="AB482" s="263"/>
    </row>
    <row r="483" ht="21.0" customHeight="1">
      <c r="A483" s="265"/>
      <c r="B483" s="266"/>
      <c r="C483" s="263"/>
      <c r="D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  <c r="AB483" s="263"/>
    </row>
    <row r="484" ht="21.0" customHeight="1">
      <c r="A484" s="265"/>
      <c r="B484" s="266"/>
      <c r="C484" s="263"/>
      <c r="D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  <c r="AB484" s="263"/>
    </row>
    <row r="485" ht="21.0" customHeight="1">
      <c r="A485" s="265"/>
      <c r="B485" s="266"/>
      <c r="C485" s="263"/>
      <c r="D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  <c r="AB485" s="263"/>
    </row>
    <row r="486" ht="21.0" customHeight="1">
      <c r="A486" s="265"/>
      <c r="B486" s="266"/>
      <c r="C486" s="263"/>
      <c r="D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  <c r="AB486" s="263"/>
    </row>
    <row r="487" ht="21.0" customHeight="1">
      <c r="A487" s="265"/>
      <c r="B487" s="266"/>
      <c r="C487" s="263"/>
      <c r="D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  <c r="AB487" s="263"/>
    </row>
    <row r="488" ht="21.0" customHeight="1">
      <c r="A488" s="265"/>
      <c r="B488" s="266"/>
      <c r="C488" s="263"/>
      <c r="D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  <c r="AB488" s="263"/>
    </row>
    <row r="489" ht="21.0" customHeight="1">
      <c r="A489" s="265"/>
      <c r="B489" s="266"/>
      <c r="C489" s="263"/>
      <c r="D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  <c r="AB489" s="263"/>
    </row>
    <row r="490" ht="21.0" customHeight="1">
      <c r="A490" s="265"/>
      <c r="B490" s="266"/>
      <c r="C490" s="263"/>
      <c r="D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  <c r="AB490" s="263"/>
    </row>
    <row r="491" ht="21.0" customHeight="1">
      <c r="A491" s="265"/>
      <c r="B491" s="266"/>
      <c r="C491" s="263"/>
      <c r="D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  <c r="AB491" s="263"/>
    </row>
    <row r="492" ht="21.0" customHeight="1">
      <c r="A492" s="265"/>
      <c r="B492" s="266"/>
      <c r="C492" s="263"/>
      <c r="D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  <c r="AB492" s="263"/>
    </row>
    <row r="493" ht="21.0" customHeight="1">
      <c r="A493" s="265"/>
      <c r="B493" s="266"/>
      <c r="C493" s="263"/>
      <c r="D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  <c r="AB493" s="263"/>
    </row>
    <row r="494" ht="21.0" customHeight="1">
      <c r="A494" s="265"/>
      <c r="B494" s="266"/>
      <c r="C494" s="263"/>
      <c r="D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  <c r="AB494" s="263"/>
    </row>
    <row r="495" ht="21.0" customHeight="1">
      <c r="A495" s="265"/>
      <c r="B495" s="266"/>
      <c r="C495" s="263"/>
      <c r="D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</row>
    <row r="496" ht="21.0" customHeight="1">
      <c r="A496" s="265"/>
      <c r="B496" s="266"/>
      <c r="C496" s="263"/>
      <c r="D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  <c r="AB496" s="263"/>
    </row>
    <row r="497" ht="21.0" customHeight="1">
      <c r="A497" s="265"/>
      <c r="B497" s="266"/>
      <c r="C497" s="263"/>
      <c r="D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  <c r="AB497" s="263"/>
    </row>
    <row r="498" ht="21.0" customHeight="1">
      <c r="A498" s="265"/>
      <c r="B498" s="266"/>
      <c r="C498" s="263"/>
      <c r="D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  <c r="AB498" s="263"/>
    </row>
    <row r="499" ht="21.0" customHeight="1">
      <c r="A499" s="265"/>
      <c r="B499" s="266"/>
      <c r="C499" s="263"/>
      <c r="D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  <c r="AB499" s="263"/>
    </row>
    <row r="500" ht="21.0" customHeight="1">
      <c r="A500" s="265"/>
      <c r="B500" s="266"/>
      <c r="C500" s="263"/>
      <c r="D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  <c r="AB500" s="263"/>
    </row>
    <row r="501" ht="21.0" customHeight="1">
      <c r="A501" s="265"/>
      <c r="B501" s="266"/>
      <c r="C501" s="263"/>
      <c r="D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  <c r="AB501" s="263"/>
    </row>
    <row r="502" ht="21.0" customHeight="1">
      <c r="A502" s="265"/>
      <c r="B502" s="266"/>
      <c r="C502" s="263"/>
      <c r="D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  <c r="AB502" s="263"/>
    </row>
    <row r="503" ht="21.0" customHeight="1">
      <c r="A503" s="265"/>
      <c r="B503" s="266"/>
      <c r="C503" s="263"/>
      <c r="D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  <c r="AB503" s="263"/>
    </row>
    <row r="504" ht="21.0" customHeight="1">
      <c r="A504" s="265"/>
      <c r="B504" s="266"/>
      <c r="C504" s="263"/>
      <c r="D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  <c r="AB504" s="263"/>
    </row>
    <row r="505" ht="21.0" customHeight="1">
      <c r="A505" s="265"/>
      <c r="B505" s="266"/>
      <c r="C505" s="263"/>
      <c r="D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  <c r="AB505" s="263"/>
    </row>
    <row r="506" ht="21.0" customHeight="1">
      <c r="A506" s="265"/>
      <c r="B506" s="266"/>
      <c r="C506" s="263"/>
      <c r="D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</row>
    <row r="507" ht="21.0" customHeight="1">
      <c r="A507" s="265"/>
      <c r="B507" s="266"/>
      <c r="C507" s="263"/>
      <c r="D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  <c r="AB507" s="263"/>
    </row>
    <row r="508" ht="21.0" customHeight="1">
      <c r="A508" s="265"/>
      <c r="B508" s="266"/>
      <c r="C508" s="263"/>
      <c r="D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  <c r="AB508" s="263"/>
    </row>
    <row r="509" ht="21.0" customHeight="1">
      <c r="A509" s="265"/>
      <c r="B509" s="266"/>
      <c r="C509" s="263"/>
      <c r="D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  <c r="AB509" s="263"/>
    </row>
    <row r="510" ht="21.0" customHeight="1">
      <c r="A510" s="265"/>
      <c r="B510" s="266"/>
      <c r="C510" s="263"/>
      <c r="D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  <c r="AB510" s="263"/>
    </row>
    <row r="511" ht="21.0" customHeight="1">
      <c r="A511" s="265"/>
      <c r="B511" s="266"/>
      <c r="C511" s="263"/>
      <c r="D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  <c r="AB511" s="263"/>
    </row>
    <row r="512" ht="21.0" customHeight="1">
      <c r="A512" s="265"/>
      <c r="B512" s="266"/>
      <c r="C512" s="263"/>
      <c r="D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  <c r="AB512" s="263"/>
    </row>
    <row r="513" ht="21.0" customHeight="1">
      <c r="A513" s="265"/>
      <c r="B513" s="266"/>
      <c r="C513" s="263"/>
      <c r="D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  <c r="AB513" s="263"/>
    </row>
    <row r="514" ht="21.0" customHeight="1">
      <c r="A514" s="265"/>
      <c r="B514" s="266"/>
      <c r="C514" s="263"/>
      <c r="D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  <c r="AB514" s="263"/>
    </row>
    <row r="515" ht="21.0" customHeight="1">
      <c r="A515" s="265"/>
      <c r="B515" s="266"/>
      <c r="C515" s="263"/>
      <c r="D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  <c r="AB515" s="263"/>
    </row>
    <row r="516" ht="21.0" customHeight="1">
      <c r="A516" s="265"/>
      <c r="B516" s="266"/>
      <c r="C516" s="263"/>
      <c r="D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  <c r="AB516" s="263"/>
    </row>
    <row r="517" ht="21.0" customHeight="1">
      <c r="A517" s="265"/>
      <c r="B517" s="266"/>
      <c r="C517" s="263"/>
      <c r="D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  <c r="AB517" s="263"/>
    </row>
    <row r="518" ht="21.0" customHeight="1">
      <c r="A518" s="265"/>
      <c r="B518" s="266"/>
      <c r="C518" s="263"/>
      <c r="D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  <c r="AB518" s="263"/>
    </row>
    <row r="519" ht="21.0" customHeight="1">
      <c r="A519" s="265"/>
      <c r="B519" s="266"/>
      <c r="C519" s="263"/>
      <c r="D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  <c r="AB519" s="263"/>
    </row>
    <row r="520" ht="21.0" customHeight="1">
      <c r="A520" s="265"/>
      <c r="B520" s="266"/>
      <c r="C520" s="263"/>
      <c r="D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  <c r="AB520" s="263"/>
    </row>
    <row r="521" ht="21.0" customHeight="1">
      <c r="A521" s="265"/>
      <c r="B521" s="266"/>
      <c r="C521" s="263"/>
      <c r="D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AB521" s="263"/>
    </row>
    <row r="522" ht="21.0" customHeight="1">
      <c r="A522" s="265"/>
      <c r="B522" s="266"/>
      <c r="C522" s="263"/>
      <c r="D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  <c r="AB522" s="263"/>
    </row>
    <row r="523" ht="21.0" customHeight="1">
      <c r="A523" s="265"/>
      <c r="B523" s="266"/>
      <c r="C523" s="263"/>
      <c r="D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  <c r="AB523" s="263"/>
    </row>
    <row r="524" ht="21.0" customHeight="1">
      <c r="A524" s="265"/>
      <c r="B524" s="266"/>
      <c r="C524" s="263"/>
      <c r="D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  <c r="AB524" s="263"/>
    </row>
    <row r="525" ht="21.0" customHeight="1">
      <c r="A525" s="265"/>
      <c r="B525" s="266"/>
      <c r="C525" s="263"/>
      <c r="D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  <c r="AB525" s="263"/>
    </row>
    <row r="526" ht="21.0" customHeight="1">
      <c r="A526" s="265"/>
      <c r="B526" s="266"/>
      <c r="C526" s="263"/>
      <c r="D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  <c r="AB526" s="263"/>
    </row>
    <row r="527" ht="21.0" customHeight="1">
      <c r="A527" s="265"/>
      <c r="B527" s="266"/>
      <c r="C527" s="263"/>
      <c r="D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  <c r="AB527" s="263"/>
    </row>
    <row r="528" ht="21.0" customHeight="1">
      <c r="A528" s="265"/>
      <c r="B528" s="266"/>
      <c r="C528" s="263"/>
      <c r="D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  <c r="AB528" s="263"/>
    </row>
    <row r="529" ht="21.0" customHeight="1">
      <c r="A529" s="265"/>
      <c r="B529" s="266"/>
      <c r="C529" s="263"/>
      <c r="D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  <c r="AB529" s="263"/>
    </row>
    <row r="530" ht="21.0" customHeight="1">
      <c r="A530" s="265"/>
      <c r="B530" s="266"/>
      <c r="C530" s="263"/>
      <c r="D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  <c r="AB530" s="263"/>
    </row>
    <row r="531" ht="21.0" customHeight="1">
      <c r="A531" s="265"/>
      <c r="B531" s="266"/>
      <c r="C531" s="263"/>
      <c r="D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  <c r="AB531" s="263"/>
    </row>
    <row r="532" ht="21.0" customHeight="1">
      <c r="A532" s="265"/>
      <c r="B532" s="266"/>
      <c r="C532" s="263"/>
      <c r="D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  <c r="AB532" s="263"/>
    </row>
    <row r="533" ht="21.0" customHeight="1">
      <c r="A533" s="265"/>
      <c r="B533" s="266"/>
      <c r="C533" s="263"/>
      <c r="D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  <c r="AB533" s="263"/>
    </row>
    <row r="534" ht="21.0" customHeight="1">
      <c r="A534" s="265"/>
      <c r="B534" s="266"/>
      <c r="C534" s="263"/>
      <c r="D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  <c r="AB534" s="263"/>
    </row>
    <row r="535" ht="21.0" customHeight="1">
      <c r="A535" s="265"/>
      <c r="B535" s="266"/>
      <c r="C535" s="263"/>
      <c r="D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  <c r="AB535" s="263"/>
    </row>
    <row r="536" ht="21.0" customHeight="1">
      <c r="A536" s="265"/>
      <c r="B536" s="266"/>
      <c r="C536" s="263"/>
      <c r="D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  <c r="AB536" s="263"/>
    </row>
    <row r="537" ht="21.0" customHeight="1">
      <c r="A537" s="265"/>
      <c r="B537" s="266"/>
      <c r="C537" s="263"/>
      <c r="D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  <c r="AB537" s="263"/>
    </row>
    <row r="538" ht="21.0" customHeight="1">
      <c r="A538" s="265"/>
      <c r="B538" s="266"/>
      <c r="C538" s="263"/>
      <c r="D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  <c r="AB538" s="263"/>
    </row>
    <row r="539" ht="21.0" customHeight="1">
      <c r="A539" s="265"/>
      <c r="B539" s="266"/>
      <c r="C539" s="263"/>
      <c r="D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  <c r="AB539" s="263"/>
    </row>
    <row r="540" ht="21.0" customHeight="1">
      <c r="A540" s="265"/>
      <c r="B540" s="266"/>
      <c r="C540" s="263"/>
      <c r="D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  <c r="AB540" s="263"/>
    </row>
    <row r="541" ht="21.0" customHeight="1">
      <c r="A541" s="265"/>
      <c r="B541" s="266"/>
      <c r="C541" s="263"/>
      <c r="D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  <c r="AB541" s="263"/>
    </row>
    <row r="542" ht="21.0" customHeight="1">
      <c r="A542" s="265"/>
      <c r="B542" s="266"/>
      <c r="C542" s="263"/>
      <c r="D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  <c r="AB542" s="263"/>
    </row>
    <row r="543" ht="21.0" customHeight="1">
      <c r="A543" s="265"/>
      <c r="B543" s="266"/>
      <c r="C543" s="263"/>
      <c r="D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  <c r="AB543" s="263"/>
    </row>
    <row r="544" ht="21.0" customHeight="1">
      <c r="A544" s="265"/>
      <c r="B544" s="266"/>
      <c r="C544" s="263"/>
      <c r="D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  <c r="AB544" s="263"/>
    </row>
    <row r="545" ht="21.0" customHeight="1">
      <c r="A545" s="265"/>
      <c r="B545" s="266"/>
      <c r="C545" s="263"/>
      <c r="D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  <c r="AB545" s="263"/>
    </row>
    <row r="546" ht="21.0" customHeight="1">
      <c r="A546" s="265"/>
      <c r="B546" s="266"/>
      <c r="C546" s="263"/>
      <c r="D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  <c r="AB546" s="263"/>
    </row>
    <row r="547" ht="21.0" customHeight="1">
      <c r="A547" s="265"/>
      <c r="B547" s="266"/>
      <c r="C547" s="263"/>
      <c r="D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  <c r="AB547" s="263"/>
    </row>
    <row r="548" ht="21.0" customHeight="1">
      <c r="A548" s="265"/>
      <c r="B548" s="266"/>
      <c r="C548" s="263"/>
      <c r="D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  <c r="AB548" s="263"/>
    </row>
    <row r="549" ht="21.0" customHeight="1">
      <c r="A549" s="265"/>
      <c r="B549" s="266"/>
      <c r="C549" s="263"/>
      <c r="D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  <c r="AB549" s="263"/>
    </row>
    <row r="550" ht="21.0" customHeight="1">
      <c r="A550" s="265"/>
      <c r="B550" s="266"/>
      <c r="C550" s="263"/>
      <c r="D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  <c r="AB550" s="263"/>
    </row>
    <row r="551" ht="21.0" customHeight="1">
      <c r="A551" s="265"/>
      <c r="B551" s="266"/>
      <c r="C551" s="263"/>
      <c r="D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  <c r="AB551" s="263"/>
    </row>
    <row r="552" ht="21.0" customHeight="1">
      <c r="A552" s="265"/>
      <c r="B552" s="266"/>
      <c r="C552" s="263"/>
      <c r="D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  <c r="AB552" s="263"/>
    </row>
    <row r="553" ht="21.0" customHeight="1">
      <c r="A553" s="265"/>
      <c r="B553" s="266"/>
      <c r="C553" s="263"/>
      <c r="D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  <c r="AB553" s="263"/>
    </row>
    <row r="554" ht="21.0" customHeight="1">
      <c r="A554" s="265"/>
      <c r="B554" s="266"/>
      <c r="C554" s="263"/>
      <c r="D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  <c r="AB554" s="263"/>
    </row>
    <row r="555" ht="21.0" customHeight="1">
      <c r="A555" s="265"/>
      <c r="B555" s="266"/>
      <c r="C555" s="263"/>
      <c r="D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  <c r="AB555" s="263"/>
    </row>
    <row r="556" ht="21.0" customHeight="1">
      <c r="A556" s="265"/>
      <c r="B556" s="266"/>
      <c r="C556" s="263"/>
      <c r="D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  <c r="AB556" s="263"/>
    </row>
    <row r="557" ht="21.0" customHeight="1">
      <c r="A557" s="265"/>
      <c r="B557" s="266"/>
      <c r="C557" s="263"/>
      <c r="D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  <c r="AB557" s="263"/>
    </row>
    <row r="558" ht="21.0" customHeight="1">
      <c r="A558" s="265"/>
      <c r="B558" s="266"/>
      <c r="C558" s="263"/>
      <c r="D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  <c r="AB558" s="263"/>
    </row>
    <row r="559" ht="21.0" customHeight="1">
      <c r="A559" s="265"/>
      <c r="B559" s="266"/>
      <c r="C559" s="263"/>
      <c r="D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  <c r="AB559" s="263"/>
    </row>
    <row r="560" ht="21.0" customHeight="1">
      <c r="A560" s="265"/>
      <c r="B560" s="266"/>
      <c r="C560" s="263"/>
      <c r="D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  <c r="AB560" s="263"/>
    </row>
    <row r="561" ht="21.0" customHeight="1">
      <c r="A561" s="265"/>
      <c r="B561" s="266"/>
      <c r="C561" s="263"/>
      <c r="D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  <c r="AB561" s="263"/>
    </row>
    <row r="562" ht="21.0" customHeight="1">
      <c r="A562" s="265"/>
      <c r="B562" s="266"/>
      <c r="C562" s="263"/>
      <c r="D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  <c r="AB562" s="263"/>
    </row>
    <row r="563" ht="21.0" customHeight="1">
      <c r="A563" s="265"/>
      <c r="B563" s="266"/>
      <c r="C563" s="263"/>
      <c r="D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  <c r="AB563" s="263"/>
    </row>
    <row r="564" ht="21.0" customHeight="1">
      <c r="A564" s="265"/>
      <c r="B564" s="266"/>
      <c r="C564" s="263"/>
      <c r="D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  <c r="AB564" s="263"/>
    </row>
    <row r="565" ht="21.0" customHeight="1">
      <c r="A565" s="265"/>
      <c r="B565" s="266"/>
      <c r="C565" s="263"/>
      <c r="D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  <c r="AB565" s="263"/>
    </row>
    <row r="566" ht="21.0" customHeight="1">
      <c r="A566" s="265"/>
      <c r="B566" s="266"/>
      <c r="C566" s="263"/>
      <c r="D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  <c r="AB566" s="263"/>
    </row>
    <row r="567" ht="21.0" customHeight="1">
      <c r="A567" s="265"/>
      <c r="B567" s="266"/>
      <c r="C567" s="263"/>
      <c r="D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  <c r="AB567" s="263"/>
    </row>
    <row r="568" ht="21.0" customHeight="1">
      <c r="A568" s="265"/>
      <c r="B568" s="266"/>
      <c r="C568" s="263"/>
      <c r="D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  <c r="AB568" s="263"/>
    </row>
    <row r="569" ht="21.0" customHeight="1">
      <c r="A569" s="265"/>
      <c r="B569" s="266"/>
      <c r="C569" s="263"/>
      <c r="D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  <c r="AB569" s="263"/>
    </row>
    <row r="570" ht="21.0" customHeight="1">
      <c r="A570" s="265"/>
      <c r="B570" s="266"/>
      <c r="C570" s="263"/>
      <c r="D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  <c r="AB570" s="263"/>
    </row>
    <row r="571" ht="21.0" customHeight="1">
      <c r="A571" s="265"/>
      <c r="B571" s="266"/>
      <c r="C571" s="263"/>
      <c r="D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  <c r="AB571" s="263"/>
    </row>
    <row r="572" ht="21.0" customHeight="1">
      <c r="A572" s="265"/>
      <c r="B572" s="266"/>
      <c r="C572" s="263"/>
      <c r="D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  <c r="AB572" s="263"/>
    </row>
    <row r="573" ht="21.0" customHeight="1">
      <c r="A573" s="265"/>
      <c r="B573" s="266"/>
      <c r="C573" s="263"/>
      <c r="D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  <c r="AB573" s="263"/>
    </row>
    <row r="574" ht="21.0" customHeight="1">
      <c r="A574" s="265"/>
      <c r="B574" s="266"/>
      <c r="C574" s="263"/>
      <c r="D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  <c r="AB574" s="263"/>
    </row>
    <row r="575" ht="21.0" customHeight="1">
      <c r="A575" s="265"/>
      <c r="B575" s="266"/>
      <c r="C575" s="263"/>
      <c r="D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  <c r="AB575" s="263"/>
    </row>
    <row r="576" ht="21.0" customHeight="1">
      <c r="A576" s="265"/>
      <c r="B576" s="266"/>
      <c r="C576" s="263"/>
      <c r="D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  <c r="AB576" s="263"/>
    </row>
    <row r="577" ht="21.0" customHeight="1">
      <c r="A577" s="265"/>
      <c r="B577" s="266"/>
      <c r="C577" s="263"/>
      <c r="D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  <c r="AB577" s="263"/>
    </row>
    <row r="578" ht="21.0" customHeight="1">
      <c r="A578" s="265"/>
      <c r="B578" s="266"/>
      <c r="C578" s="263"/>
      <c r="D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  <c r="AB578" s="263"/>
    </row>
    <row r="579" ht="21.0" customHeight="1">
      <c r="A579" s="265"/>
      <c r="B579" s="266"/>
      <c r="C579" s="263"/>
      <c r="D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  <c r="AB579" s="263"/>
    </row>
    <row r="580" ht="21.0" customHeight="1">
      <c r="A580" s="265"/>
      <c r="B580" s="266"/>
      <c r="C580" s="263"/>
      <c r="D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  <c r="AB580" s="263"/>
    </row>
    <row r="581" ht="21.0" customHeight="1">
      <c r="A581" s="265"/>
      <c r="B581" s="266"/>
      <c r="C581" s="263"/>
      <c r="D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  <c r="AB581" s="263"/>
    </row>
    <row r="582" ht="21.0" customHeight="1">
      <c r="A582" s="265"/>
      <c r="B582" s="266"/>
      <c r="C582" s="263"/>
      <c r="D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  <c r="AB582" s="263"/>
    </row>
    <row r="583" ht="21.0" customHeight="1">
      <c r="A583" s="265"/>
      <c r="B583" s="266"/>
      <c r="C583" s="263"/>
      <c r="D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  <c r="AB583" s="263"/>
    </row>
    <row r="584" ht="21.0" customHeight="1">
      <c r="A584" s="265"/>
      <c r="B584" s="266"/>
      <c r="C584" s="263"/>
      <c r="D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  <c r="AB584" s="263"/>
    </row>
    <row r="585" ht="21.0" customHeight="1">
      <c r="A585" s="265"/>
      <c r="B585" s="266"/>
      <c r="C585" s="263"/>
      <c r="D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  <c r="AB585" s="263"/>
    </row>
    <row r="586" ht="21.0" customHeight="1">
      <c r="A586" s="265"/>
      <c r="B586" s="266"/>
      <c r="C586" s="263"/>
      <c r="D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  <c r="AB586" s="263"/>
    </row>
    <row r="587" ht="21.0" customHeight="1">
      <c r="A587" s="265"/>
      <c r="B587" s="266"/>
      <c r="C587" s="263"/>
      <c r="D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</row>
    <row r="588" ht="21.0" customHeight="1">
      <c r="A588" s="265"/>
      <c r="B588" s="266"/>
      <c r="C588" s="263"/>
      <c r="D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  <c r="AB588" s="263"/>
    </row>
    <row r="589" ht="21.0" customHeight="1">
      <c r="A589" s="265"/>
      <c r="B589" s="266"/>
      <c r="C589" s="263"/>
      <c r="D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  <c r="AB589" s="263"/>
    </row>
    <row r="590" ht="21.0" customHeight="1">
      <c r="A590" s="265"/>
      <c r="B590" s="266"/>
      <c r="C590" s="263"/>
      <c r="D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  <c r="AB590" s="263"/>
    </row>
    <row r="591" ht="21.0" customHeight="1">
      <c r="A591" s="265"/>
      <c r="B591" s="266"/>
      <c r="C591" s="263"/>
      <c r="D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  <c r="AB591" s="263"/>
    </row>
    <row r="592" ht="21.0" customHeight="1">
      <c r="A592" s="265"/>
      <c r="B592" s="266"/>
      <c r="C592" s="263"/>
      <c r="D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  <c r="AB592" s="263"/>
    </row>
    <row r="593" ht="21.0" customHeight="1">
      <c r="A593" s="265"/>
      <c r="B593" s="266"/>
      <c r="C593" s="263"/>
      <c r="D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  <c r="AB593" s="263"/>
    </row>
    <row r="594" ht="21.0" customHeight="1">
      <c r="A594" s="265"/>
      <c r="B594" s="266"/>
      <c r="C594" s="263"/>
      <c r="D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  <c r="AB594" s="263"/>
    </row>
    <row r="595" ht="21.0" customHeight="1">
      <c r="A595" s="265"/>
      <c r="B595" s="266"/>
      <c r="C595" s="263"/>
      <c r="D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  <c r="AB595" s="263"/>
    </row>
    <row r="596" ht="21.0" customHeight="1">
      <c r="A596" s="265"/>
      <c r="B596" s="266"/>
      <c r="C596" s="263"/>
      <c r="D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  <c r="AB596" s="263"/>
    </row>
    <row r="597" ht="21.0" customHeight="1">
      <c r="A597" s="265"/>
      <c r="B597" s="266"/>
      <c r="C597" s="263"/>
      <c r="D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  <c r="AB597" s="263"/>
    </row>
    <row r="598" ht="21.0" customHeight="1">
      <c r="A598" s="265"/>
      <c r="B598" s="266"/>
      <c r="C598" s="263"/>
      <c r="D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  <c r="AB598" s="263"/>
    </row>
    <row r="599" ht="21.0" customHeight="1">
      <c r="A599" s="265"/>
      <c r="B599" s="266"/>
      <c r="C599" s="263"/>
      <c r="D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  <c r="AB599" s="263"/>
    </row>
    <row r="600" ht="21.0" customHeight="1">
      <c r="A600" s="265"/>
      <c r="B600" s="266"/>
      <c r="C600" s="263"/>
      <c r="D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  <c r="AB600" s="263"/>
    </row>
    <row r="601" ht="21.0" customHeight="1">
      <c r="A601" s="265"/>
      <c r="B601" s="266"/>
      <c r="C601" s="263"/>
      <c r="D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  <c r="AB601" s="263"/>
    </row>
    <row r="602" ht="21.0" customHeight="1">
      <c r="A602" s="265"/>
      <c r="B602" s="266"/>
      <c r="C602" s="263"/>
      <c r="D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  <c r="AB602" s="263"/>
    </row>
    <row r="603" ht="21.0" customHeight="1">
      <c r="A603" s="265"/>
      <c r="B603" s="266"/>
      <c r="C603" s="263"/>
      <c r="D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  <c r="AB603" s="263"/>
    </row>
    <row r="604" ht="21.0" customHeight="1">
      <c r="A604" s="265"/>
      <c r="B604" s="266"/>
      <c r="C604" s="263"/>
      <c r="D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  <c r="AB604" s="263"/>
    </row>
    <row r="605" ht="21.0" customHeight="1">
      <c r="A605" s="265"/>
      <c r="B605" s="266"/>
      <c r="C605" s="263"/>
      <c r="D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  <c r="AB605" s="263"/>
    </row>
    <row r="606" ht="21.0" customHeight="1">
      <c r="A606" s="265"/>
      <c r="B606" s="266"/>
      <c r="C606" s="263"/>
      <c r="D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  <c r="AB606" s="263"/>
    </row>
    <row r="607" ht="21.0" customHeight="1">
      <c r="A607" s="265"/>
      <c r="B607" s="266"/>
      <c r="C607" s="263"/>
      <c r="D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  <c r="AB607" s="263"/>
    </row>
    <row r="608" ht="21.0" customHeight="1">
      <c r="A608" s="265"/>
      <c r="B608" s="266"/>
      <c r="C608" s="263"/>
      <c r="D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  <c r="AB608" s="263"/>
    </row>
    <row r="609" ht="21.0" customHeight="1">
      <c r="A609" s="265"/>
      <c r="B609" s="266"/>
      <c r="C609" s="263"/>
      <c r="D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</row>
    <row r="610" ht="21.0" customHeight="1">
      <c r="A610" s="265"/>
      <c r="B610" s="266"/>
      <c r="C610" s="263"/>
      <c r="D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  <c r="AB610" s="263"/>
    </row>
    <row r="611" ht="21.0" customHeight="1">
      <c r="A611" s="265"/>
      <c r="B611" s="266"/>
      <c r="C611" s="263"/>
      <c r="D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  <c r="AB611" s="263"/>
    </row>
    <row r="612" ht="21.0" customHeight="1">
      <c r="A612" s="265"/>
      <c r="B612" s="266"/>
      <c r="C612" s="263"/>
      <c r="D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  <c r="AB612" s="263"/>
    </row>
    <row r="613" ht="21.0" customHeight="1">
      <c r="A613" s="265"/>
      <c r="B613" s="266"/>
      <c r="C613" s="263"/>
      <c r="D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  <c r="AB613" s="263"/>
    </row>
    <row r="614" ht="21.0" customHeight="1">
      <c r="A614" s="265"/>
      <c r="B614" s="266"/>
      <c r="C614" s="263"/>
      <c r="D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  <c r="AB614" s="263"/>
    </row>
    <row r="615" ht="21.0" customHeight="1">
      <c r="A615" s="265"/>
      <c r="B615" s="266"/>
      <c r="C615" s="263"/>
      <c r="D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  <c r="AB615" s="263"/>
    </row>
    <row r="616" ht="21.0" customHeight="1">
      <c r="A616" s="265"/>
      <c r="B616" s="266"/>
      <c r="C616" s="263"/>
      <c r="D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  <c r="AB616" s="263"/>
    </row>
    <row r="617" ht="21.0" customHeight="1">
      <c r="A617" s="265"/>
      <c r="B617" s="266"/>
      <c r="C617" s="263"/>
      <c r="D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  <c r="AB617" s="263"/>
    </row>
    <row r="618" ht="21.0" customHeight="1">
      <c r="A618" s="265"/>
      <c r="B618" s="266"/>
      <c r="C618" s="263"/>
      <c r="D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  <c r="AB618" s="263"/>
    </row>
    <row r="619" ht="21.0" customHeight="1">
      <c r="A619" s="265"/>
      <c r="B619" s="266"/>
      <c r="C619" s="263"/>
      <c r="D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  <c r="AB619" s="263"/>
    </row>
    <row r="620" ht="21.0" customHeight="1">
      <c r="A620" s="265"/>
      <c r="B620" s="266"/>
      <c r="C620" s="263"/>
      <c r="D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  <c r="AB620" s="263"/>
    </row>
    <row r="621" ht="21.0" customHeight="1">
      <c r="A621" s="265"/>
      <c r="B621" s="266"/>
      <c r="C621" s="263"/>
      <c r="D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  <c r="AB621" s="263"/>
    </row>
    <row r="622" ht="21.0" customHeight="1">
      <c r="A622" s="265"/>
      <c r="B622" s="266"/>
      <c r="C622" s="263"/>
      <c r="D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  <c r="AB622" s="263"/>
    </row>
    <row r="623" ht="21.0" customHeight="1">
      <c r="A623" s="265"/>
      <c r="B623" s="266"/>
      <c r="C623" s="263"/>
      <c r="D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</row>
    <row r="624" ht="21.0" customHeight="1">
      <c r="A624" s="265"/>
      <c r="B624" s="266"/>
      <c r="C624" s="263"/>
      <c r="D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  <c r="AB624" s="263"/>
    </row>
    <row r="625" ht="21.0" customHeight="1">
      <c r="A625" s="265"/>
      <c r="B625" s="266"/>
      <c r="C625" s="263"/>
      <c r="D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  <c r="AB625" s="263"/>
    </row>
    <row r="626" ht="21.0" customHeight="1">
      <c r="A626" s="265"/>
      <c r="B626" s="266"/>
      <c r="C626" s="263"/>
      <c r="D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  <c r="AB626" s="263"/>
    </row>
    <row r="627" ht="21.0" customHeight="1">
      <c r="A627" s="265"/>
      <c r="B627" s="266"/>
      <c r="C627" s="263"/>
      <c r="D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  <c r="AB627" s="263"/>
    </row>
    <row r="628" ht="21.0" customHeight="1">
      <c r="A628" s="265"/>
      <c r="B628" s="266"/>
      <c r="C628" s="263"/>
      <c r="D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  <c r="AB628" s="263"/>
    </row>
    <row r="629" ht="21.0" customHeight="1">
      <c r="A629" s="265"/>
      <c r="B629" s="266"/>
      <c r="C629" s="263"/>
      <c r="D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  <c r="AB629" s="263"/>
    </row>
    <row r="630" ht="21.0" customHeight="1">
      <c r="A630" s="265"/>
      <c r="B630" s="266"/>
      <c r="C630" s="263"/>
      <c r="D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  <c r="AB630" s="263"/>
    </row>
    <row r="631" ht="21.0" customHeight="1">
      <c r="A631" s="265"/>
      <c r="B631" s="266"/>
      <c r="C631" s="263"/>
      <c r="D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  <c r="AB631" s="263"/>
    </row>
    <row r="632" ht="21.0" customHeight="1">
      <c r="A632" s="265"/>
      <c r="B632" s="266"/>
      <c r="C632" s="263"/>
      <c r="D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  <c r="AB632" s="263"/>
    </row>
    <row r="633" ht="21.0" customHeight="1">
      <c r="A633" s="265"/>
      <c r="B633" s="266"/>
      <c r="C633" s="263"/>
      <c r="D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  <c r="AB633" s="263"/>
    </row>
    <row r="634" ht="21.0" customHeight="1">
      <c r="A634" s="265"/>
      <c r="B634" s="266"/>
      <c r="C634" s="263"/>
      <c r="D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  <c r="AB634" s="263"/>
    </row>
    <row r="635" ht="21.0" customHeight="1">
      <c r="A635" s="265"/>
      <c r="B635" s="266"/>
      <c r="C635" s="263"/>
      <c r="D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  <c r="AB635" s="263"/>
    </row>
    <row r="636" ht="21.0" customHeight="1">
      <c r="A636" s="265"/>
      <c r="B636" s="266"/>
      <c r="C636" s="263"/>
      <c r="D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  <c r="AB636" s="263"/>
    </row>
    <row r="637" ht="21.0" customHeight="1">
      <c r="A637" s="265"/>
      <c r="B637" s="266"/>
      <c r="C637" s="263"/>
      <c r="D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  <c r="AB637" s="263"/>
    </row>
    <row r="638" ht="21.0" customHeight="1">
      <c r="A638" s="265"/>
      <c r="B638" s="266"/>
      <c r="C638" s="263"/>
      <c r="D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  <c r="AB638" s="263"/>
    </row>
    <row r="639" ht="21.0" customHeight="1">
      <c r="A639" s="265"/>
      <c r="B639" s="266"/>
      <c r="C639" s="263"/>
      <c r="D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  <c r="AB639" s="263"/>
    </row>
    <row r="640" ht="21.0" customHeight="1">
      <c r="A640" s="265"/>
      <c r="B640" s="266"/>
      <c r="C640" s="263"/>
      <c r="D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  <c r="AB640" s="263"/>
    </row>
    <row r="641" ht="21.0" customHeight="1">
      <c r="A641" s="265"/>
      <c r="B641" s="266"/>
      <c r="C641" s="263"/>
      <c r="D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  <c r="AB641" s="263"/>
    </row>
    <row r="642" ht="21.0" customHeight="1">
      <c r="A642" s="265"/>
      <c r="B642" s="266"/>
      <c r="C642" s="263"/>
      <c r="D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</row>
    <row r="643" ht="21.0" customHeight="1">
      <c r="A643" s="265"/>
      <c r="B643" s="266"/>
      <c r="C643" s="263"/>
      <c r="D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  <c r="AB643" s="263"/>
    </row>
    <row r="644" ht="21.0" customHeight="1">
      <c r="A644" s="265"/>
      <c r="B644" s="266"/>
      <c r="C644" s="263"/>
      <c r="D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</row>
    <row r="645" ht="21.0" customHeight="1">
      <c r="A645" s="265"/>
      <c r="B645" s="266"/>
      <c r="C645" s="263"/>
      <c r="D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  <c r="AB645" s="263"/>
    </row>
    <row r="646" ht="21.0" customHeight="1">
      <c r="A646" s="265"/>
      <c r="B646" s="266"/>
      <c r="C646" s="263"/>
      <c r="D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  <c r="AB646" s="263"/>
    </row>
    <row r="647" ht="21.0" customHeight="1">
      <c r="A647" s="265"/>
      <c r="B647" s="266"/>
      <c r="C647" s="263"/>
      <c r="D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  <c r="AB647" s="263"/>
    </row>
    <row r="648" ht="21.0" customHeight="1">
      <c r="A648" s="265"/>
      <c r="B648" s="266"/>
      <c r="C648" s="263"/>
      <c r="D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  <c r="AB648" s="263"/>
    </row>
    <row r="649" ht="21.0" customHeight="1">
      <c r="A649" s="265"/>
      <c r="B649" s="266"/>
      <c r="C649" s="263"/>
      <c r="D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  <c r="AB649" s="263"/>
    </row>
    <row r="650" ht="21.0" customHeight="1">
      <c r="A650" s="265"/>
      <c r="B650" s="266"/>
      <c r="C650" s="263"/>
      <c r="D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  <c r="AB650" s="263"/>
    </row>
    <row r="651" ht="21.0" customHeight="1">
      <c r="A651" s="265"/>
      <c r="B651" s="266"/>
      <c r="C651" s="263"/>
      <c r="D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  <c r="AB651" s="263"/>
    </row>
    <row r="652" ht="21.0" customHeight="1">
      <c r="A652" s="265"/>
      <c r="B652" s="266"/>
      <c r="C652" s="263"/>
      <c r="D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  <c r="AB652" s="263"/>
    </row>
    <row r="653" ht="21.0" customHeight="1">
      <c r="A653" s="265"/>
      <c r="B653" s="266"/>
      <c r="C653" s="263"/>
      <c r="D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  <c r="AB653" s="263"/>
    </row>
    <row r="654" ht="21.0" customHeight="1">
      <c r="A654" s="265"/>
      <c r="B654" s="266"/>
      <c r="C654" s="263"/>
      <c r="D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  <c r="AB654" s="263"/>
    </row>
    <row r="655" ht="21.0" customHeight="1">
      <c r="A655" s="265"/>
      <c r="B655" s="266"/>
      <c r="C655" s="263"/>
      <c r="D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  <c r="AB655" s="263"/>
    </row>
    <row r="656" ht="21.0" customHeight="1">
      <c r="A656" s="265"/>
      <c r="B656" s="266"/>
      <c r="C656" s="263"/>
      <c r="D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  <c r="AB656" s="263"/>
    </row>
    <row r="657" ht="21.0" customHeight="1">
      <c r="A657" s="265"/>
      <c r="B657" s="266"/>
      <c r="C657" s="263"/>
      <c r="D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  <c r="AB657" s="263"/>
    </row>
    <row r="658" ht="21.0" customHeight="1">
      <c r="A658" s="265"/>
      <c r="B658" s="266"/>
      <c r="C658" s="263"/>
      <c r="D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  <c r="AB658" s="263"/>
    </row>
    <row r="659" ht="21.0" customHeight="1">
      <c r="A659" s="265"/>
      <c r="B659" s="266"/>
      <c r="C659" s="263"/>
      <c r="D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  <c r="AB659" s="263"/>
    </row>
    <row r="660" ht="21.0" customHeight="1">
      <c r="A660" s="265"/>
      <c r="B660" s="266"/>
      <c r="C660" s="263"/>
      <c r="D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  <c r="AB660" s="263"/>
    </row>
    <row r="661" ht="21.0" customHeight="1">
      <c r="A661" s="265"/>
      <c r="B661" s="266"/>
      <c r="C661" s="263"/>
      <c r="D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  <c r="AB661" s="263"/>
    </row>
    <row r="662" ht="21.0" customHeight="1">
      <c r="A662" s="265"/>
      <c r="B662" s="266"/>
      <c r="C662" s="263"/>
      <c r="D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  <c r="AB662" s="263"/>
    </row>
    <row r="663" ht="21.0" customHeight="1">
      <c r="A663" s="265"/>
      <c r="B663" s="266"/>
      <c r="C663" s="263"/>
      <c r="D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  <c r="AB663" s="263"/>
    </row>
    <row r="664" ht="21.0" customHeight="1">
      <c r="A664" s="265"/>
      <c r="B664" s="266"/>
      <c r="C664" s="263"/>
      <c r="D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  <c r="AB664" s="263"/>
    </row>
    <row r="665" ht="21.0" customHeight="1">
      <c r="A665" s="265"/>
      <c r="B665" s="266"/>
      <c r="C665" s="263"/>
      <c r="D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  <c r="AB665" s="263"/>
    </row>
    <row r="666" ht="21.0" customHeight="1">
      <c r="A666" s="265"/>
      <c r="B666" s="266"/>
      <c r="C666" s="263"/>
      <c r="D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  <c r="AB666" s="263"/>
    </row>
    <row r="667" ht="21.0" customHeight="1">
      <c r="A667" s="265"/>
      <c r="B667" s="266"/>
      <c r="C667" s="263"/>
      <c r="D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  <c r="AB667" s="263"/>
    </row>
    <row r="668" ht="21.0" customHeight="1">
      <c r="A668" s="265"/>
      <c r="B668" s="266"/>
      <c r="C668" s="263"/>
      <c r="D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  <c r="AB668" s="263"/>
    </row>
    <row r="669" ht="21.0" customHeight="1">
      <c r="A669" s="265"/>
      <c r="B669" s="266"/>
      <c r="C669" s="263"/>
      <c r="D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  <c r="AB669" s="263"/>
    </row>
    <row r="670" ht="21.0" customHeight="1">
      <c r="A670" s="265"/>
      <c r="B670" s="266"/>
      <c r="C670" s="263"/>
      <c r="D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</row>
    <row r="671" ht="21.0" customHeight="1">
      <c r="A671" s="265"/>
      <c r="B671" s="266"/>
      <c r="C671" s="263"/>
      <c r="D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  <c r="AB671" s="263"/>
    </row>
    <row r="672" ht="21.0" customHeight="1">
      <c r="A672" s="265"/>
      <c r="B672" s="266"/>
      <c r="C672" s="263"/>
      <c r="D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  <c r="AB672" s="263"/>
    </row>
    <row r="673" ht="21.0" customHeight="1">
      <c r="A673" s="265"/>
      <c r="B673" s="266"/>
      <c r="C673" s="263"/>
      <c r="D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  <c r="AB673" s="263"/>
    </row>
    <row r="674" ht="21.0" customHeight="1">
      <c r="A674" s="265"/>
      <c r="B674" s="266"/>
      <c r="C674" s="263"/>
      <c r="D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  <c r="AB674" s="263"/>
    </row>
    <row r="675" ht="21.0" customHeight="1">
      <c r="A675" s="265"/>
      <c r="B675" s="266"/>
      <c r="C675" s="263"/>
      <c r="D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  <c r="AB675" s="263"/>
    </row>
    <row r="676" ht="21.0" customHeight="1">
      <c r="A676" s="265"/>
      <c r="B676" s="266"/>
      <c r="C676" s="263"/>
      <c r="D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  <c r="AB676" s="263"/>
    </row>
    <row r="677" ht="21.0" customHeight="1">
      <c r="A677" s="265"/>
      <c r="B677" s="266"/>
      <c r="C677" s="263"/>
      <c r="D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  <c r="AB677" s="263"/>
    </row>
    <row r="678" ht="21.0" customHeight="1">
      <c r="A678" s="265"/>
      <c r="B678" s="266"/>
      <c r="C678" s="263"/>
      <c r="D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  <c r="AB678" s="263"/>
    </row>
    <row r="679" ht="21.0" customHeight="1">
      <c r="A679" s="265"/>
      <c r="B679" s="266"/>
      <c r="C679" s="263"/>
      <c r="D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  <c r="AB679" s="263"/>
    </row>
    <row r="680" ht="21.0" customHeight="1">
      <c r="A680" s="265"/>
      <c r="B680" s="266"/>
      <c r="C680" s="263"/>
      <c r="D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  <c r="AB680" s="263"/>
    </row>
    <row r="681" ht="21.0" customHeight="1">
      <c r="A681" s="265"/>
      <c r="B681" s="266"/>
      <c r="C681" s="263"/>
      <c r="D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  <c r="AB681" s="263"/>
    </row>
    <row r="682" ht="21.0" customHeight="1">
      <c r="A682" s="265"/>
      <c r="B682" s="266"/>
      <c r="C682" s="263"/>
      <c r="D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  <c r="AB682" s="263"/>
    </row>
    <row r="683" ht="21.0" customHeight="1">
      <c r="A683" s="265"/>
      <c r="B683" s="266"/>
      <c r="C683" s="263"/>
      <c r="D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  <c r="AB683" s="263"/>
    </row>
    <row r="684" ht="21.0" customHeight="1">
      <c r="A684" s="265"/>
      <c r="B684" s="266"/>
      <c r="C684" s="263"/>
      <c r="D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  <c r="AB684" s="263"/>
    </row>
    <row r="685" ht="21.0" customHeight="1">
      <c r="A685" s="265"/>
      <c r="B685" s="266"/>
      <c r="C685" s="263"/>
      <c r="D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  <c r="AB685" s="263"/>
    </row>
    <row r="686" ht="21.0" customHeight="1">
      <c r="A686" s="265"/>
      <c r="B686" s="266"/>
      <c r="C686" s="263"/>
      <c r="D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  <c r="AB686" s="263"/>
    </row>
    <row r="687" ht="21.0" customHeight="1">
      <c r="A687" s="265"/>
      <c r="B687" s="266"/>
      <c r="C687" s="263"/>
      <c r="D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  <c r="AB687" s="263"/>
    </row>
    <row r="688" ht="21.0" customHeight="1">
      <c r="A688" s="265"/>
      <c r="B688" s="266"/>
      <c r="C688" s="263"/>
      <c r="D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  <c r="AB688" s="263"/>
    </row>
    <row r="689" ht="21.0" customHeight="1">
      <c r="A689" s="265"/>
      <c r="B689" s="266"/>
      <c r="C689" s="263"/>
      <c r="D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  <c r="AB689" s="263"/>
    </row>
    <row r="690" ht="21.0" customHeight="1">
      <c r="A690" s="265"/>
      <c r="B690" s="266"/>
      <c r="C690" s="263"/>
      <c r="D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  <c r="AB690" s="263"/>
    </row>
    <row r="691" ht="21.0" customHeight="1">
      <c r="A691" s="265"/>
      <c r="B691" s="266"/>
      <c r="C691" s="263"/>
      <c r="D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  <c r="AB691" s="263"/>
    </row>
    <row r="692" ht="21.0" customHeight="1">
      <c r="A692" s="265"/>
      <c r="B692" s="266"/>
      <c r="C692" s="263"/>
      <c r="D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  <c r="AB692" s="263"/>
    </row>
    <row r="693" ht="21.0" customHeight="1">
      <c r="A693" s="265"/>
      <c r="B693" s="266"/>
      <c r="C693" s="263"/>
      <c r="D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  <c r="AB693" s="263"/>
    </row>
    <row r="694" ht="21.0" customHeight="1">
      <c r="A694" s="265"/>
      <c r="B694" s="266"/>
      <c r="C694" s="263"/>
      <c r="D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  <c r="AB694" s="263"/>
    </row>
    <row r="695" ht="21.0" customHeight="1">
      <c r="A695" s="265"/>
      <c r="B695" s="266"/>
      <c r="C695" s="263"/>
      <c r="D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  <c r="AB695" s="263"/>
    </row>
    <row r="696" ht="21.0" customHeight="1">
      <c r="A696" s="265"/>
      <c r="B696" s="266"/>
      <c r="C696" s="263"/>
      <c r="D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  <c r="AB696" s="263"/>
    </row>
    <row r="697" ht="21.0" customHeight="1">
      <c r="A697" s="265"/>
      <c r="B697" s="266"/>
      <c r="C697" s="263"/>
      <c r="D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  <c r="AB697" s="263"/>
    </row>
    <row r="698" ht="21.0" customHeight="1">
      <c r="A698" s="265"/>
      <c r="B698" s="266"/>
      <c r="C698" s="263"/>
      <c r="D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  <c r="AB698" s="263"/>
    </row>
    <row r="699" ht="21.0" customHeight="1">
      <c r="A699" s="265"/>
      <c r="B699" s="266"/>
      <c r="C699" s="263"/>
      <c r="D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  <c r="AB699" s="263"/>
    </row>
    <row r="700" ht="21.0" customHeight="1">
      <c r="A700" s="265"/>
      <c r="B700" s="266"/>
      <c r="C700" s="263"/>
      <c r="D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  <c r="AB700" s="263"/>
    </row>
    <row r="701" ht="21.0" customHeight="1">
      <c r="A701" s="265"/>
      <c r="B701" s="266"/>
      <c r="C701" s="263"/>
      <c r="D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  <c r="AB701" s="263"/>
    </row>
    <row r="702" ht="21.0" customHeight="1">
      <c r="A702" s="265"/>
      <c r="B702" s="266"/>
      <c r="C702" s="263"/>
      <c r="D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  <c r="AB702" s="263"/>
    </row>
    <row r="703" ht="21.0" customHeight="1">
      <c r="A703" s="265"/>
      <c r="B703" s="266"/>
      <c r="C703" s="263"/>
      <c r="D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  <c r="AB703" s="263"/>
    </row>
    <row r="704" ht="21.0" customHeight="1">
      <c r="A704" s="265"/>
      <c r="B704" s="266"/>
      <c r="C704" s="263"/>
      <c r="D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  <c r="AB704" s="263"/>
    </row>
    <row r="705" ht="21.0" customHeight="1">
      <c r="A705" s="265"/>
      <c r="B705" s="266"/>
      <c r="C705" s="263"/>
      <c r="D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  <c r="AB705" s="263"/>
    </row>
    <row r="706" ht="21.0" customHeight="1">
      <c r="A706" s="265"/>
      <c r="B706" s="266"/>
      <c r="C706" s="263"/>
      <c r="D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  <c r="AB706" s="263"/>
    </row>
    <row r="707" ht="21.0" customHeight="1">
      <c r="A707" s="265"/>
      <c r="B707" s="266"/>
      <c r="C707" s="263"/>
      <c r="D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  <c r="AB707" s="263"/>
    </row>
    <row r="708" ht="21.0" customHeight="1">
      <c r="A708" s="265"/>
      <c r="B708" s="266"/>
      <c r="C708" s="263"/>
      <c r="D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  <c r="AB708" s="263"/>
    </row>
    <row r="709" ht="21.0" customHeight="1">
      <c r="A709" s="265"/>
      <c r="B709" s="266"/>
      <c r="C709" s="263"/>
      <c r="D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  <c r="AB709" s="263"/>
    </row>
    <row r="710" ht="21.0" customHeight="1">
      <c r="A710" s="265"/>
      <c r="B710" s="266"/>
      <c r="C710" s="263"/>
      <c r="D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  <c r="AB710" s="263"/>
    </row>
    <row r="711" ht="21.0" customHeight="1">
      <c r="A711" s="265"/>
      <c r="B711" s="266"/>
      <c r="C711" s="263"/>
      <c r="D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  <c r="AB711" s="263"/>
    </row>
    <row r="712" ht="21.0" customHeight="1">
      <c r="A712" s="265"/>
      <c r="B712" s="266"/>
      <c r="C712" s="263"/>
      <c r="D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  <c r="AB712" s="263"/>
    </row>
    <row r="713" ht="21.0" customHeight="1">
      <c r="A713" s="265"/>
      <c r="B713" s="266"/>
      <c r="C713" s="263"/>
      <c r="D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  <c r="AB713" s="263"/>
    </row>
    <row r="714" ht="21.0" customHeight="1">
      <c r="A714" s="265"/>
      <c r="B714" s="266"/>
      <c r="C714" s="263"/>
      <c r="D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  <c r="AB714" s="263"/>
    </row>
    <row r="715" ht="21.0" customHeight="1">
      <c r="A715" s="265"/>
      <c r="B715" s="266"/>
      <c r="C715" s="263"/>
      <c r="D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  <c r="AB715" s="263"/>
    </row>
    <row r="716" ht="21.0" customHeight="1">
      <c r="A716" s="265"/>
      <c r="B716" s="266"/>
      <c r="C716" s="263"/>
      <c r="D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  <c r="AB716" s="263"/>
    </row>
    <row r="717" ht="21.0" customHeight="1">
      <c r="A717" s="265"/>
      <c r="B717" s="266"/>
      <c r="C717" s="263"/>
      <c r="D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  <c r="AB717" s="263"/>
    </row>
    <row r="718" ht="21.0" customHeight="1">
      <c r="A718" s="265"/>
      <c r="B718" s="266"/>
      <c r="C718" s="263"/>
      <c r="D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  <c r="AB718" s="263"/>
    </row>
    <row r="719" ht="21.0" customHeight="1">
      <c r="A719" s="265"/>
      <c r="B719" s="266"/>
      <c r="C719" s="263"/>
      <c r="D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  <c r="AB719" s="263"/>
    </row>
    <row r="720" ht="21.0" customHeight="1">
      <c r="A720" s="265"/>
      <c r="B720" s="266"/>
      <c r="C720" s="263"/>
      <c r="D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  <c r="AB720" s="263"/>
    </row>
    <row r="721" ht="21.0" customHeight="1">
      <c r="A721" s="265"/>
      <c r="B721" s="266"/>
      <c r="C721" s="263"/>
      <c r="D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  <c r="AB721" s="263"/>
    </row>
    <row r="722" ht="21.0" customHeight="1">
      <c r="A722" s="265"/>
      <c r="B722" s="266"/>
      <c r="C722" s="263"/>
      <c r="D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  <c r="AB722" s="263"/>
    </row>
    <row r="723" ht="21.0" customHeight="1">
      <c r="A723" s="265"/>
      <c r="B723" s="266"/>
      <c r="C723" s="263"/>
      <c r="D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  <c r="AB723" s="263"/>
    </row>
    <row r="724" ht="21.0" customHeight="1">
      <c r="A724" s="265"/>
      <c r="B724" s="266"/>
      <c r="C724" s="263"/>
      <c r="D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  <c r="AB724" s="263"/>
    </row>
    <row r="725" ht="21.0" customHeight="1">
      <c r="A725" s="265"/>
      <c r="B725" s="266"/>
      <c r="C725" s="263"/>
      <c r="D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  <c r="AB725" s="263"/>
    </row>
    <row r="726" ht="21.0" customHeight="1">
      <c r="A726" s="265"/>
      <c r="B726" s="266"/>
      <c r="C726" s="263"/>
      <c r="D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  <c r="AB726" s="263"/>
    </row>
    <row r="727" ht="21.0" customHeight="1">
      <c r="A727" s="265"/>
      <c r="B727" s="266"/>
      <c r="C727" s="263"/>
      <c r="D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  <c r="AB727" s="263"/>
    </row>
    <row r="728" ht="21.0" customHeight="1">
      <c r="A728" s="265"/>
      <c r="B728" s="266"/>
      <c r="C728" s="263"/>
      <c r="D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  <c r="AB728" s="263"/>
    </row>
    <row r="729" ht="21.0" customHeight="1">
      <c r="A729" s="265"/>
      <c r="B729" s="266"/>
      <c r="C729" s="263"/>
      <c r="D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  <c r="AB729" s="263"/>
    </row>
    <row r="730" ht="21.0" customHeight="1">
      <c r="A730" s="265"/>
      <c r="B730" s="266"/>
      <c r="C730" s="263"/>
      <c r="D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  <c r="AB730" s="263"/>
    </row>
    <row r="731" ht="21.0" customHeight="1">
      <c r="A731" s="265"/>
      <c r="B731" s="266"/>
      <c r="C731" s="263"/>
      <c r="D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  <c r="AB731" s="263"/>
    </row>
    <row r="732" ht="21.0" customHeight="1">
      <c r="A732" s="265"/>
      <c r="B732" s="266"/>
      <c r="C732" s="263"/>
      <c r="D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  <c r="AB732" s="263"/>
    </row>
    <row r="733" ht="21.0" customHeight="1">
      <c r="A733" s="265"/>
      <c r="B733" s="266"/>
      <c r="C733" s="263"/>
      <c r="D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  <c r="AB733" s="263"/>
    </row>
    <row r="734" ht="21.0" customHeight="1">
      <c r="A734" s="265"/>
      <c r="B734" s="266"/>
      <c r="C734" s="263"/>
      <c r="D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  <c r="AB734" s="263"/>
    </row>
    <row r="735" ht="21.0" customHeight="1">
      <c r="A735" s="265"/>
      <c r="B735" s="266"/>
      <c r="C735" s="263"/>
      <c r="D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  <c r="AB735" s="263"/>
    </row>
    <row r="736" ht="21.0" customHeight="1">
      <c r="A736" s="265"/>
      <c r="B736" s="266"/>
      <c r="C736" s="263"/>
      <c r="D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  <c r="AB736" s="263"/>
    </row>
    <row r="737" ht="21.0" customHeight="1">
      <c r="A737" s="265"/>
      <c r="B737" s="266"/>
      <c r="C737" s="263"/>
      <c r="D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  <c r="AB737" s="263"/>
    </row>
    <row r="738" ht="21.0" customHeight="1">
      <c r="A738" s="265"/>
      <c r="B738" s="266"/>
      <c r="C738" s="263"/>
      <c r="D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  <c r="AB738" s="263"/>
    </row>
    <row r="739" ht="21.0" customHeight="1">
      <c r="A739" s="265"/>
      <c r="B739" s="266"/>
      <c r="C739" s="263"/>
      <c r="D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  <c r="AB739" s="263"/>
    </row>
    <row r="740" ht="21.0" customHeight="1">
      <c r="A740" s="265"/>
      <c r="B740" s="266"/>
      <c r="C740" s="263"/>
      <c r="D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  <c r="AB740" s="263"/>
    </row>
    <row r="741" ht="21.0" customHeight="1">
      <c r="A741" s="265"/>
      <c r="B741" s="266"/>
      <c r="C741" s="263"/>
      <c r="D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  <c r="AB741" s="263"/>
    </row>
    <row r="742" ht="21.0" customHeight="1">
      <c r="A742" s="265"/>
      <c r="B742" s="266"/>
      <c r="C742" s="263"/>
      <c r="D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  <c r="AB742" s="263"/>
    </row>
    <row r="743" ht="21.0" customHeight="1">
      <c r="A743" s="265"/>
      <c r="B743" s="266"/>
      <c r="C743" s="263"/>
      <c r="D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  <c r="AB743" s="263"/>
    </row>
    <row r="744" ht="21.0" customHeight="1">
      <c r="A744" s="265"/>
      <c r="B744" s="266"/>
      <c r="C744" s="263"/>
      <c r="D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  <c r="AB744" s="263"/>
    </row>
    <row r="745" ht="21.0" customHeight="1">
      <c r="A745" s="265"/>
      <c r="B745" s="266"/>
      <c r="C745" s="263"/>
      <c r="D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  <c r="AB745" s="263"/>
    </row>
    <row r="746" ht="21.0" customHeight="1">
      <c r="A746" s="265"/>
      <c r="B746" s="266"/>
      <c r="C746" s="263"/>
      <c r="D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  <c r="AB746" s="263"/>
    </row>
    <row r="747" ht="21.0" customHeight="1">
      <c r="A747" s="265"/>
      <c r="B747" s="266"/>
      <c r="C747" s="263"/>
      <c r="D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  <c r="AB747" s="263"/>
    </row>
    <row r="748" ht="21.0" customHeight="1">
      <c r="A748" s="265"/>
      <c r="B748" s="266"/>
      <c r="C748" s="263"/>
      <c r="D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  <c r="AB748" s="263"/>
    </row>
    <row r="749" ht="21.0" customHeight="1">
      <c r="A749" s="265"/>
      <c r="B749" s="266"/>
      <c r="C749" s="263"/>
      <c r="D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  <c r="AB749" s="263"/>
    </row>
    <row r="750" ht="21.0" customHeight="1">
      <c r="A750" s="265"/>
      <c r="B750" s="266"/>
      <c r="C750" s="263"/>
      <c r="D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  <c r="AB750" s="263"/>
    </row>
    <row r="751" ht="21.0" customHeight="1">
      <c r="A751" s="265"/>
      <c r="B751" s="266"/>
      <c r="C751" s="263"/>
      <c r="D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  <c r="AB751" s="263"/>
    </row>
    <row r="752" ht="21.0" customHeight="1">
      <c r="A752" s="265"/>
      <c r="B752" s="266"/>
      <c r="C752" s="263"/>
      <c r="D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  <c r="AB752" s="263"/>
    </row>
    <row r="753" ht="21.0" customHeight="1">
      <c r="A753" s="265"/>
      <c r="B753" s="266"/>
      <c r="C753" s="263"/>
      <c r="D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  <c r="AB753" s="263"/>
    </row>
    <row r="754" ht="21.0" customHeight="1">
      <c r="A754" s="265"/>
      <c r="B754" s="266"/>
      <c r="C754" s="263"/>
      <c r="D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  <c r="AB754" s="263"/>
    </row>
    <row r="755" ht="21.0" customHeight="1">
      <c r="A755" s="265"/>
      <c r="B755" s="266"/>
      <c r="C755" s="263"/>
      <c r="D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  <c r="AB755" s="263"/>
    </row>
    <row r="756" ht="21.0" customHeight="1">
      <c r="A756" s="265"/>
      <c r="B756" s="266"/>
      <c r="C756" s="263"/>
      <c r="D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  <c r="AB756" s="263"/>
    </row>
    <row r="757" ht="21.0" customHeight="1">
      <c r="A757" s="265"/>
      <c r="B757" s="266"/>
      <c r="C757" s="263"/>
      <c r="D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  <c r="AB757" s="263"/>
    </row>
    <row r="758" ht="21.0" customHeight="1">
      <c r="A758" s="265"/>
      <c r="B758" s="266"/>
      <c r="C758" s="263"/>
      <c r="D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  <c r="AB758" s="263"/>
    </row>
    <row r="759" ht="21.0" customHeight="1">
      <c r="A759" s="265"/>
      <c r="B759" s="266"/>
      <c r="C759" s="263"/>
      <c r="D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  <c r="AB759" s="263"/>
    </row>
    <row r="760" ht="21.0" customHeight="1">
      <c r="A760" s="265"/>
      <c r="B760" s="266"/>
      <c r="C760" s="263"/>
      <c r="D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  <c r="AB760" s="263"/>
    </row>
    <row r="761" ht="21.0" customHeight="1">
      <c r="A761" s="265"/>
      <c r="B761" s="266"/>
      <c r="C761" s="263"/>
      <c r="D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  <c r="AB761" s="263"/>
    </row>
    <row r="762" ht="21.0" customHeight="1">
      <c r="A762" s="265"/>
      <c r="B762" s="266"/>
      <c r="C762" s="263"/>
      <c r="D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  <c r="AB762" s="263"/>
    </row>
    <row r="763" ht="21.0" customHeight="1">
      <c r="A763" s="265"/>
      <c r="B763" s="266"/>
      <c r="C763" s="263"/>
      <c r="D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  <c r="AB763" s="263"/>
    </row>
    <row r="764" ht="21.0" customHeight="1">
      <c r="A764" s="265"/>
      <c r="B764" s="266"/>
      <c r="C764" s="263"/>
      <c r="D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  <c r="AB764" s="263"/>
    </row>
    <row r="765" ht="21.0" customHeight="1">
      <c r="A765" s="265"/>
      <c r="B765" s="266"/>
      <c r="C765" s="263"/>
      <c r="D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  <c r="AB765" s="263"/>
    </row>
    <row r="766" ht="21.0" customHeight="1">
      <c r="A766" s="265"/>
      <c r="B766" s="266"/>
      <c r="C766" s="263"/>
      <c r="D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  <c r="AB766" s="263"/>
    </row>
    <row r="767" ht="21.0" customHeight="1">
      <c r="A767" s="265"/>
      <c r="B767" s="266"/>
      <c r="C767" s="263"/>
      <c r="D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  <c r="AB767" s="263"/>
    </row>
    <row r="768" ht="21.0" customHeight="1">
      <c r="A768" s="265"/>
      <c r="B768" s="266"/>
      <c r="C768" s="263"/>
      <c r="D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  <c r="AB768" s="263"/>
    </row>
    <row r="769" ht="21.0" customHeight="1">
      <c r="A769" s="265"/>
      <c r="B769" s="266"/>
      <c r="C769" s="263"/>
      <c r="D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  <c r="AB769" s="263"/>
    </row>
    <row r="770" ht="21.0" customHeight="1">
      <c r="A770" s="265"/>
      <c r="B770" s="266"/>
      <c r="C770" s="263"/>
      <c r="D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  <c r="AB770" s="263"/>
    </row>
    <row r="771" ht="21.0" customHeight="1">
      <c r="A771" s="265"/>
      <c r="B771" s="266"/>
      <c r="C771" s="263"/>
      <c r="D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  <c r="AB771" s="263"/>
    </row>
    <row r="772" ht="21.0" customHeight="1">
      <c r="A772" s="265"/>
      <c r="B772" s="266"/>
      <c r="C772" s="263"/>
      <c r="D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  <c r="AA772" s="263"/>
      <c r="AB772" s="263"/>
    </row>
    <row r="773" ht="21.0" customHeight="1">
      <c r="A773" s="265"/>
      <c r="B773" s="266"/>
      <c r="C773" s="263"/>
      <c r="D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  <c r="AA773" s="263"/>
      <c r="AB773" s="263"/>
    </row>
    <row r="774" ht="21.0" customHeight="1">
      <c r="A774" s="265"/>
      <c r="B774" s="266"/>
      <c r="C774" s="263"/>
      <c r="D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  <c r="AA774" s="263"/>
      <c r="AB774" s="263"/>
    </row>
    <row r="775" ht="21.0" customHeight="1">
      <c r="A775" s="265"/>
      <c r="B775" s="266"/>
      <c r="C775" s="263"/>
      <c r="D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  <c r="AA775" s="263"/>
      <c r="AB775" s="263"/>
    </row>
    <row r="776" ht="21.0" customHeight="1">
      <c r="A776" s="265"/>
      <c r="B776" s="266"/>
      <c r="C776" s="263"/>
      <c r="D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  <c r="AA776" s="263"/>
      <c r="AB776" s="263"/>
    </row>
    <row r="777" ht="21.0" customHeight="1">
      <c r="A777" s="265"/>
      <c r="B777" s="266"/>
      <c r="C777" s="263"/>
      <c r="D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  <c r="AA777" s="263"/>
      <c r="AB777" s="263"/>
    </row>
    <row r="778" ht="21.0" customHeight="1">
      <c r="A778" s="265"/>
      <c r="B778" s="266"/>
      <c r="C778" s="263"/>
      <c r="D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  <c r="AA778" s="263"/>
      <c r="AB778" s="263"/>
    </row>
    <row r="779" ht="21.0" customHeight="1">
      <c r="A779" s="265"/>
      <c r="B779" s="266"/>
      <c r="C779" s="263"/>
      <c r="D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  <c r="AA779" s="263"/>
      <c r="AB779" s="263"/>
    </row>
    <row r="780" ht="21.0" customHeight="1">
      <c r="A780" s="265"/>
      <c r="B780" s="266"/>
      <c r="C780" s="263"/>
      <c r="D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  <c r="AA780" s="263"/>
      <c r="AB780" s="263"/>
    </row>
    <row r="781" ht="21.0" customHeight="1">
      <c r="A781" s="265"/>
      <c r="B781" s="266"/>
      <c r="C781" s="263"/>
      <c r="D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  <c r="AA781" s="263"/>
      <c r="AB781" s="263"/>
    </row>
    <row r="782" ht="21.0" customHeight="1">
      <c r="A782" s="265"/>
      <c r="B782" s="266"/>
      <c r="C782" s="263"/>
      <c r="D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  <c r="AA782" s="263"/>
      <c r="AB782" s="263"/>
    </row>
    <row r="783" ht="21.0" customHeight="1">
      <c r="A783" s="265"/>
      <c r="B783" s="266"/>
      <c r="C783" s="263"/>
      <c r="D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  <c r="AA783" s="263"/>
      <c r="AB783" s="263"/>
    </row>
    <row r="784" ht="21.0" customHeight="1">
      <c r="A784" s="265"/>
      <c r="B784" s="266"/>
      <c r="C784" s="263"/>
      <c r="D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  <c r="AA784" s="263"/>
      <c r="AB784" s="263"/>
    </row>
    <row r="785" ht="21.0" customHeight="1">
      <c r="A785" s="265"/>
      <c r="B785" s="266"/>
      <c r="C785" s="263"/>
      <c r="D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  <c r="AA785" s="263"/>
      <c r="AB785" s="263"/>
    </row>
    <row r="786" ht="21.0" customHeight="1">
      <c r="A786" s="265"/>
      <c r="B786" s="266"/>
      <c r="C786" s="263"/>
      <c r="D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  <c r="AA786" s="263"/>
      <c r="AB786" s="263"/>
    </row>
    <row r="787" ht="21.0" customHeight="1">
      <c r="A787" s="265"/>
      <c r="B787" s="266"/>
      <c r="C787" s="263"/>
      <c r="D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  <c r="AA787" s="263"/>
      <c r="AB787" s="263"/>
    </row>
    <row r="788" ht="21.0" customHeight="1">
      <c r="A788" s="265"/>
      <c r="B788" s="266"/>
      <c r="C788" s="263"/>
      <c r="D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  <c r="AA788" s="263"/>
      <c r="AB788" s="263"/>
    </row>
    <row r="789" ht="21.0" customHeight="1">
      <c r="A789" s="265"/>
      <c r="B789" s="266"/>
      <c r="C789" s="263"/>
      <c r="D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  <c r="AA789" s="263"/>
      <c r="AB789" s="263"/>
    </row>
    <row r="790" ht="21.0" customHeight="1">
      <c r="A790" s="265"/>
      <c r="B790" s="266"/>
      <c r="C790" s="263"/>
      <c r="D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  <c r="AA790" s="263"/>
      <c r="AB790" s="263"/>
    </row>
    <row r="791" ht="21.0" customHeight="1">
      <c r="A791" s="265"/>
      <c r="B791" s="266"/>
      <c r="C791" s="263"/>
      <c r="D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  <c r="AA791" s="263"/>
      <c r="AB791" s="263"/>
    </row>
    <row r="792" ht="21.0" customHeight="1">
      <c r="A792" s="265"/>
      <c r="B792" s="266"/>
      <c r="C792" s="263"/>
      <c r="D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  <c r="AA792" s="263"/>
      <c r="AB792" s="263"/>
    </row>
    <row r="793" ht="21.0" customHeight="1">
      <c r="A793" s="265"/>
      <c r="B793" s="266"/>
      <c r="C793" s="263"/>
      <c r="D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  <c r="AA793" s="263"/>
      <c r="AB793" s="263"/>
    </row>
    <row r="794" ht="21.0" customHeight="1">
      <c r="A794" s="265"/>
      <c r="B794" s="266"/>
      <c r="C794" s="263"/>
      <c r="D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  <c r="AA794" s="263"/>
      <c r="AB794" s="263"/>
    </row>
    <row r="795" ht="21.0" customHeight="1">
      <c r="A795" s="265"/>
      <c r="B795" s="266"/>
      <c r="C795" s="263"/>
      <c r="D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  <c r="AA795" s="263"/>
      <c r="AB795" s="263"/>
    </row>
    <row r="796" ht="21.0" customHeight="1">
      <c r="A796" s="265"/>
      <c r="B796" s="266"/>
      <c r="C796" s="263"/>
      <c r="D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  <c r="AA796" s="263"/>
      <c r="AB796" s="263"/>
    </row>
    <row r="797" ht="21.0" customHeight="1">
      <c r="A797" s="265"/>
      <c r="B797" s="266"/>
      <c r="C797" s="263"/>
      <c r="D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  <c r="AA797" s="263"/>
      <c r="AB797" s="263"/>
    </row>
    <row r="798" ht="21.0" customHeight="1">
      <c r="A798" s="265"/>
      <c r="B798" s="266"/>
      <c r="C798" s="263"/>
      <c r="D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  <c r="AA798" s="263"/>
      <c r="AB798" s="263"/>
    </row>
    <row r="799" ht="21.0" customHeight="1">
      <c r="A799" s="265"/>
      <c r="B799" s="266"/>
      <c r="C799" s="263"/>
      <c r="D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  <c r="AA799" s="263"/>
      <c r="AB799" s="263"/>
    </row>
    <row r="800" ht="21.0" customHeight="1">
      <c r="A800" s="265"/>
      <c r="B800" s="266"/>
      <c r="C800" s="263"/>
      <c r="D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  <c r="AA800" s="263"/>
      <c r="AB800" s="263"/>
    </row>
    <row r="801" ht="21.0" customHeight="1">
      <c r="A801" s="265"/>
      <c r="B801" s="266"/>
      <c r="C801" s="263"/>
      <c r="D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  <c r="AA801" s="263"/>
      <c r="AB801" s="263"/>
    </row>
    <row r="802" ht="21.0" customHeight="1">
      <c r="A802" s="265"/>
      <c r="B802" s="266"/>
      <c r="C802" s="263"/>
      <c r="D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  <c r="AA802" s="263"/>
      <c r="AB802" s="263"/>
    </row>
    <row r="803" ht="21.0" customHeight="1">
      <c r="A803" s="265"/>
      <c r="B803" s="266"/>
      <c r="C803" s="263"/>
      <c r="D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  <c r="AA803" s="263"/>
      <c r="AB803" s="263"/>
    </row>
    <row r="804" ht="21.0" customHeight="1">
      <c r="A804" s="265"/>
      <c r="B804" s="266"/>
      <c r="C804" s="263"/>
      <c r="D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  <c r="AA804" s="263"/>
      <c r="AB804" s="263"/>
    </row>
    <row r="805" ht="21.0" customHeight="1">
      <c r="A805" s="265"/>
      <c r="B805" s="266"/>
      <c r="C805" s="263"/>
      <c r="D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  <c r="AA805" s="263"/>
      <c r="AB805" s="263"/>
    </row>
    <row r="806" ht="21.0" customHeight="1">
      <c r="A806" s="265"/>
      <c r="B806" s="266"/>
      <c r="C806" s="263"/>
      <c r="D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  <c r="AA806" s="263"/>
      <c r="AB806" s="263"/>
    </row>
    <row r="807" ht="21.0" customHeight="1">
      <c r="A807" s="265"/>
      <c r="B807" s="266"/>
      <c r="C807" s="263"/>
      <c r="D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  <c r="AA807" s="263"/>
      <c r="AB807" s="263"/>
    </row>
    <row r="808" ht="21.0" customHeight="1">
      <c r="A808" s="265"/>
      <c r="B808" s="266"/>
      <c r="C808" s="263"/>
      <c r="D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  <c r="AA808" s="263"/>
      <c r="AB808" s="263"/>
    </row>
    <row r="809" ht="21.0" customHeight="1">
      <c r="A809" s="265"/>
      <c r="B809" s="266"/>
      <c r="C809" s="263"/>
      <c r="D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  <c r="AA809" s="263"/>
      <c r="AB809" s="263"/>
    </row>
    <row r="810" ht="21.0" customHeight="1">
      <c r="A810" s="265"/>
      <c r="B810" s="266"/>
      <c r="C810" s="263"/>
      <c r="D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  <c r="AA810" s="263"/>
      <c r="AB810" s="263"/>
    </row>
    <row r="811" ht="21.0" customHeight="1">
      <c r="A811" s="265"/>
      <c r="B811" s="266"/>
      <c r="C811" s="263"/>
      <c r="D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  <c r="AA811" s="263"/>
      <c r="AB811" s="263"/>
    </row>
    <row r="812" ht="21.0" customHeight="1">
      <c r="A812" s="265"/>
      <c r="B812" s="266"/>
      <c r="C812" s="263"/>
      <c r="D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  <c r="AA812" s="263"/>
      <c r="AB812" s="263"/>
    </row>
    <row r="813" ht="21.0" customHeight="1">
      <c r="A813" s="265"/>
      <c r="B813" s="266"/>
      <c r="C813" s="263"/>
      <c r="D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  <c r="AA813" s="263"/>
      <c r="AB813" s="263"/>
    </row>
    <row r="814" ht="21.0" customHeight="1">
      <c r="A814" s="265"/>
      <c r="B814" s="266"/>
      <c r="C814" s="263"/>
      <c r="D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  <c r="AA814" s="263"/>
      <c r="AB814" s="263"/>
    </row>
    <row r="815" ht="21.0" customHeight="1">
      <c r="A815" s="265"/>
      <c r="B815" s="266"/>
      <c r="C815" s="263"/>
      <c r="D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  <c r="AA815" s="263"/>
      <c r="AB815" s="263"/>
    </row>
    <row r="816" ht="21.0" customHeight="1">
      <c r="A816" s="265"/>
      <c r="B816" s="266"/>
      <c r="C816" s="263"/>
      <c r="D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  <c r="AA816" s="263"/>
      <c r="AB816" s="263"/>
    </row>
    <row r="817" ht="21.0" customHeight="1">
      <c r="A817" s="265"/>
      <c r="B817" s="266"/>
      <c r="C817" s="263"/>
      <c r="D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  <c r="AA817" s="263"/>
      <c r="AB817" s="263"/>
    </row>
    <row r="818" ht="21.0" customHeight="1">
      <c r="A818" s="265"/>
      <c r="B818" s="266"/>
      <c r="C818" s="263"/>
      <c r="D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  <c r="AB818" s="263"/>
    </row>
    <row r="819" ht="21.0" customHeight="1">
      <c r="A819" s="265"/>
      <c r="B819" s="266"/>
      <c r="C819" s="263"/>
      <c r="D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  <c r="AA819" s="263"/>
      <c r="AB819" s="263"/>
    </row>
    <row r="820" ht="21.0" customHeight="1">
      <c r="A820" s="265"/>
      <c r="B820" s="266"/>
      <c r="C820" s="263"/>
      <c r="D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  <c r="AA820" s="263"/>
      <c r="AB820" s="263"/>
    </row>
    <row r="821" ht="21.0" customHeight="1">
      <c r="A821" s="265"/>
      <c r="B821" s="266"/>
      <c r="C821" s="263"/>
      <c r="D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  <c r="AA821" s="263"/>
      <c r="AB821" s="263"/>
    </row>
    <row r="822" ht="21.0" customHeight="1">
      <c r="A822" s="265"/>
      <c r="B822" s="266"/>
      <c r="C822" s="263"/>
      <c r="D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  <c r="AA822" s="263"/>
      <c r="AB822" s="263"/>
    </row>
    <row r="823" ht="21.0" customHeight="1">
      <c r="A823" s="265"/>
      <c r="B823" s="266"/>
      <c r="C823" s="263"/>
      <c r="D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  <c r="W823" s="263"/>
      <c r="X823" s="263"/>
      <c r="Y823" s="263"/>
      <c r="Z823" s="263"/>
      <c r="AA823" s="263"/>
      <c r="AB823" s="263"/>
    </row>
    <row r="824" ht="21.0" customHeight="1">
      <c r="A824" s="265"/>
      <c r="B824" s="266"/>
      <c r="C824" s="263"/>
      <c r="D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  <c r="W824" s="263"/>
      <c r="X824" s="263"/>
      <c r="Y824" s="263"/>
      <c r="Z824" s="263"/>
      <c r="AA824" s="263"/>
      <c r="AB824" s="263"/>
    </row>
    <row r="825" ht="21.0" customHeight="1">
      <c r="A825" s="265"/>
      <c r="B825" s="266"/>
      <c r="C825" s="263"/>
      <c r="D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  <c r="W825" s="263"/>
      <c r="X825" s="263"/>
      <c r="Y825" s="263"/>
      <c r="Z825" s="263"/>
      <c r="AA825" s="263"/>
      <c r="AB825" s="263"/>
    </row>
    <row r="826" ht="21.0" customHeight="1">
      <c r="A826" s="265"/>
      <c r="B826" s="266"/>
      <c r="C826" s="263"/>
      <c r="D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  <c r="W826" s="263"/>
      <c r="X826" s="263"/>
      <c r="Y826" s="263"/>
      <c r="Z826" s="263"/>
      <c r="AA826" s="263"/>
      <c r="AB826" s="263"/>
    </row>
    <row r="827" ht="21.0" customHeight="1">
      <c r="A827" s="265"/>
      <c r="B827" s="266"/>
      <c r="C827" s="263"/>
      <c r="D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  <c r="W827" s="263"/>
      <c r="X827" s="263"/>
      <c r="Y827" s="263"/>
      <c r="Z827" s="263"/>
      <c r="AA827" s="263"/>
      <c r="AB827" s="263"/>
    </row>
    <row r="828" ht="21.0" customHeight="1">
      <c r="A828" s="265"/>
      <c r="B828" s="266"/>
      <c r="C828" s="263"/>
      <c r="D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  <c r="W828" s="263"/>
      <c r="X828" s="263"/>
      <c r="Y828" s="263"/>
      <c r="Z828" s="263"/>
      <c r="AA828" s="263"/>
      <c r="AB828" s="263"/>
    </row>
    <row r="829" ht="21.0" customHeight="1">
      <c r="A829" s="265"/>
      <c r="B829" s="266"/>
      <c r="C829" s="263"/>
      <c r="D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  <c r="W829" s="263"/>
      <c r="X829" s="263"/>
      <c r="Y829" s="263"/>
      <c r="Z829" s="263"/>
      <c r="AA829" s="263"/>
      <c r="AB829" s="263"/>
    </row>
    <row r="830" ht="21.0" customHeight="1">
      <c r="A830" s="265"/>
      <c r="B830" s="266"/>
      <c r="C830" s="263"/>
      <c r="D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  <c r="W830" s="263"/>
      <c r="X830" s="263"/>
      <c r="Y830" s="263"/>
      <c r="Z830" s="263"/>
      <c r="AA830" s="263"/>
      <c r="AB830" s="263"/>
    </row>
    <row r="831" ht="21.0" customHeight="1">
      <c r="A831" s="265"/>
      <c r="B831" s="266"/>
      <c r="C831" s="263"/>
      <c r="D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  <c r="W831" s="263"/>
      <c r="X831" s="263"/>
      <c r="Y831" s="263"/>
      <c r="Z831" s="263"/>
      <c r="AA831" s="263"/>
      <c r="AB831" s="263"/>
    </row>
    <row r="832" ht="21.0" customHeight="1">
      <c r="A832" s="265"/>
      <c r="B832" s="266"/>
      <c r="C832" s="263"/>
      <c r="D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  <c r="W832" s="263"/>
      <c r="X832" s="263"/>
      <c r="Y832" s="263"/>
      <c r="Z832" s="263"/>
      <c r="AA832" s="263"/>
      <c r="AB832" s="263"/>
    </row>
    <row r="833" ht="21.0" customHeight="1">
      <c r="A833" s="265"/>
      <c r="B833" s="266"/>
      <c r="C833" s="263"/>
      <c r="D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  <c r="W833" s="263"/>
      <c r="X833" s="263"/>
      <c r="Y833" s="263"/>
      <c r="Z833" s="263"/>
      <c r="AA833" s="263"/>
      <c r="AB833" s="263"/>
    </row>
    <row r="834" ht="21.0" customHeight="1">
      <c r="A834" s="265"/>
      <c r="B834" s="266"/>
      <c r="C834" s="263"/>
      <c r="D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  <c r="W834" s="263"/>
      <c r="X834" s="263"/>
      <c r="Y834" s="263"/>
      <c r="Z834" s="263"/>
      <c r="AA834" s="263"/>
      <c r="AB834" s="263"/>
    </row>
    <row r="835" ht="21.0" customHeight="1">
      <c r="A835" s="265"/>
      <c r="B835" s="266"/>
      <c r="C835" s="263"/>
      <c r="D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  <c r="W835" s="263"/>
      <c r="X835" s="263"/>
      <c r="Y835" s="263"/>
      <c r="Z835" s="263"/>
      <c r="AA835" s="263"/>
      <c r="AB835" s="263"/>
    </row>
    <row r="836" ht="21.0" customHeight="1">
      <c r="A836" s="265"/>
      <c r="B836" s="266"/>
      <c r="C836" s="263"/>
      <c r="D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  <c r="W836" s="263"/>
      <c r="X836" s="263"/>
      <c r="Y836" s="263"/>
      <c r="Z836" s="263"/>
      <c r="AA836" s="263"/>
      <c r="AB836" s="263"/>
    </row>
    <row r="837" ht="21.0" customHeight="1">
      <c r="A837" s="265"/>
      <c r="B837" s="266"/>
      <c r="C837" s="263"/>
      <c r="D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  <c r="W837" s="263"/>
      <c r="X837" s="263"/>
      <c r="Y837" s="263"/>
      <c r="Z837" s="263"/>
      <c r="AA837" s="263"/>
      <c r="AB837" s="263"/>
    </row>
    <row r="838" ht="21.0" customHeight="1">
      <c r="A838" s="265"/>
      <c r="B838" s="266"/>
      <c r="C838" s="263"/>
      <c r="D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  <c r="W838" s="263"/>
      <c r="X838" s="263"/>
      <c r="Y838" s="263"/>
      <c r="Z838" s="263"/>
      <c r="AA838" s="263"/>
      <c r="AB838" s="263"/>
    </row>
    <row r="839" ht="21.0" customHeight="1">
      <c r="A839" s="265"/>
      <c r="B839" s="266"/>
      <c r="C839" s="263"/>
      <c r="D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  <c r="W839" s="263"/>
      <c r="X839" s="263"/>
      <c r="Y839" s="263"/>
      <c r="Z839" s="263"/>
      <c r="AA839" s="263"/>
      <c r="AB839" s="263"/>
    </row>
    <row r="840" ht="21.0" customHeight="1">
      <c r="A840" s="265"/>
      <c r="B840" s="266"/>
      <c r="C840" s="263"/>
      <c r="D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  <c r="W840" s="263"/>
      <c r="X840" s="263"/>
      <c r="Y840" s="263"/>
      <c r="Z840" s="263"/>
      <c r="AA840" s="263"/>
      <c r="AB840" s="263"/>
    </row>
    <row r="841" ht="21.0" customHeight="1">
      <c r="A841" s="265"/>
      <c r="B841" s="266"/>
      <c r="C841" s="263"/>
      <c r="D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  <c r="W841" s="263"/>
      <c r="X841" s="263"/>
      <c r="Y841" s="263"/>
      <c r="Z841" s="263"/>
      <c r="AA841" s="263"/>
      <c r="AB841" s="263"/>
    </row>
    <row r="842" ht="21.0" customHeight="1">
      <c r="A842" s="265"/>
      <c r="B842" s="266"/>
      <c r="C842" s="263"/>
      <c r="D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  <c r="W842" s="263"/>
      <c r="X842" s="263"/>
      <c r="Y842" s="263"/>
      <c r="Z842" s="263"/>
      <c r="AA842" s="263"/>
      <c r="AB842" s="263"/>
    </row>
    <row r="843" ht="21.0" customHeight="1">
      <c r="A843" s="265"/>
      <c r="B843" s="266"/>
      <c r="C843" s="263"/>
      <c r="D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  <c r="W843" s="263"/>
      <c r="X843" s="263"/>
      <c r="Y843" s="263"/>
      <c r="Z843" s="263"/>
      <c r="AA843" s="263"/>
      <c r="AB843" s="263"/>
    </row>
    <row r="844" ht="21.0" customHeight="1">
      <c r="A844" s="265"/>
      <c r="B844" s="266"/>
      <c r="C844" s="263"/>
      <c r="D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  <c r="AA844" s="263"/>
      <c r="AB844" s="263"/>
    </row>
    <row r="845" ht="21.0" customHeight="1">
      <c r="A845" s="265"/>
      <c r="B845" s="266"/>
      <c r="C845" s="263"/>
      <c r="D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  <c r="W845" s="263"/>
      <c r="X845" s="263"/>
      <c r="Y845" s="263"/>
      <c r="Z845" s="263"/>
      <c r="AA845" s="263"/>
      <c r="AB845" s="263"/>
    </row>
    <row r="846" ht="21.0" customHeight="1">
      <c r="A846" s="265"/>
      <c r="B846" s="266"/>
      <c r="C846" s="263"/>
      <c r="D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  <c r="W846" s="263"/>
      <c r="X846" s="263"/>
      <c r="Y846" s="263"/>
      <c r="Z846" s="263"/>
      <c r="AA846" s="263"/>
      <c r="AB846" s="263"/>
    </row>
    <row r="847" ht="21.0" customHeight="1">
      <c r="A847" s="265"/>
      <c r="B847" s="266"/>
      <c r="C847" s="263"/>
      <c r="D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  <c r="W847" s="263"/>
      <c r="X847" s="263"/>
      <c r="Y847" s="263"/>
      <c r="Z847" s="263"/>
      <c r="AA847" s="263"/>
      <c r="AB847" s="263"/>
    </row>
    <row r="848" ht="21.0" customHeight="1">
      <c r="A848" s="265"/>
      <c r="B848" s="266"/>
      <c r="C848" s="263"/>
      <c r="D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  <c r="W848" s="263"/>
      <c r="X848" s="263"/>
      <c r="Y848" s="263"/>
      <c r="Z848" s="263"/>
      <c r="AA848" s="263"/>
      <c r="AB848" s="263"/>
    </row>
    <row r="849" ht="21.0" customHeight="1">
      <c r="A849" s="265"/>
      <c r="B849" s="266"/>
      <c r="C849" s="263"/>
      <c r="D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  <c r="W849" s="263"/>
      <c r="X849" s="263"/>
      <c r="Y849" s="263"/>
      <c r="Z849" s="263"/>
      <c r="AA849" s="263"/>
      <c r="AB849" s="263"/>
    </row>
    <row r="850" ht="21.0" customHeight="1">
      <c r="A850" s="265"/>
      <c r="B850" s="266"/>
      <c r="C850" s="263"/>
      <c r="D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  <c r="W850" s="263"/>
      <c r="X850" s="263"/>
      <c r="Y850" s="263"/>
      <c r="Z850" s="263"/>
      <c r="AA850" s="263"/>
      <c r="AB850" s="263"/>
    </row>
    <row r="851" ht="21.0" customHeight="1">
      <c r="A851" s="265"/>
      <c r="B851" s="266"/>
      <c r="C851" s="263"/>
      <c r="D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  <c r="W851" s="263"/>
      <c r="X851" s="263"/>
      <c r="Y851" s="263"/>
      <c r="Z851" s="263"/>
      <c r="AA851" s="263"/>
      <c r="AB851" s="263"/>
    </row>
    <row r="852" ht="21.0" customHeight="1">
      <c r="A852" s="265"/>
      <c r="B852" s="266"/>
      <c r="C852" s="263"/>
      <c r="D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  <c r="W852" s="263"/>
      <c r="X852" s="263"/>
      <c r="Y852" s="263"/>
      <c r="Z852" s="263"/>
      <c r="AA852" s="263"/>
      <c r="AB852" s="263"/>
    </row>
    <row r="853" ht="21.0" customHeight="1">
      <c r="A853" s="265"/>
      <c r="B853" s="266"/>
      <c r="C853" s="263"/>
      <c r="D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  <c r="W853" s="263"/>
      <c r="X853" s="263"/>
      <c r="Y853" s="263"/>
      <c r="Z853" s="263"/>
      <c r="AA853" s="263"/>
      <c r="AB853" s="263"/>
    </row>
    <row r="854" ht="21.0" customHeight="1">
      <c r="A854" s="265"/>
      <c r="B854" s="266"/>
      <c r="C854" s="263"/>
      <c r="D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  <c r="W854" s="263"/>
      <c r="X854" s="263"/>
      <c r="Y854" s="263"/>
      <c r="Z854" s="263"/>
      <c r="AA854" s="263"/>
      <c r="AB854" s="263"/>
    </row>
    <row r="855" ht="21.0" customHeight="1">
      <c r="A855" s="265"/>
      <c r="B855" s="266"/>
      <c r="C855" s="263"/>
      <c r="D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  <c r="W855" s="263"/>
      <c r="X855" s="263"/>
      <c r="Y855" s="263"/>
      <c r="Z855" s="263"/>
      <c r="AA855" s="263"/>
      <c r="AB855" s="263"/>
    </row>
    <row r="856" ht="21.0" customHeight="1">
      <c r="A856" s="265"/>
      <c r="B856" s="266"/>
      <c r="C856" s="263"/>
      <c r="D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  <c r="W856" s="263"/>
      <c r="X856" s="263"/>
      <c r="Y856" s="263"/>
      <c r="Z856" s="263"/>
      <c r="AA856" s="263"/>
      <c r="AB856" s="263"/>
    </row>
    <row r="857" ht="21.0" customHeight="1">
      <c r="A857" s="265"/>
      <c r="B857" s="266"/>
      <c r="C857" s="263"/>
      <c r="D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  <c r="W857" s="263"/>
      <c r="X857" s="263"/>
      <c r="Y857" s="263"/>
      <c r="Z857" s="263"/>
      <c r="AA857" s="263"/>
      <c r="AB857" s="263"/>
    </row>
    <row r="858" ht="21.0" customHeight="1">
      <c r="A858" s="265"/>
      <c r="B858" s="266"/>
      <c r="C858" s="263"/>
      <c r="D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  <c r="W858" s="263"/>
      <c r="X858" s="263"/>
      <c r="Y858" s="263"/>
      <c r="Z858" s="263"/>
      <c r="AA858" s="263"/>
      <c r="AB858" s="263"/>
    </row>
    <row r="859" ht="21.0" customHeight="1">
      <c r="A859" s="265"/>
      <c r="B859" s="266"/>
      <c r="C859" s="263"/>
      <c r="D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  <c r="W859" s="263"/>
      <c r="X859" s="263"/>
      <c r="Y859" s="263"/>
      <c r="Z859" s="263"/>
      <c r="AA859" s="263"/>
      <c r="AB859" s="263"/>
    </row>
    <row r="860" ht="21.0" customHeight="1">
      <c r="A860" s="265"/>
      <c r="B860" s="266"/>
      <c r="C860" s="263"/>
      <c r="D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  <c r="W860" s="263"/>
      <c r="X860" s="263"/>
      <c r="Y860" s="263"/>
      <c r="Z860" s="263"/>
      <c r="AA860" s="263"/>
      <c r="AB860" s="263"/>
    </row>
    <row r="861" ht="21.0" customHeight="1">
      <c r="A861" s="265"/>
      <c r="B861" s="266"/>
      <c r="C861" s="263"/>
      <c r="D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  <c r="W861" s="263"/>
      <c r="X861" s="263"/>
      <c r="Y861" s="263"/>
      <c r="Z861" s="263"/>
      <c r="AA861" s="263"/>
      <c r="AB861" s="263"/>
    </row>
    <row r="862" ht="21.0" customHeight="1">
      <c r="A862" s="265"/>
      <c r="B862" s="266"/>
      <c r="C862" s="263"/>
      <c r="D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  <c r="W862" s="263"/>
      <c r="X862" s="263"/>
      <c r="Y862" s="263"/>
      <c r="Z862" s="263"/>
      <c r="AA862" s="263"/>
      <c r="AB862" s="263"/>
    </row>
    <row r="863" ht="21.0" customHeight="1">
      <c r="A863" s="265"/>
      <c r="B863" s="266"/>
      <c r="C863" s="263"/>
      <c r="D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  <c r="W863" s="263"/>
      <c r="X863" s="263"/>
      <c r="Y863" s="263"/>
      <c r="Z863" s="263"/>
      <c r="AA863" s="263"/>
      <c r="AB863" s="263"/>
    </row>
    <row r="864" ht="21.0" customHeight="1">
      <c r="A864" s="265"/>
      <c r="B864" s="266"/>
      <c r="C864" s="263"/>
      <c r="D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  <c r="W864" s="263"/>
      <c r="X864" s="263"/>
      <c r="Y864" s="263"/>
      <c r="Z864" s="263"/>
      <c r="AA864" s="263"/>
      <c r="AB864" s="263"/>
    </row>
    <row r="865" ht="21.0" customHeight="1">
      <c r="A865" s="265"/>
      <c r="B865" s="266"/>
      <c r="C865" s="263"/>
      <c r="D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  <c r="AB865" s="263"/>
    </row>
    <row r="866" ht="21.0" customHeight="1">
      <c r="A866" s="265"/>
      <c r="B866" s="266"/>
      <c r="C866" s="263"/>
      <c r="D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  <c r="W866" s="263"/>
      <c r="X866" s="263"/>
      <c r="Y866" s="263"/>
      <c r="Z866" s="263"/>
      <c r="AA866" s="263"/>
      <c r="AB866" s="263"/>
    </row>
    <row r="867" ht="21.0" customHeight="1">
      <c r="A867" s="265"/>
      <c r="B867" s="266"/>
      <c r="C867" s="263"/>
      <c r="D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  <c r="W867" s="263"/>
      <c r="X867" s="263"/>
      <c r="Y867" s="263"/>
      <c r="Z867" s="263"/>
      <c r="AA867" s="263"/>
      <c r="AB867" s="263"/>
    </row>
    <row r="868" ht="21.0" customHeight="1">
      <c r="A868" s="265"/>
      <c r="B868" s="266"/>
      <c r="C868" s="263"/>
      <c r="D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  <c r="W868" s="263"/>
      <c r="X868" s="263"/>
      <c r="Y868" s="263"/>
      <c r="Z868" s="263"/>
      <c r="AA868" s="263"/>
      <c r="AB868" s="263"/>
    </row>
    <row r="869" ht="21.0" customHeight="1">
      <c r="A869" s="265"/>
      <c r="B869" s="266"/>
      <c r="C869" s="263"/>
      <c r="D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  <c r="W869" s="263"/>
      <c r="X869" s="263"/>
      <c r="Y869" s="263"/>
      <c r="Z869" s="263"/>
      <c r="AA869" s="263"/>
      <c r="AB869" s="263"/>
    </row>
    <row r="870" ht="21.0" customHeight="1">
      <c r="A870" s="265"/>
      <c r="B870" s="266"/>
      <c r="C870" s="263"/>
      <c r="D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  <c r="W870" s="263"/>
      <c r="X870" s="263"/>
      <c r="Y870" s="263"/>
      <c r="Z870" s="263"/>
      <c r="AA870" s="263"/>
      <c r="AB870" s="263"/>
    </row>
    <row r="871" ht="21.0" customHeight="1">
      <c r="A871" s="265"/>
      <c r="B871" s="266"/>
      <c r="C871" s="263"/>
      <c r="D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  <c r="W871" s="263"/>
      <c r="X871" s="263"/>
      <c r="Y871" s="263"/>
      <c r="Z871" s="263"/>
      <c r="AA871" s="263"/>
      <c r="AB871" s="263"/>
    </row>
    <row r="872" ht="21.0" customHeight="1">
      <c r="A872" s="265"/>
      <c r="B872" s="266"/>
      <c r="C872" s="263"/>
      <c r="D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  <c r="W872" s="263"/>
      <c r="X872" s="263"/>
      <c r="Y872" s="263"/>
      <c r="Z872" s="263"/>
      <c r="AA872" s="263"/>
      <c r="AB872" s="263"/>
    </row>
    <row r="873" ht="21.0" customHeight="1">
      <c r="A873" s="265"/>
      <c r="B873" s="266"/>
      <c r="C873" s="263"/>
      <c r="D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  <c r="W873" s="263"/>
      <c r="X873" s="263"/>
      <c r="Y873" s="263"/>
      <c r="Z873" s="263"/>
      <c r="AA873" s="263"/>
      <c r="AB873" s="263"/>
    </row>
    <row r="874" ht="21.0" customHeight="1">
      <c r="A874" s="265"/>
      <c r="B874" s="266"/>
      <c r="C874" s="263"/>
      <c r="D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  <c r="W874" s="263"/>
      <c r="X874" s="263"/>
      <c r="Y874" s="263"/>
      <c r="Z874" s="263"/>
      <c r="AA874" s="263"/>
      <c r="AB874" s="263"/>
    </row>
    <row r="875" ht="21.0" customHeight="1">
      <c r="A875" s="265"/>
      <c r="B875" s="266"/>
      <c r="C875" s="263"/>
      <c r="D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  <c r="W875" s="263"/>
      <c r="X875" s="263"/>
      <c r="Y875" s="263"/>
      <c r="Z875" s="263"/>
      <c r="AA875" s="263"/>
      <c r="AB875" s="263"/>
    </row>
    <row r="876" ht="21.0" customHeight="1">
      <c r="A876" s="265"/>
      <c r="B876" s="266"/>
      <c r="C876" s="263"/>
      <c r="D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  <c r="W876" s="263"/>
      <c r="X876" s="263"/>
      <c r="Y876" s="263"/>
      <c r="Z876" s="263"/>
      <c r="AA876" s="263"/>
      <c r="AB876" s="263"/>
    </row>
    <row r="877" ht="21.0" customHeight="1">
      <c r="A877" s="265"/>
      <c r="B877" s="266"/>
      <c r="C877" s="263"/>
      <c r="D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  <c r="W877" s="263"/>
      <c r="X877" s="263"/>
      <c r="Y877" s="263"/>
      <c r="Z877" s="263"/>
      <c r="AA877" s="263"/>
      <c r="AB877" s="263"/>
    </row>
    <row r="878" ht="21.0" customHeight="1">
      <c r="A878" s="265"/>
      <c r="B878" s="266"/>
      <c r="C878" s="263"/>
      <c r="D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  <c r="W878" s="263"/>
      <c r="X878" s="263"/>
      <c r="Y878" s="263"/>
      <c r="Z878" s="263"/>
      <c r="AA878" s="263"/>
      <c r="AB878" s="263"/>
    </row>
    <row r="879" ht="21.0" customHeight="1">
      <c r="A879" s="265"/>
      <c r="B879" s="266"/>
      <c r="C879" s="263"/>
      <c r="D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  <c r="W879" s="263"/>
      <c r="X879" s="263"/>
      <c r="Y879" s="263"/>
      <c r="Z879" s="263"/>
      <c r="AA879" s="263"/>
      <c r="AB879" s="263"/>
    </row>
    <row r="880" ht="21.0" customHeight="1">
      <c r="A880" s="265"/>
      <c r="B880" s="266"/>
      <c r="C880" s="263"/>
      <c r="D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  <c r="W880" s="263"/>
      <c r="X880" s="263"/>
      <c r="Y880" s="263"/>
      <c r="Z880" s="263"/>
      <c r="AA880" s="263"/>
      <c r="AB880" s="263"/>
    </row>
    <row r="881" ht="21.0" customHeight="1">
      <c r="A881" s="265"/>
      <c r="B881" s="266"/>
      <c r="C881" s="263"/>
      <c r="D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  <c r="W881" s="263"/>
      <c r="X881" s="263"/>
      <c r="Y881" s="263"/>
      <c r="Z881" s="263"/>
      <c r="AA881" s="263"/>
      <c r="AB881" s="263"/>
    </row>
    <row r="882" ht="21.0" customHeight="1">
      <c r="A882" s="265"/>
      <c r="B882" s="266"/>
      <c r="C882" s="263"/>
      <c r="D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  <c r="W882" s="263"/>
      <c r="X882" s="263"/>
      <c r="Y882" s="263"/>
      <c r="Z882" s="263"/>
      <c r="AA882" s="263"/>
      <c r="AB882" s="263"/>
    </row>
    <row r="883" ht="21.0" customHeight="1">
      <c r="A883" s="265"/>
      <c r="B883" s="266"/>
      <c r="C883" s="263"/>
      <c r="D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  <c r="W883" s="263"/>
      <c r="X883" s="263"/>
      <c r="Y883" s="263"/>
      <c r="Z883" s="263"/>
      <c r="AA883" s="263"/>
      <c r="AB883" s="263"/>
    </row>
    <row r="884" ht="21.0" customHeight="1">
      <c r="A884" s="265"/>
      <c r="B884" s="266"/>
      <c r="C884" s="263"/>
      <c r="D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  <c r="W884" s="263"/>
      <c r="X884" s="263"/>
      <c r="Y884" s="263"/>
      <c r="Z884" s="263"/>
      <c r="AA884" s="263"/>
      <c r="AB884" s="263"/>
    </row>
    <row r="885" ht="21.0" customHeight="1">
      <c r="A885" s="265"/>
      <c r="B885" s="266"/>
      <c r="C885" s="263"/>
      <c r="D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  <c r="W885" s="263"/>
      <c r="X885" s="263"/>
      <c r="Y885" s="263"/>
      <c r="Z885" s="263"/>
      <c r="AA885" s="263"/>
      <c r="AB885" s="263"/>
    </row>
    <row r="886" ht="21.0" customHeight="1">
      <c r="A886" s="265"/>
      <c r="B886" s="266"/>
      <c r="C886" s="263"/>
      <c r="D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  <c r="W886" s="263"/>
      <c r="X886" s="263"/>
      <c r="Y886" s="263"/>
      <c r="Z886" s="263"/>
      <c r="AA886" s="263"/>
      <c r="AB886" s="263"/>
    </row>
    <row r="887" ht="21.0" customHeight="1">
      <c r="A887" s="265"/>
      <c r="B887" s="266"/>
      <c r="C887" s="263"/>
      <c r="D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  <c r="W887" s="263"/>
      <c r="X887" s="263"/>
      <c r="Y887" s="263"/>
      <c r="Z887" s="263"/>
      <c r="AA887" s="263"/>
      <c r="AB887" s="263"/>
    </row>
    <row r="888" ht="21.0" customHeight="1">
      <c r="A888" s="265"/>
      <c r="B888" s="266"/>
      <c r="C888" s="263"/>
      <c r="D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  <c r="W888" s="263"/>
      <c r="X888" s="263"/>
      <c r="Y888" s="263"/>
      <c r="Z888" s="263"/>
      <c r="AA888" s="263"/>
      <c r="AB888" s="263"/>
    </row>
    <row r="889" ht="21.0" customHeight="1">
      <c r="A889" s="265"/>
      <c r="B889" s="266"/>
      <c r="C889" s="263"/>
      <c r="D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  <c r="W889" s="263"/>
      <c r="X889" s="263"/>
      <c r="Y889" s="263"/>
      <c r="Z889" s="263"/>
      <c r="AA889" s="263"/>
      <c r="AB889" s="263"/>
    </row>
    <row r="890" ht="21.0" customHeight="1">
      <c r="A890" s="265"/>
      <c r="B890" s="266"/>
      <c r="C890" s="263"/>
      <c r="D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  <c r="W890" s="263"/>
      <c r="X890" s="263"/>
      <c r="Y890" s="263"/>
      <c r="Z890" s="263"/>
      <c r="AA890" s="263"/>
      <c r="AB890" s="263"/>
    </row>
    <row r="891" ht="21.0" customHeight="1">
      <c r="A891" s="265"/>
      <c r="B891" s="266"/>
      <c r="C891" s="263"/>
      <c r="D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  <c r="W891" s="263"/>
      <c r="X891" s="263"/>
      <c r="Y891" s="263"/>
      <c r="Z891" s="263"/>
      <c r="AA891" s="263"/>
      <c r="AB891" s="263"/>
    </row>
    <row r="892" ht="21.0" customHeight="1">
      <c r="A892" s="265"/>
      <c r="B892" s="266"/>
      <c r="C892" s="263"/>
      <c r="D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  <c r="W892" s="263"/>
      <c r="X892" s="263"/>
      <c r="Y892" s="263"/>
      <c r="Z892" s="263"/>
      <c r="AA892" s="263"/>
      <c r="AB892" s="263"/>
    </row>
    <row r="893" ht="21.0" customHeight="1">
      <c r="A893" s="265"/>
      <c r="B893" s="266"/>
      <c r="C893" s="263"/>
      <c r="D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  <c r="W893" s="263"/>
      <c r="X893" s="263"/>
      <c r="Y893" s="263"/>
      <c r="Z893" s="263"/>
      <c r="AA893" s="263"/>
      <c r="AB893" s="263"/>
    </row>
    <row r="894" ht="21.0" customHeight="1">
      <c r="A894" s="265"/>
      <c r="B894" s="266"/>
      <c r="C894" s="263"/>
      <c r="D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  <c r="W894" s="263"/>
      <c r="X894" s="263"/>
      <c r="Y894" s="263"/>
      <c r="Z894" s="263"/>
      <c r="AA894" s="263"/>
      <c r="AB894" s="263"/>
    </row>
    <row r="895" ht="21.0" customHeight="1">
      <c r="A895" s="265"/>
      <c r="B895" s="266"/>
      <c r="C895" s="263"/>
      <c r="D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  <c r="W895" s="263"/>
      <c r="X895" s="263"/>
      <c r="Y895" s="263"/>
      <c r="Z895" s="263"/>
      <c r="AA895" s="263"/>
      <c r="AB895" s="263"/>
    </row>
    <row r="896" ht="21.0" customHeight="1">
      <c r="A896" s="265"/>
      <c r="B896" s="266"/>
      <c r="C896" s="263"/>
      <c r="D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  <c r="W896" s="263"/>
      <c r="X896" s="263"/>
      <c r="Y896" s="263"/>
      <c r="Z896" s="263"/>
      <c r="AA896" s="263"/>
      <c r="AB896" s="263"/>
    </row>
    <row r="897" ht="21.0" customHeight="1">
      <c r="A897" s="265"/>
      <c r="B897" s="266"/>
      <c r="C897" s="263"/>
      <c r="D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  <c r="W897" s="263"/>
      <c r="X897" s="263"/>
      <c r="Y897" s="263"/>
      <c r="Z897" s="263"/>
      <c r="AA897" s="263"/>
      <c r="AB897" s="263"/>
    </row>
    <row r="898" ht="21.0" customHeight="1">
      <c r="A898" s="265"/>
      <c r="B898" s="266"/>
      <c r="C898" s="263"/>
      <c r="D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  <c r="W898" s="263"/>
      <c r="X898" s="263"/>
      <c r="Y898" s="263"/>
      <c r="Z898" s="263"/>
      <c r="AA898" s="263"/>
      <c r="AB898" s="263"/>
    </row>
    <row r="899" ht="21.0" customHeight="1">
      <c r="A899" s="265"/>
      <c r="B899" s="266"/>
      <c r="C899" s="263"/>
      <c r="D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  <c r="W899" s="263"/>
      <c r="X899" s="263"/>
      <c r="Y899" s="263"/>
      <c r="Z899" s="263"/>
      <c r="AA899" s="263"/>
      <c r="AB899" s="263"/>
    </row>
    <row r="900" ht="21.0" customHeight="1">
      <c r="A900" s="265"/>
      <c r="B900" s="266"/>
      <c r="C900" s="263"/>
      <c r="D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  <c r="W900" s="263"/>
      <c r="X900" s="263"/>
      <c r="Y900" s="263"/>
      <c r="Z900" s="263"/>
      <c r="AA900" s="263"/>
      <c r="AB900" s="263"/>
    </row>
    <row r="901" ht="21.0" customHeight="1">
      <c r="A901" s="265"/>
      <c r="B901" s="266"/>
      <c r="C901" s="263"/>
      <c r="D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  <c r="W901" s="263"/>
      <c r="X901" s="263"/>
      <c r="Y901" s="263"/>
      <c r="Z901" s="263"/>
      <c r="AA901" s="263"/>
      <c r="AB901" s="263"/>
    </row>
    <row r="902" ht="21.0" customHeight="1">
      <c r="A902" s="265"/>
      <c r="B902" s="266"/>
      <c r="C902" s="263"/>
      <c r="D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  <c r="W902" s="263"/>
      <c r="X902" s="263"/>
      <c r="Y902" s="263"/>
      <c r="Z902" s="263"/>
      <c r="AA902" s="263"/>
      <c r="AB902" s="263"/>
    </row>
    <row r="903" ht="21.0" customHeight="1">
      <c r="A903" s="265"/>
      <c r="B903" s="266"/>
      <c r="C903" s="263"/>
      <c r="D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  <c r="W903" s="263"/>
      <c r="X903" s="263"/>
      <c r="Y903" s="263"/>
      <c r="Z903" s="263"/>
      <c r="AA903" s="263"/>
      <c r="AB903" s="263"/>
    </row>
    <row r="904" ht="21.0" customHeight="1">
      <c r="A904" s="265"/>
      <c r="B904" s="266"/>
      <c r="C904" s="263"/>
      <c r="D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  <c r="W904" s="263"/>
      <c r="X904" s="263"/>
      <c r="Y904" s="263"/>
      <c r="Z904" s="263"/>
      <c r="AA904" s="263"/>
      <c r="AB904" s="263"/>
    </row>
    <row r="905" ht="21.0" customHeight="1">
      <c r="A905" s="265"/>
      <c r="B905" s="266"/>
      <c r="C905" s="263"/>
      <c r="D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  <c r="W905" s="263"/>
      <c r="X905" s="263"/>
      <c r="Y905" s="263"/>
      <c r="Z905" s="263"/>
      <c r="AA905" s="263"/>
      <c r="AB905" s="263"/>
    </row>
    <row r="906" ht="21.0" customHeight="1">
      <c r="A906" s="265"/>
      <c r="B906" s="266"/>
      <c r="C906" s="263"/>
      <c r="D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  <c r="W906" s="263"/>
      <c r="X906" s="263"/>
      <c r="Y906" s="263"/>
      <c r="Z906" s="263"/>
      <c r="AA906" s="263"/>
      <c r="AB906" s="263"/>
    </row>
    <row r="907" ht="21.0" customHeight="1">
      <c r="A907" s="265"/>
      <c r="B907" s="266"/>
      <c r="C907" s="263"/>
      <c r="D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  <c r="W907" s="263"/>
      <c r="X907" s="263"/>
      <c r="Y907" s="263"/>
      <c r="Z907" s="263"/>
      <c r="AA907" s="263"/>
      <c r="AB907" s="263"/>
    </row>
    <row r="908" ht="21.0" customHeight="1">
      <c r="A908" s="265"/>
      <c r="B908" s="266"/>
      <c r="C908" s="263"/>
      <c r="D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  <c r="W908" s="263"/>
      <c r="X908" s="263"/>
      <c r="Y908" s="263"/>
      <c r="Z908" s="263"/>
      <c r="AA908" s="263"/>
      <c r="AB908" s="263"/>
    </row>
    <row r="909" ht="21.0" customHeight="1">
      <c r="A909" s="265"/>
      <c r="B909" s="266"/>
      <c r="C909" s="263"/>
      <c r="D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  <c r="W909" s="263"/>
      <c r="X909" s="263"/>
      <c r="Y909" s="263"/>
      <c r="Z909" s="263"/>
      <c r="AA909" s="263"/>
      <c r="AB909" s="263"/>
    </row>
    <row r="910" ht="21.0" customHeight="1">
      <c r="A910" s="265"/>
      <c r="B910" s="266"/>
      <c r="C910" s="263"/>
      <c r="D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  <c r="W910" s="263"/>
      <c r="X910" s="263"/>
      <c r="Y910" s="263"/>
      <c r="Z910" s="263"/>
      <c r="AA910" s="263"/>
      <c r="AB910" s="263"/>
    </row>
    <row r="911" ht="21.0" customHeight="1">
      <c r="A911" s="265"/>
      <c r="B911" s="266"/>
      <c r="C911" s="263"/>
      <c r="D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  <c r="W911" s="263"/>
      <c r="X911" s="263"/>
      <c r="Y911" s="263"/>
      <c r="Z911" s="263"/>
      <c r="AA911" s="263"/>
      <c r="AB911" s="263"/>
    </row>
    <row r="912" ht="21.0" customHeight="1">
      <c r="A912" s="265"/>
      <c r="B912" s="266"/>
      <c r="C912" s="263"/>
      <c r="D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  <c r="W912" s="263"/>
      <c r="X912" s="263"/>
      <c r="Y912" s="263"/>
      <c r="Z912" s="263"/>
      <c r="AA912" s="263"/>
      <c r="AB912" s="263"/>
    </row>
    <row r="913" ht="21.0" customHeight="1">
      <c r="A913" s="265"/>
      <c r="B913" s="266"/>
      <c r="C913" s="263"/>
      <c r="D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  <c r="W913" s="263"/>
      <c r="X913" s="263"/>
      <c r="Y913" s="263"/>
      <c r="Z913" s="263"/>
      <c r="AA913" s="263"/>
      <c r="AB913" s="263"/>
    </row>
    <row r="914" ht="21.0" customHeight="1">
      <c r="A914" s="265"/>
      <c r="B914" s="266"/>
      <c r="C914" s="263"/>
      <c r="D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  <c r="W914" s="263"/>
      <c r="X914" s="263"/>
      <c r="Y914" s="263"/>
      <c r="Z914" s="263"/>
      <c r="AA914" s="263"/>
      <c r="AB914" s="263"/>
    </row>
    <row r="915" ht="21.0" customHeight="1">
      <c r="A915" s="265"/>
      <c r="B915" s="266"/>
      <c r="C915" s="263"/>
      <c r="D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  <c r="W915" s="263"/>
      <c r="X915" s="263"/>
      <c r="Y915" s="263"/>
      <c r="Z915" s="263"/>
      <c r="AA915" s="263"/>
      <c r="AB915" s="263"/>
    </row>
    <row r="916" ht="21.0" customHeight="1">
      <c r="A916" s="265"/>
      <c r="B916" s="266"/>
      <c r="C916" s="263"/>
      <c r="D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  <c r="W916" s="263"/>
      <c r="X916" s="263"/>
      <c r="Y916" s="263"/>
      <c r="Z916" s="263"/>
      <c r="AA916" s="263"/>
      <c r="AB916" s="263"/>
    </row>
    <row r="917" ht="21.0" customHeight="1">
      <c r="A917" s="265"/>
      <c r="B917" s="266"/>
      <c r="C917" s="263"/>
      <c r="D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  <c r="W917" s="263"/>
      <c r="X917" s="263"/>
      <c r="Y917" s="263"/>
      <c r="Z917" s="263"/>
      <c r="AA917" s="263"/>
      <c r="AB917" s="263"/>
    </row>
    <row r="918" ht="21.0" customHeight="1">
      <c r="A918" s="265"/>
      <c r="B918" s="266"/>
      <c r="C918" s="263"/>
      <c r="D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  <c r="W918" s="263"/>
      <c r="X918" s="263"/>
      <c r="Y918" s="263"/>
      <c r="Z918" s="263"/>
      <c r="AA918" s="263"/>
      <c r="AB918" s="263"/>
    </row>
    <row r="919" ht="21.0" customHeight="1">
      <c r="A919" s="265"/>
      <c r="B919" s="266"/>
      <c r="C919" s="263"/>
      <c r="D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  <c r="W919" s="263"/>
      <c r="X919" s="263"/>
      <c r="Y919" s="263"/>
      <c r="Z919" s="263"/>
      <c r="AA919" s="263"/>
      <c r="AB919" s="263"/>
    </row>
    <row r="920" ht="21.0" customHeight="1">
      <c r="A920" s="265"/>
      <c r="B920" s="266"/>
      <c r="C920" s="263"/>
      <c r="D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  <c r="W920" s="263"/>
      <c r="X920" s="263"/>
      <c r="Y920" s="263"/>
      <c r="Z920" s="263"/>
      <c r="AA920" s="263"/>
      <c r="AB920" s="263"/>
    </row>
    <row r="921" ht="21.0" customHeight="1">
      <c r="A921" s="265"/>
      <c r="B921" s="266"/>
      <c r="C921" s="263"/>
      <c r="D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  <c r="W921" s="263"/>
      <c r="X921" s="263"/>
      <c r="Y921" s="263"/>
      <c r="Z921" s="263"/>
      <c r="AA921" s="263"/>
      <c r="AB921" s="263"/>
    </row>
    <row r="922" ht="21.0" customHeight="1">
      <c r="A922" s="265"/>
      <c r="B922" s="266"/>
      <c r="C922" s="263"/>
      <c r="D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  <c r="W922" s="263"/>
      <c r="X922" s="263"/>
      <c r="Y922" s="263"/>
      <c r="Z922" s="263"/>
      <c r="AA922" s="263"/>
      <c r="AB922" s="263"/>
    </row>
    <row r="923" ht="21.0" customHeight="1">
      <c r="A923" s="265"/>
      <c r="B923" s="266"/>
      <c r="C923" s="263"/>
      <c r="D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  <c r="W923" s="263"/>
      <c r="X923" s="263"/>
      <c r="Y923" s="263"/>
      <c r="Z923" s="263"/>
      <c r="AA923" s="263"/>
      <c r="AB923" s="263"/>
    </row>
    <row r="924" ht="21.0" customHeight="1">
      <c r="A924" s="265"/>
      <c r="B924" s="266"/>
      <c r="C924" s="263"/>
      <c r="D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  <c r="W924" s="263"/>
      <c r="X924" s="263"/>
      <c r="Y924" s="263"/>
      <c r="Z924" s="263"/>
      <c r="AA924" s="263"/>
      <c r="AB924" s="263"/>
    </row>
    <row r="925" ht="21.0" customHeight="1">
      <c r="A925" s="265"/>
      <c r="B925" s="266"/>
      <c r="C925" s="263"/>
      <c r="D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  <c r="W925" s="263"/>
      <c r="X925" s="263"/>
      <c r="Y925" s="263"/>
      <c r="Z925" s="263"/>
      <c r="AA925" s="263"/>
      <c r="AB925" s="263"/>
    </row>
    <row r="926" ht="21.0" customHeight="1">
      <c r="A926" s="265"/>
      <c r="B926" s="266"/>
      <c r="C926" s="263"/>
      <c r="D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  <c r="W926" s="263"/>
      <c r="X926" s="263"/>
      <c r="Y926" s="263"/>
      <c r="Z926" s="263"/>
      <c r="AA926" s="263"/>
      <c r="AB926" s="263"/>
    </row>
    <row r="927" ht="21.0" customHeight="1">
      <c r="A927" s="265"/>
      <c r="B927" s="266"/>
      <c r="C927" s="263"/>
      <c r="D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  <c r="W927" s="263"/>
      <c r="X927" s="263"/>
      <c r="Y927" s="263"/>
      <c r="Z927" s="263"/>
      <c r="AA927" s="263"/>
      <c r="AB927" s="263"/>
    </row>
    <row r="928" ht="21.0" customHeight="1">
      <c r="A928" s="265"/>
      <c r="B928" s="266"/>
      <c r="C928" s="263"/>
      <c r="D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  <c r="W928" s="263"/>
      <c r="X928" s="263"/>
      <c r="Y928" s="263"/>
      <c r="Z928" s="263"/>
      <c r="AA928" s="263"/>
      <c r="AB928" s="263"/>
    </row>
    <row r="929" ht="21.0" customHeight="1">
      <c r="A929" s="265"/>
      <c r="B929" s="266"/>
      <c r="C929" s="263"/>
      <c r="D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  <c r="W929" s="263"/>
      <c r="X929" s="263"/>
      <c r="Y929" s="263"/>
      <c r="Z929" s="263"/>
      <c r="AA929" s="263"/>
      <c r="AB929" s="263"/>
    </row>
    <row r="930" ht="21.0" customHeight="1">
      <c r="A930" s="265"/>
      <c r="B930" s="266"/>
      <c r="C930" s="263"/>
      <c r="D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  <c r="W930" s="263"/>
      <c r="X930" s="263"/>
      <c r="Y930" s="263"/>
      <c r="Z930" s="263"/>
      <c r="AA930" s="263"/>
      <c r="AB930" s="263"/>
    </row>
    <row r="931" ht="21.0" customHeight="1">
      <c r="A931" s="265"/>
      <c r="B931" s="266"/>
      <c r="C931" s="263"/>
      <c r="D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  <c r="W931" s="263"/>
      <c r="X931" s="263"/>
      <c r="Y931" s="263"/>
      <c r="Z931" s="263"/>
      <c r="AA931" s="263"/>
      <c r="AB931" s="263"/>
    </row>
    <row r="932" ht="21.0" customHeight="1">
      <c r="A932" s="265"/>
      <c r="B932" s="266"/>
      <c r="C932" s="263"/>
      <c r="D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  <c r="W932" s="263"/>
      <c r="X932" s="263"/>
      <c r="Y932" s="263"/>
      <c r="Z932" s="263"/>
      <c r="AA932" s="263"/>
      <c r="AB932" s="263"/>
    </row>
    <row r="933" ht="21.0" customHeight="1">
      <c r="A933" s="265"/>
      <c r="B933" s="266"/>
      <c r="C933" s="263"/>
      <c r="D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  <c r="W933" s="263"/>
      <c r="X933" s="263"/>
      <c r="Y933" s="263"/>
      <c r="Z933" s="263"/>
      <c r="AA933" s="263"/>
      <c r="AB933" s="263"/>
    </row>
    <row r="934" ht="21.0" customHeight="1">
      <c r="A934" s="265"/>
      <c r="B934" s="266"/>
      <c r="C934" s="263"/>
      <c r="D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  <c r="W934" s="263"/>
      <c r="X934" s="263"/>
      <c r="Y934" s="263"/>
      <c r="Z934" s="263"/>
      <c r="AA934" s="263"/>
      <c r="AB934" s="263"/>
    </row>
    <row r="935" ht="21.0" customHeight="1">
      <c r="A935" s="265"/>
      <c r="B935" s="266"/>
      <c r="C935" s="263"/>
      <c r="D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  <c r="W935" s="263"/>
      <c r="X935" s="263"/>
      <c r="Y935" s="263"/>
      <c r="Z935" s="263"/>
      <c r="AA935" s="263"/>
      <c r="AB935" s="263"/>
    </row>
    <row r="936" ht="21.0" customHeight="1">
      <c r="A936" s="265"/>
      <c r="B936" s="266"/>
      <c r="C936" s="263"/>
      <c r="D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  <c r="W936" s="263"/>
      <c r="X936" s="263"/>
      <c r="Y936" s="263"/>
      <c r="Z936" s="263"/>
      <c r="AA936" s="263"/>
      <c r="AB936" s="263"/>
    </row>
    <row r="937" ht="21.0" customHeight="1">
      <c r="A937" s="265"/>
      <c r="B937" s="266"/>
      <c r="C937" s="263"/>
      <c r="D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  <c r="W937" s="263"/>
      <c r="X937" s="263"/>
      <c r="Y937" s="263"/>
      <c r="Z937" s="263"/>
      <c r="AA937" s="263"/>
      <c r="AB937" s="263"/>
    </row>
    <row r="938" ht="21.0" customHeight="1">
      <c r="A938" s="265"/>
      <c r="B938" s="266"/>
      <c r="C938" s="263"/>
      <c r="D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  <c r="W938" s="263"/>
      <c r="X938" s="263"/>
      <c r="Y938" s="263"/>
      <c r="Z938" s="263"/>
      <c r="AA938" s="263"/>
      <c r="AB938" s="263"/>
    </row>
    <row r="939" ht="21.0" customHeight="1">
      <c r="A939" s="265"/>
      <c r="B939" s="266"/>
      <c r="C939" s="263"/>
      <c r="D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  <c r="W939" s="263"/>
      <c r="X939" s="263"/>
      <c r="Y939" s="263"/>
      <c r="Z939" s="263"/>
      <c r="AA939" s="263"/>
      <c r="AB939" s="263"/>
    </row>
    <row r="940" ht="21.0" customHeight="1">
      <c r="A940" s="265"/>
      <c r="B940" s="266"/>
      <c r="C940" s="263"/>
      <c r="D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  <c r="W940" s="263"/>
      <c r="X940" s="263"/>
      <c r="Y940" s="263"/>
      <c r="Z940" s="263"/>
      <c r="AA940" s="263"/>
      <c r="AB940" s="263"/>
    </row>
    <row r="941" ht="21.0" customHeight="1">
      <c r="A941" s="265"/>
      <c r="B941" s="266"/>
      <c r="C941" s="263"/>
      <c r="D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  <c r="W941" s="263"/>
      <c r="X941" s="263"/>
      <c r="Y941" s="263"/>
      <c r="Z941" s="263"/>
      <c r="AA941" s="263"/>
      <c r="AB941" s="263"/>
    </row>
    <row r="942" ht="21.0" customHeight="1">
      <c r="A942" s="265"/>
      <c r="B942" s="266"/>
      <c r="C942" s="263"/>
      <c r="D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  <c r="W942" s="263"/>
      <c r="X942" s="263"/>
      <c r="Y942" s="263"/>
      <c r="Z942" s="263"/>
      <c r="AA942" s="263"/>
      <c r="AB942" s="263"/>
    </row>
    <row r="943" ht="21.0" customHeight="1">
      <c r="A943" s="265"/>
      <c r="B943" s="266"/>
      <c r="C943" s="263"/>
      <c r="D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  <c r="W943" s="263"/>
      <c r="X943" s="263"/>
      <c r="Y943" s="263"/>
      <c r="Z943" s="263"/>
      <c r="AA943" s="263"/>
      <c r="AB943" s="263"/>
    </row>
    <row r="944" ht="21.0" customHeight="1">
      <c r="A944" s="265"/>
      <c r="B944" s="266"/>
      <c r="C944" s="263"/>
      <c r="D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  <c r="W944" s="263"/>
      <c r="X944" s="263"/>
      <c r="Y944" s="263"/>
      <c r="Z944" s="263"/>
      <c r="AA944" s="263"/>
      <c r="AB944" s="263"/>
    </row>
    <row r="945" ht="21.0" customHeight="1">
      <c r="A945" s="265"/>
      <c r="B945" s="266"/>
      <c r="C945" s="263"/>
      <c r="D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  <c r="W945" s="263"/>
      <c r="X945" s="263"/>
      <c r="Y945" s="263"/>
      <c r="Z945" s="263"/>
      <c r="AA945" s="263"/>
      <c r="AB945" s="263"/>
    </row>
    <row r="946" ht="21.0" customHeight="1">
      <c r="A946" s="265"/>
      <c r="B946" s="266"/>
      <c r="C946" s="263"/>
      <c r="D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  <c r="W946" s="263"/>
      <c r="X946" s="263"/>
      <c r="Y946" s="263"/>
      <c r="Z946" s="263"/>
      <c r="AA946" s="263"/>
      <c r="AB946" s="263"/>
    </row>
    <row r="947" ht="21.0" customHeight="1">
      <c r="A947" s="265"/>
      <c r="B947" s="266"/>
      <c r="C947" s="263"/>
      <c r="D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  <c r="W947" s="263"/>
      <c r="X947" s="263"/>
      <c r="Y947" s="263"/>
      <c r="Z947" s="263"/>
      <c r="AA947" s="263"/>
      <c r="AB947" s="263"/>
    </row>
    <row r="948" ht="21.0" customHeight="1">
      <c r="A948" s="265"/>
      <c r="B948" s="266"/>
      <c r="C948" s="263"/>
      <c r="D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  <c r="W948" s="263"/>
      <c r="X948" s="263"/>
      <c r="Y948" s="263"/>
      <c r="Z948" s="263"/>
      <c r="AA948" s="263"/>
      <c r="AB948" s="263"/>
    </row>
    <row r="949" ht="21.0" customHeight="1">
      <c r="A949" s="265"/>
      <c r="B949" s="266"/>
      <c r="C949" s="263"/>
      <c r="D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  <c r="W949" s="263"/>
      <c r="X949" s="263"/>
      <c r="Y949" s="263"/>
      <c r="Z949" s="263"/>
      <c r="AA949" s="263"/>
      <c r="AB949" s="263"/>
    </row>
    <row r="950" ht="21.0" customHeight="1">
      <c r="A950" s="265"/>
      <c r="B950" s="266"/>
      <c r="C950" s="263"/>
      <c r="D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  <c r="W950" s="263"/>
      <c r="X950" s="263"/>
      <c r="Y950" s="263"/>
      <c r="Z950" s="263"/>
      <c r="AA950" s="263"/>
      <c r="AB950" s="263"/>
    </row>
    <row r="951" ht="21.0" customHeight="1">
      <c r="A951" s="265"/>
      <c r="B951" s="266"/>
      <c r="C951" s="263"/>
      <c r="D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  <c r="W951" s="263"/>
      <c r="X951" s="263"/>
      <c r="Y951" s="263"/>
      <c r="Z951" s="263"/>
      <c r="AA951" s="263"/>
      <c r="AB951" s="263"/>
    </row>
    <row r="952" ht="21.0" customHeight="1">
      <c r="A952" s="265"/>
      <c r="B952" s="266"/>
      <c r="C952" s="263"/>
      <c r="D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  <c r="W952" s="263"/>
      <c r="X952" s="263"/>
      <c r="Y952" s="263"/>
      <c r="Z952" s="263"/>
      <c r="AA952" s="263"/>
      <c r="AB952" s="263"/>
    </row>
    <row r="953" ht="21.0" customHeight="1">
      <c r="A953" s="265"/>
      <c r="B953" s="266"/>
      <c r="C953" s="263"/>
      <c r="D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  <c r="W953" s="263"/>
      <c r="X953" s="263"/>
      <c r="Y953" s="263"/>
      <c r="Z953" s="263"/>
      <c r="AA953" s="263"/>
      <c r="AB953" s="263"/>
    </row>
    <row r="954" ht="21.0" customHeight="1">
      <c r="A954" s="265"/>
      <c r="B954" s="266"/>
      <c r="C954" s="263"/>
      <c r="D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  <c r="W954" s="263"/>
      <c r="X954" s="263"/>
      <c r="Y954" s="263"/>
      <c r="Z954" s="263"/>
      <c r="AA954" s="263"/>
      <c r="AB954" s="263"/>
    </row>
    <row r="955" ht="21.0" customHeight="1">
      <c r="A955" s="265"/>
      <c r="B955" s="266"/>
      <c r="C955" s="263"/>
      <c r="D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  <c r="W955" s="263"/>
      <c r="X955" s="263"/>
      <c r="Y955" s="263"/>
      <c r="Z955" s="263"/>
      <c r="AA955" s="263"/>
      <c r="AB955" s="263"/>
    </row>
    <row r="956" ht="21.0" customHeight="1">
      <c r="A956" s="265"/>
      <c r="B956" s="266"/>
      <c r="C956" s="263"/>
      <c r="D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  <c r="W956" s="263"/>
      <c r="X956" s="263"/>
      <c r="Y956" s="263"/>
      <c r="Z956" s="263"/>
      <c r="AA956" s="263"/>
      <c r="AB956" s="263"/>
    </row>
    <row r="957" ht="21.0" customHeight="1">
      <c r="A957" s="265"/>
      <c r="B957" s="266"/>
      <c r="C957" s="263"/>
      <c r="D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  <c r="W957" s="263"/>
      <c r="X957" s="263"/>
      <c r="Y957" s="263"/>
      <c r="Z957" s="263"/>
      <c r="AA957" s="263"/>
      <c r="AB957" s="263"/>
    </row>
    <row r="958" ht="21.0" customHeight="1">
      <c r="A958" s="265"/>
      <c r="B958" s="266"/>
      <c r="C958" s="263"/>
      <c r="D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  <c r="W958" s="263"/>
      <c r="X958" s="263"/>
      <c r="Y958" s="263"/>
      <c r="Z958" s="263"/>
      <c r="AA958" s="263"/>
      <c r="AB958" s="263"/>
    </row>
    <row r="959" ht="21.0" customHeight="1">
      <c r="A959" s="265"/>
      <c r="B959" s="266"/>
      <c r="C959" s="263"/>
      <c r="D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  <c r="W959" s="263"/>
      <c r="X959" s="263"/>
      <c r="Y959" s="263"/>
      <c r="Z959" s="263"/>
      <c r="AA959" s="263"/>
      <c r="AB959" s="263"/>
    </row>
    <row r="960" ht="21.0" customHeight="1">
      <c r="A960" s="265"/>
      <c r="B960" s="266"/>
      <c r="C960" s="263"/>
      <c r="D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  <c r="W960" s="263"/>
      <c r="X960" s="263"/>
      <c r="Y960" s="263"/>
      <c r="Z960" s="263"/>
      <c r="AA960" s="263"/>
      <c r="AB960" s="263"/>
    </row>
    <row r="961" ht="21.0" customHeight="1">
      <c r="A961" s="265"/>
      <c r="B961" s="266"/>
      <c r="C961" s="263"/>
      <c r="D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  <c r="W961" s="263"/>
      <c r="X961" s="263"/>
      <c r="Y961" s="263"/>
      <c r="Z961" s="263"/>
      <c r="AA961" s="263"/>
      <c r="AB961" s="263"/>
    </row>
    <row r="962" ht="21.0" customHeight="1">
      <c r="A962" s="265"/>
      <c r="B962" s="266"/>
      <c r="C962" s="263"/>
      <c r="D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  <c r="W962" s="263"/>
      <c r="X962" s="263"/>
      <c r="Y962" s="263"/>
      <c r="Z962" s="263"/>
      <c r="AA962" s="263"/>
      <c r="AB962" s="263"/>
    </row>
    <row r="963" ht="21.0" customHeight="1">
      <c r="A963" s="265"/>
      <c r="B963" s="266"/>
      <c r="C963" s="263"/>
      <c r="D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  <c r="W963" s="263"/>
      <c r="X963" s="263"/>
      <c r="Y963" s="263"/>
      <c r="Z963" s="263"/>
      <c r="AA963" s="263"/>
      <c r="AB963" s="263"/>
    </row>
    <row r="964" ht="21.0" customHeight="1">
      <c r="A964" s="265"/>
      <c r="B964" s="266"/>
      <c r="C964" s="263"/>
      <c r="D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  <c r="W964" s="263"/>
      <c r="X964" s="263"/>
      <c r="Y964" s="263"/>
      <c r="Z964" s="263"/>
      <c r="AA964" s="263"/>
      <c r="AB964" s="263"/>
    </row>
    <row r="965" ht="21.0" customHeight="1">
      <c r="A965" s="265"/>
      <c r="B965" s="266"/>
      <c r="C965" s="263"/>
      <c r="D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  <c r="W965" s="263"/>
      <c r="X965" s="263"/>
      <c r="Y965" s="263"/>
      <c r="Z965" s="263"/>
      <c r="AA965" s="263"/>
      <c r="AB965" s="263"/>
    </row>
    <row r="966" ht="21.0" customHeight="1">
      <c r="A966" s="265"/>
      <c r="B966" s="266"/>
      <c r="C966" s="263"/>
      <c r="D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  <c r="W966" s="263"/>
      <c r="X966" s="263"/>
      <c r="Y966" s="263"/>
      <c r="Z966" s="263"/>
      <c r="AA966" s="263"/>
      <c r="AB966" s="263"/>
    </row>
    <row r="967" ht="21.0" customHeight="1">
      <c r="A967" s="265"/>
      <c r="B967" s="266"/>
      <c r="C967" s="263"/>
      <c r="D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  <c r="W967" s="263"/>
      <c r="X967" s="263"/>
      <c r="Y967" s="263"/>
      <c r="Z967" s="263"/>
      <c r="AA967" s="263"/>
      <c r="AB967" s="263"/>
    </row>
    <row r="968" ht="21.0" customHeight="1">
      <c r="A968" s="265"/>
      <c r="B968" s="266"/>
      <c r="C968" s="263"/>
      <c r="D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  <c r="W968" s="263"/>
      <c r="X968" s="263"/>
      <c r="Y968" s="263"/>
      <c r="Z968" s="263"/>
      <c r="AA968" s="263"/>
      <c r="AB968" s="263"/>
    </row>
    <row r="969" ht="21.0" customHeight="1">
      <c r="A969" s="265"/>
      <c r="B969" s="266"/>
      <c r="C969" s="263"/>
      <c r="D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  <c r="W969" s="263"/>
      <c r="X969" s="263"/>
      <c r="Y969" s="263"/>
      <c r="Z969" s="263"/>
      <c r="AA969" s="263"/>
      <c r="AB969" s="263"/>
    </row>
    <row r="970" ht="21.0" customHeight="1">
      <c r="A970" s="265"/>
      <c r="B970" s="266"/>
      <c r="C970" s="263"/>
      <c r="D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  <c r="W970" s="263"/>
      <c r="X970" s="263"/>
      <c r="Y970" s="263"/>
      <c r="Z970" s="263"/>
      <c r="AA970" s="263"/>
      <c r="AB970" s="263"/>
    </row>
    <row r="971" ht="21.0" customHeight="1">
      <c r="A971" s="265"/>
      <c r="B971" s="266"/>
      <c r="C971" s="263"/>
      <c r="D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  <c r="W971" s="263"/>
      <c r="X971" s="263"/>
      <c r="Y971" s="263"/>
      <c r="Z971" s="263"/>
      <c r="AA971" s="263"/>
      <c r="AB971" s="263"/>
    </row>
    <row r="972" ht="21.0" customHeight="1">
      <c r="A972" s="265"/>
      <c r="B972" s="266"/>
      <c r="C972" s="263"/>
      <c r="D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  <c r="W972" s="263"/>
      <c r="X972" s="263"/>
      <c r="Y972" s="263"/>
      <c r="Z972" s="263"/>
      <c r="AA972" s="263"/>
      <c r="AB972" s="263"/>
    </row>
    <row r="973" ht="21.0" customHeight="1">
      <c r="A973" s="265"/>
      <c r="B973" s="266"/>
      <c r="C973" s="263"/>
      <c r="D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  <c r="W973" s="263"/>
      <c r="X973" s="263"/>
      <c r="Y973" s="263"/>
      <c r="Z973" s="263"/>
      <c r="AA973" s="263"/>
      <c r="AB973" s="263"/>
    </row>
    <row r="974" ht="21.0" customHeight="1">
      <c r="A974" s="265"/>
      <c r="B974" s="266"/>
      <c r="C974" s="263"/>
      <c r="D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  <c r="W974" s="263"/>
      <c r="X974" s="263"/>
      <c r="Y974" s="263"/>
      <c r="Z974" s="263"/>
      <c r="AA974" s="263"/>
      <c r="AB974" s="263"/>
    </row>
    <row r="975" ht="21.0" customHeight="1">
      <c r="A975" s="265"/>
      <c r="B975" s="266"/>
      <c r="C975" s="263"/>
      <c r="D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  <c r="W975" s="263"/>
      <c r="X975" s="263"/>
      <c r="Y975" s="263"/>
      <c r="Z975" s="263"/>
      <c r="AA975" s="263"/>
      <c r="AB975" s="263"/>
    </row>
    <row r="976" ht="21.0" customHeight="1">
      <c r="A976" s="265"/>
      <c r="B976" s="266"/>
      <c r="C976" s="263"/>
      <c r="D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  <c r="W976" s="263"/>
      <c r="X976" s="263"/>
      <c r="Y976" s="263"/>
      <c r="Z976" s="263"/>
      <c r="AA976" s="263"/>
      <c r="AB976" s="263"/>
    </row>
    <row r="977" ht="21.0" customHeight="1">
      <c r="A977" s="265"/>
      <c r="B977" s="266"/>
      <c r="C977" s="263"/>
      <c r="D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  <c r="W977" s="263"/>
      <c r="X977" s="263"/>
      <c r="Y977" s="263"/>
      <c r="Z977" s="263"/>
      <c r="AA977" s="263"/>
      <c r="AB977" s="263"/>
    </row>
    <row r="978" ht="21.0" customHeight="1">
      <c r="A978" s="265"/>
      <c r="B978" s="266"/>
      <c r="C978" s="263"/>
      <c r="D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  <c r="W978" s="263"/>
      <c r="X978" s="263"/>
      <c r="Y978" s="263"/>
      <c r="Z978" s="263"/>
      <c r="AA978" s="263"/>
      <c r="AB978" s="263"/>
    </row>
    <row r="979" ht="21.0" customHeight="1">
      <c r="A979" s="265"/>
      <c r="B979" s="266"/>
      <c r="C979" s="263"/>
      <c r="D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  <c r="W979" s="263"/>
      <c r="X979" s="263"/>
      <c r="Y979" s="263"/>
      <c r="Z979" s="263"/>
      <c r="AA979" s="263"/>
      <c r="AB979" s="263"/>
    </row>
    <row r="980" ht="21.0" customHeight="1">
      <c r="A980" s="265"/>
      <c r="B980" s="266"/>
      <c r="C980" s="263"/>
      <c r="D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  <c r="W980" s="263"/>
      <c r="X980" s="263"/>
      <c r="Y980" s="263"/>
      <c r="Z980" s="263"/>
      <c r="AA980" s="263"/>
      <c r="AB980" s="263"/>
    </row>
    <row r="981" ht="21.0" customHeight="1">
      <c r="A981" s="265"/>
      <c r="B981" s="266"/>
      <c r="C981" s="263"/>
      <c r="D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  <c r="W981" s="263"/>
      <c r="X981" s="263"/>
      <c r="Y981" s="263"/>
      <c r="Z981" s="263"/>
      <c r="AA981" s="263"/>
      <c r="AB981" s="263"/>
    </row>
    <row r="982" ht="21.0" customHeight="1">
      <c r="A982" s="265"/>
      <c r="B982" s="266"/>
      <c r="C982" s="263"/>
      <c r="D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  <c r="W982" s="263"/>
      <c r="X982" s="263"/>
      <c r="Y982" s="263"/>
      <c r="Z982" s="263"/>
      <c r="AA982" s="263"/>
      <c r="AB982" s="263"/>
    </row>
    <row r="983" ht="21.0" customHeight="1">
      <c r="A983" s="265"/>
      <c r="B983" s="266"/>
      <c r="C983" s="263"/>
      <c r="D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  <c r="W983" s="263"/>
      <c r="X983" s="263"/>
      <c r="Y983" s="263"/>
      <c r="Z983" s="263"/>
      <c r="AA983" s="263"/>
      <c r="AB983" s="263"/>
    </row>
    <row r="984" ht="21.0" customHeight="1">
      <c r="A984" s="265"/>
      <c r="B984" s="266"/>
      <c r="C984" s="263"/>
      <c r="D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  <c r="W984" s="263"/>
      <c r="X984" s="263"/>
      <c r="Y984" s="263"/>
      <c r="Z984" s="263"/>
      <c r="AA984" s="263"/>
      <c r="AB984" s="263"/>
    </row>
    <row r="985" ht="21.0" customHeight="1">
      <c r="A985" s="265"/>
      <c r="B985" s="266"/>
      <c r="C985" s="263"/>
      <c r="D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  <c r="W985" s="263"/>
      <c r="X985" s="263"/>
      <c r="Y985" s="263"/>
      <c r="Z985" s="263"/>
      <c r="AA985" s="263"/>
      <c r="AB985" s="263"/>
    </row>
    <row r="986" ht="21.0" customHeight="1">
      <c r="A986" s="265"/>
      <c r="B986" s="266"/>
      <c r="C986" s="263"/>
      <c r="D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  <c r="W986" s="263"/>
      <c r="X986" s="263"/>
      <c r="Y986" s="263"/>
      <c r="Z986" s="263"/>
      <c r="AA986" s="263"/>
      <c r="AB986" s="263"/>
    </row>
  </sheetData>
  <mergeCells count="3">
    <mergeCell ref="C17:D17"/>
    <mergeCell ref="E17:F17"/>
    <mergeCell ref="G17:H17"/>
  </mergeCells>
  <conditionalFormatting sqref="O4:O14">
    <cfRule type="expression" dxfId="0" priority="1">
      <formula>AND($O4&lt;&gt;"",$O4&lt;&gt;100%)</formula>
    </cfRule>
  </conditionalFormatting>
  <conditionalFormatting sqref="C30">
    <cfRule type="cellIs" dxfId="0" priority="2" operator="notEqual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75"/>
  <cols>
    <col customWidth="1" min="1" max="4" width="16.57"/>
    <col customWidth="1" min="5" max="5" width="20.0"/>
    <col customWidth="1" min="6" max="63" width="16.57"/>
  </cols>
  <sheetData>
    <row r="1" ht="29.25" customHeight="1">
      <c r="A1" s="207" t="s">
        <v>124</v>
      </c>
      <c r="B1" s="249"/>
      <c r="C1" s="249"/>
    </row>
    <row r="2" ht="29.25" customHeight="1">
      <c r="A2" s="249"/>
      <c r="B2" s="249"/>
      <c r="C2" s="249"/>
    </row>
    <row r="3" ht="15.75" customHeight="1">
      <c r="A3" s="250" t="s">
        <v>125</v>
      </c>
      <c r="B3" s="250" t="s">
        <v>72</v>
      </c>
      <c r="C3" s="250" t="s">
        <v>126</v>
      </c>
      <c r="E3" s="13" t="s">
        <v>127</v>
      </c>
    </row>
    <row r="4" ht="15.75" customHeight="1">
      <c r="A4" s="251">
        <v>0.0</v>
      </c>
      <c r="B4" s="251">
        <v>30000.0</v>
      </c>
      <c r="C4" s="252">
        <v>0.07</v>
      </c>
      <c r="E4" s="253" t="s">
        <v>128</v>
      </c>
    </row>
    <row r="5"/>
    <row r="6"/>
    <row r="7"/>
    <row r="8" ht="15.75" customHeight="1">
      <c r="A8" s="254" t="s">
        <v>87</v>
      </c>
      <c r="B8" s="254" t="s">
        <v>129</v>
      </c>
      <c r="C8" s="254" t="s">
        <v>130</v>
      </c>
      <c r="D8" s="254" t="s">
        <v>131</v>
      </c>
      <c r="E8" s="254" t="s">
        <v>132</v>
      </c>
      <c r="F8" s="254" t="s">
        <v>133</v>
      </c>
      <c r="H8" s="255"/>
    </row>
    <row r="9" ht="15.75" customHeight="1">
      <c r="A9" s="256">
        <v>1.0</v>
      </c>
      <c r="B9" s="257">
        <f>A4</f>
        <v>0</v>
      </c>
      <c r="C9" s="257">
        <f t="shared" ref="C9:C58" si="1">B$4*12</f>
        <v>360000</v>
      </c>
      <c r="D9" s="257">
        <f t="shared" ref="D9:D58" si="2">E9-SUM(B9:C9)</f>
        <v>11777.55869</v>
      </c>
      <c r="E9" s="257">
        <f>B9*(1+C$4/12)^12+B$4/(C$4/12)*((1+C$4/12)^(A9*12)-1)</f>
        <v>371777.5587</v>
      </c>
      <c r="F9" s="257">
        <f>C9+B9</f>
        <v>360000</v>
      </c>
    </row>
    <row r="10" ht="15.75" customHeight="1">
      <c r="A10" s="256">
        <f t="shared" ref="A10:A58" si="3">A9+1</f>
        <v>2</v>
      </c>
      <c r="B10" s="257">
        <f>E9</f>
        <v>371777.5587</v>
      </c>
      <c r="C10" s="257">
        <f t="shared" si="1"/>
        <v>360000</v>
      </c>
      <c r="D10" s="257">
        <f t="shared" si="2"/>
        <v>38653.38847</v>
      </c>
      <c r="E10" s="257">
        <f t="shared" ref="E10:E58" si="4">B$9*(1+C$4/12)^(A10*12)+B$4/(C$4/12)*((1+C$4/12)^(A10*12)-1)</f>
        <v>770430.9472</v>
      </c>
      <c r="F10" s="257">
        <f t="shared" ref="F10:F58" si="5">F9+C10</f>
        <v>720000</v>
      </c>
      <c r="H10" s="258"/>
      <c r="I10" s="258"/>
    </row>
    <row r="11" ht="15.75" customHeight="1">
      <c r="A11" s="256">
        <f t="shared" si="3"/>
        <v>3</v>
      </c>
      <c r="B11" s="257">
        <f t="shared" ref="B11:B58" si="6">B10+C10+D10</f>
        <v>770430.9472</v>
      </c>
      <c r="C11" s="257">
        <f t="shared" si="1"/>
        <v>360000</v>
      </c>
      <c r="D11" s="257">
        <f t="shared" si="2"/>
        <v>67472.07415</v>
      </c>
      <c r="E11" s="257">
        <f t="shared" si="4"/>
        <v>1197903.021</v>
      </c>
      <c r="F11" s="257">
        <f t="shared" si="5"/>
        <v>1080000</v>
      </c>
    </row>
    <row r="12" ht="15.75" customHeight="1">
      <c r="A12" s="256">
        <f t="shared" si="3"/>
        <v>4</v>
      </c>
      <c r="B12" s="257">
        <f t="shared" si="6"/>
        <v>1197903.021</v>
      </c>
      <c r="C12" s="257">
        <f t="shared" si="1"/>
        <v>360000</v>
      </c>
      <c r="D12" s="257">
        <f t="shared" si="2"/>
        <v>98374.06496</v>
      </c>
      <c r="E12" s="257">
        <f t="shared" si="4"/>
        <v>1656277.086</v>
      </c>
      <c r="F12" s="257">
        <f t="shared" si="5"/>
        <v>1440000</v>
      </c>
    </row>
    <row r="13" ht="15.75" customHeight="1">
      <c r="A13" s="256">
        <f t="shared" si="3"/>
        <v>5</v>
      </c>
      <c r="B13" s="257">
        <f t="shared" si="6"/>
        <v>1656277.086</v>
      </c>
      <c r="C13" s="257">
        <f t="shared" si="1"/>
        <v>360000</v>
      </c>
      <c r="D13" s="257">
        <f t="shared" si="2"/>
        <v>131509.9632</v>
      </c>
      <c r="E13" s="257">
        <f t="shared" si="4"/>
        <v>2147787.049</v>
      </c>
      <c r="F13" s="257">
        <f t="shared" si="5"/>
        <v>1800000</v>
      </c>
    </row>
    <row r="14" ht="15.75" customHeight="1">
      <c r="A14" s="256">
        <f t="shared" si="3"/>
        <v>6</v>
      </c>
      <c r="B14" s="257">
        <f t="shared" si="6"/>
        <v>2147787.049</v>
      </c>
      <c r="C14" s="257">
        <f t="shared" si="1"/>
        <v>360000</v>
      </c>
      <c r="D14" s="257">
        <f t="shared" si="2"/>
        <v>167041.2582</v>
      </c>
      <c r="E14" s="257">
        <f t="shared" si="4"/>
        <v>2674828.308</v>
      </c>
      <c r="F14" s="257">
        <f t="shared" si="5"/>
        <v>2160000</v>
      </c>
    </row>
    <row r="15" ht="15.75" customHeight="1">
      <c r="A15" s="256">
        <f t="shared" si="3"/>
        <v>7</v>
      </c>
      <c r="B15" s="257">
        <f t="shared" si="6"/>
        <v>2674828.308</v>
      </c>
      <c r="C15" s="257">
        <f t="shared" si="1"/>
        <v>360000</v>
      </c>
      <c r="D15" s="257">
        <f t="shared" si="2"/>
        <v>205141.1133</v>
      </c>
      <c r="E15" s="257">
        <f t="shared" si="4"/>
        <v>3239969.421</v>
      </c>
      <c r="F15" s="257">
        <f t="shared" si="5"/>
        <v>2520000</v>
      </c>
    </row>
    <row r="16" ht="15.75" customHeight="1">
      <c r="A16" s="256">
        <f t="shared" si="3"/>
        <v>8</v>
      </c>
      <c r="B16" s="257">
        <f t="shared" si="6"/>
        <v>3239969.421</v>
      </c>
      <c r="C16" s="257">
        <f t="shared" si="1"/>
        <v>360000</v>
      </c>
      <c r="D16" s="257">
        <f t="shared" si="2"/>
        <v>245995.2101</v>
      </c>
      <c r="E16" s="257">
        <f t="shared" si="4"/>
        <v>3845964.631</v>
      </c>
      <c r="F16" s="257">
        <f t="shared" si="5"/>
        <v>2880000</v>
      </c>
    </row>
    <row r="17" ht="15.75" customHeight="1">
      <c r="A17" s="256">
        <f t="shared" si="3"/>
        <v>9</v>
      </c>
      <c r="B17" s="257">
        <f t="shared" si="6"/>
        <v>3845964.631</v>
      </c>
      <c r="C17" s="257">
        <f t="shared" si="1"/>
        <v>360000</v>
      </c>
      <c r="D17" s="257">
        <f t="shared" si="2"/>
        <v>289802.6528</v>
      </c>
      <c r="E17" s="257">
        <f t="shared" si="4"/>
        <v>4495767.284</v>
      </c>
      <c r="F17" s="257">
        <f t="shared" si="5"/>
        <v>3240000</v>
      </c>
    </row>
    <row r="18" ht="15.75" customHeight="1">
      <c r="A18" s="256">
        <f t="shared" si="3"/>
        <v>10</v>
      </c>
      <c r="B18" s="257">
        <f t="shared" si="6"/>
        <v>4495767.284</v>
      </c>
      <c r="C18" s="257">
        <f t="shared" si="1"/>
        <v>360000</v>
      </c>
      <c r="D18" s="257">
        <f t="shared" si="2"/>
        <v>336776.9391</v>
      </c>
      <c r="E18" s="257">
        <f t="shared" si="4"/>
        <v>5192544.223</v>
      </c>
      <c r="F18" s="257">
        <f t="shared" si="5"/>
        <v>3600000</v>
      </c>
    </row>
    <row r="19" ht="15.75" customHeight="1">
      <c r="A19" s="256">
        <f t="shared" si="3"/>
        <v>11</v>
      </c>
      <c r="B19" s="257">
        <f t="shared" si="6"/>
        <v>5192544.223</v>
      </c>
      <c r="C19" s="257">
        <f t="shared" si="1"/>
        <v>360000</v>
      </c>
      <c r="D19" s="257">
        <f t="shared" si="2"/>
        <v>387147.0004</v>
      </c>
      <c r="E19" s="257">
        <f t="shared" si="4"/>
        <v>5939691.223</v>
      </c>
      <c r="F19" s="257">
        <f t="shared" si="5"/>
        <v>3960000</v>
      </c>
    </row>
    <row r="20" ht="15.75" customHeight="1">
      <c r="A20" s="256">
        <f t="shared" si="3"/>
        <v>12</v>
      </c>
      <c r="B20" s="257">
        <f t="shared" si="6"/>
        <v>5939691.223</v>
      </c>
      <c r="C20" s="257">
        <f t="shared" si="1"/>
        <v>360000</v>
      </c>
      <c r="D20" s="257">
        <f t="shared" si="2"/>
        <v>441158.3175</v>
      </c>
      <c r="E20" s="257">
        <f t="shared" si="4"/>
        <v>6740849.541</v>
      </c>
      <c r="F20" s="257">
        <f t="shared" si="5"/>
        <v>4320000</v>
      </c>
    </row>
    <row r="21" ht="15.75" customHeight="1">
      <c r="A21" s="256">
        <f t="shared" si="3"/>
        <v>13</v>
      </c>
      <c r="B21" s="257">
        <f t="shared" si="6"/>
        <v>6740849.541</v>
      </c>
      <c r="C21" s="257">
        <f t="shared" si="1"/>
        <v>360000</v>
      </c>
      <c r="D21" s="257">
        <f t="shared" si="2"/>
        <v>499074.117</v>
      </c>
      <c r="E21" s="257">
        <f t="shared" si="4"/>
        <v>7599923.658</v>
      </c>
      <c r="F21" s="257">
        <f t="shared" si="5"/>
        <v>4680000</v>
      </c>
    </row>
    <row r="22" ht="15.75" customHeight="1">
      <c r="A22" s="256">
        <f t="shared" si="3"/>
        <v>14</v>
      </c>
      <c r="B22" s="257">
        <f t="shared" si="6"/>
        <v>7599923.658</v>
      </c>
      <c r="C22" s="257">
        <f t="shared" si="1"/>
        <v>360000</v>
      </c>
      <c r="D22" s="257">
        <f t="shared" si="2"/>
        <v>561176.6544</v>
      </c>
      <c r="E22" s="257">
        <f t="shared" si="4"/>
        <v>8521100.312</v>
      </c>
      <c r="F22" s="257">
        <f t="shared" si="5"/>
        <v>5040000</v>
      </c>
    </row>
    <row r="23" ht="15.75" customHeight="1">
      <c r="A23" s="256">
        <f t="shared" si="3"/>
        <v>15</v>
      </c>
      <c r="B23" s="257">
        <f t="shared" si="6"/>
        <v>8521100.312</v>
      </c>
      <c r="C23" s="257">
        <f t="shared" si="1"/>
        <v>360000</v>
      </c>
      <c r="D23" s="257">
        <f t="shared" si="2"/>
        <v>627768.5893</v>
      </c>
      <c r="E23" s="257">
        <f t="shared" si="4"/>
        <v>9508868.902</v>
      </c>
      <c r="F23" s="257">
        <f t="shared" si="5"/>
        <v>5400000</v>
      </c>
    </row>
    <row r="24" ht="15.75" customHeight="1">
      <c r="A24" s="256">
        <f t="shared" si="3"/>
        <v>16</v>
      </c>
      <c r="B24" s="257">
        <f t="shared" si="6"/>
        <v>9508868.902</v>
      </c>
      <c r="C24" s="257">
        <f t="shared" si="1"/>
        <v>360000</v>
      </c>
      <c r="D24" s="257">
        <f t="shared" si="2"/>
        <v>699174.4604</v>
      </c>
      <c r="E24" s="257">
        <f t="shared" si="4"/>
        <v>10568043.36</v>
      </c>
      <c r="F24" s="257">
        <f t="shared" si="5"/>
        <v>5760000</v>
      </c>
    </row>
    <row r="25" ht="15.75" customHeight="1">
      <c r="A25" s="256">
        <f t="shared" si="3"/>
        <v>17</v>
      </c>
      <c r="B25" s="257">
        <f t="shared" si="6"/>
        <v>10568043.36</v>
      </c>
      <c r="C25" s="257">
        <f t="shared" si="1"/>
        <v>360000</v>
      </c>
      <c r="D25" s="257">
        <f t="shared" si="2"/>
        <v>775742.2678</v>
      </c>
      <c r="E25" s="257">
        <f t="shared" si="4"/>
        <v>11703785.63</v>
      </c>
      <c r="F25" s="257">
        <f t="shared" si="5"/>
        <v>6120000</v>
      </c>
    </row>
    <row r="26" ht="15.75" customHeight="1">
      <c r="A26" s="256">
        <f t="shared" si="3"/>
        <v>18</v>
      </c>
      <c r="B26" s="257">
        <f t="shared" si="6"/>
        <v>11703785.63</v>
      </c>
      <c r="C26" s="257">
        <f t="shared" si="1"/>
        <v>360000</v>
      </c>
      <c r="D26" s="257">
        <f t="shared" si="2"/>
        <v>857845.1682</v>
      </c>
      <c r="E26" s="257">
        <f t="shared" si="4"/>
        <v>12921630.8</v>
      </c>
      <c r="F26" s="257">
        <f t="shared" si="5"/>
        <v>6480000</v>
      </c>
    </row>
    <row r="27" ht="15.75" customHeight="1">
      <c r="A27" s="256">
        <f t="shared" si="3"/>
        <v>19</v>
      </c>
      <c r="B27" s="257">
        <f t="shared" si="6"/>
        <v>12921630.8</v>
      </c>
      <c r="C27" s="257">
        <f t="shared" si="1"/>
        <v>360000</v>
      </c>
      <c r="D27" s="257">
        <f t="shared" si="2"/>
        <v>945883.2939</v>
      </c>
      <c r="E27" s="257">
        <f t="shared" si="4"/>
        <v>14227514.09</v>
      </c>
      <c r="F27" s="257">
        <f t="shared" si="5"/>
        <v>6840000</v>
      </c>
    </row>
    <row r="28" ht="15.75" customHeight="1">
      <c r="A28" s="256">
        <f t="shared" si="3"/>
        <v>20</v>
      </c>
      <c r="B28" s="257">
        <f t="shared" si="6"/>
        <v>14227514.09</v>
      </c>
      <c r="C28" s="257">
        <f t="shared" si="1"/>
        <v>360000</v>
      </c>
      <c r="D28" s="257">
        <f t="shared" si="2"/>
        <v>1040285.703</v>
      </c>
      <c r="E28" s="257">
        <f t="shared" si="4"/>
        <v>15627799.79</v>
      </c>
      <c r="F28" s="257">
        <f t="shared" si="5"/>
        <v>7200000</v>
      </c>
    </row>
    <row r="29" ht="15.75" customHeight="1">
      <c r="A29" s="256">
        <f t="shared" si="3"/>
        <v>21</v>
      </c>
      <c r="B29" s="257">
        <f t="shared" si="6"/>
        <v>15627799.79</v>
      </c>
      <c r="C29" s="257">
        <f t="shared" si="1"/>
        <v>360000</v>
      </c>
      <c r="D29" s="257">
        <f t="shared" si="2"/>
        <v>1141512.469</v>
      </c>
      <c r="E29" s="257">
        <f t="shared" si="4"/>
        <v>17129312.26</v>
      </c>
      <c r="F29" s="257">
        <f t="shared" si="5"/>
        <v>7560000</v>
      </c>
    </row>
    <row r="30" ht="15.75" customHeight="1">
      <c r="A30" s="256">
        <f t="shared" si="3"/>
        <v>22</v>
      </c>
      <c r="B30" s="257">
        <f t="shared" si="6"/>
        <v>17129312.26</v>
      </c>
      <c r="C30" s="257">
        <f t="shared" si="1"/>
        <v>360000</v>
      </c>
      <c r="D30" s="257">
        <f t="shared" si="2"/>
        <v>1250056.927</v>
      </c>
      <c r="E30" s="257">
        <f t="shared" si="4"/>
        <v>18739369.19</v>
      </c>
      <c r="F30" s="257">
        <f t="shared" si="5"/>
        <v>7920000</v>
      </c>
    </row>
    <row r="31" ht="15.75" customHeight="1">
      <c r="A31" s="256">
        <f t="shared" si="3"/>
        <v>23</v>
      </c>
      <c r="B31" s="257">
        <f t="shared" si="6"/>
        <v>18739369.19</v>
      </c>
      <c r="C31" s="257">
        <f t="shared" si="1"/>
        <v>360000</v>
      </c>
      <c r="D31" s="257">
        <f t="shared" si="2"/>
        <v>1366448.073</v>
      </c>
      <c r="E31" s="257">
        <f t="shared" si="4"/>
        <v>20465817.26</v>
      </c>
      <c r="F31" s="257">
        <f t="shared" si="5"/>
        <v>8280000</v>
      </c>
    </row>
    <row r="32" ht="15.75" customHeight="1">
      <c r="A32" s="256">
        <f t="shared" si="3"/>
        <v>24</v>
      </c>
      <c r="B32" s="257">
        <f t="shared" si="6"/>
        <v>20465817.26</v>
      </c>
      <c r="C32" s="257">
        <f t="shared" si="1"/>
        <v>360000</v>
      </c>
      <c r="D32" s="257">
        <f t="shared" si="2"/>
        <v>1491253.144</v>
      </c>
      <c r="E32" s="257">
        <f t="shared" si="4"/>
        <v>22317070.41</v>
      </c>
      <c r="F32" s="257">
        <f t="shared" si="5"/>
        <v>8640000</v>
      </c>
    </row>
    <row r="33" ht="15.75" customHeight="1">
      <c r="A33" s="256">
        <f t="shared" si="3"/>
        <v>25</v>
      </c>
      <c r="B33" s="257">
        <f t="shared" si="6"/>
        <v>22317070.41</v>
      </c>
      <c r="C33" s="257">
        <f t="shared" si="1"/>
        <v>360000</v>
      </c>
      <c r="D33" s="257">
        <f t="shared" si="2"/>
        <v>1625080.383</v>
      </c>
      <c r="E33" s="257">
        <f t="shared" si="4"/>
        <v>24302150.79</v>
      </c>
      <c r="F33" s="257">
        <f t="shared" si="5"/>
        <v>9000000</v>
      </c>
    </row>
    <row r="34" ht="15.75" customHeight="1">
      <c r="A34" s="256">
        <f t="shared" si="3"/>
        <v>26</v>
      </c>
      <c r="B34" s="257">
        <f t="shared" si="6"/>
        <v>24302150.79</v>
      </c>
      <c r="C34" s="257">
        <f t="shared" si="1"/>
        <v>360000</v>
      </c>
      <c r="D34" s="257">
        <f t="shared" si="2"/>
        <v>1768582.004</v>
      </c>
      <c r="E34" s="257">
        <f t="shared" si="4"/>
        <v>26430732.8</v>
      </c>
      <c r="F34" s="257">
        <f t="shared" si="5"/>
        <v>9360000</v>
      </c>
    </row>
    <row r="35" ht="15.75" customHeight="1">
      <c r="A35" s="256">
        <f t="shared" si="3"/>
        <v>27</v>
      </c>
      <c r="B35" s="257">
        <f t="shared" si="6"/>
        <v>26430732.8</v>
      </c>
      <c r="C35" s="257">
        <f t="shared" si="1"/>
        <v>360000</v>
      </c>
      <c r="D35" s="257">
        <f t="shared" si="2"/>
        <v>1922457.37</v>
      </c>
      <c r="E35" s="257">
        <f t="shared" si="4"/>
        <v>28713190.16</v>
      </c>
      <c r="F35" s="257">
        <f t="shared" si="5"/>
        <v>9720000</v>
      </c>
    </row>
    <row r="36" ht="15.75" customHeight="1">
      <c r="A36" s="256">
        <f t="shared" si="3"/>
        <v>28</v>
      </c>
      <c r="B36" s="257">
        <f t="shared" si="6"/>
        <v>28713190.16</v>
      </c>
      <c r="C36" s="257">
        <f t="shared" si="1"/>
        <v>360000</v>
      </c>
      <c r="D36" s="257">
        <f t="shared" si="2"/>
        <v>2087456.397</v>
      </c>
      <c r="E36" s="257">
        <f t="shared" si="4"/>
        <v>31160646.56</v>
      </c>
      <c r="F36" s="257">
        <f t="shared" si="5"/>
        <v>10080000</v>
      </c>
    </row>
    <row r="37" ht="15.75" customHeight="1">
      <c r="A37" s="256">
        <f t="shared" si="3"/>
        <v>29</v>
      </c>
      <c r="B37" s="257">
        <f t="shared" si="6"/>
        <v>31160646.56</v>
      </c>
      <c r="C37" s="257">
        <f t="shared" si="1"/>
        <v>360000</v>
      </c>
      <c r="D37" s="257">
        <f t="shared" si="2"/>
        <v>2264383.218</v>
      </c>
      <c r="E37" s="257">
        <f t="shared" si="4"/>
        <v>33785029.78</v>
      </c>
      <c r="F37" s="257">
        <f t="shared" si="5"/>
        <v>10440000</v>
      </c>
    </row>
    <row r="38" ht="15.75" customHeight="1">
      <c r="A38" s="256">
        <f t="shared" si="3"/>
        <v>30</v>
      </c>
      <c r="B38" s="257">
        <f t="shared" si="6"/>
        <v>33785029.78</v>
      </c>
      <c r="C38" s="257">
        <f t="shared" si="1"/>
        <v>360000</v>
      </c>
      <c r="D38" s="257">
        <f t="shared" si="2"/>
        <v>2454100.093</v>
      </c>
      <c r="E38" s="257">
        <f t="shared" si="4"/>
        <v>36599129.87</v>
      </c>
      <c r="F38" s="257">
        <f t="shared" si="5"/>
        <v>10800000</v>
      </c>
    </row>
    <row r="39">
      <c r="A39" s="256">
        <f t="shared" si="3"/>
        <v>31</v>
      </c>
      <c r="B39" s="257">
        <f t="shared" si="6"/>
        <v>36599129.87</v>
      </c>
      <c r="C39" s="257">
        <f t="shared" si="1"/>
        <v>360000</v>
      </c>
      <c r="D39" s="257">
        <f t="shared" si="2"/>
        <v>2657531.616</v>
      </c>
      <c r="E39" s="257">
        <f t="shared" si="4"/>
        <v>39616661.49</v>
      </c>
      <c r="F39" s="257">
        <f t="shared" si="5"/>
        <v>11160000</v>
      </c>
    </row>
    <row r="40">
      <c r="A40" s="256">
        <f t="shared" si="3"/>
        <v>32</v>
      </c>
      <c r="B40" s="257">
        <f t="shared" si="6"/>
        <v>39616661.49</v>
      </c>
      <c r="C40" s="257">
        <f t="shared" si="1"/>
        <v>360000</v>
      </c>
      <c r="D40" s="257">
        <f t="shared" si="2"/>
        <v>2875669.221</v>
      </c>
      <c r="E40" s="257">
        <f t="shared" si="4"/>
        <v>42852330.71</v>
      </c>
      <c r="F40" s="257">
        <f t="shared" si="5"/>
        <v>11520000</v>
      </c>
    </row>
    <row r="41">
      <c r="A41" s="256">
        <f t="shared" si="3"/>
        <v>33</v>
      </c>
      <c r="B41" s="257">
        <f t="shared" si="6"/>
        <v>42852330.71</v>
      </c>
      <c r="C41" s="257">
        <f t="shared" si="1"/>
        <v>360000</v>
      </c>
      <c r="D41" s="257">
        <f t="shared" si="2"/>
        <v>3109576.011</v>
      </c>
      <c r="E41" s="257">
        <f t="shared" si="4"/>
        <v>46321906.72</v>
      </c>
      <c r="F41" s="257">
        <f t="shared" si="5"/>
        <v>11880000</v>
      </c>
    </row>
    <row r="42">
      <c r="A42" s="256">
        <f t="shared" si="3"/>
        <v>34</v>
      </c>
      <c r="B42" s="257">
        <f t="shared" si="6"/>
        <v>46321906.72</v>
      </c>
      <c r="C42" s="257">
        <f t="shared" si="1"/>
        <v>360000</v>
      </c>
      <c r="D42" s="257">
        <f t="shared" si="2"/>
        <v>3360391.941</v>
      </c>
      <c r="E42" s="257">
        <f t="shared" si="4"/>
        <v>50042298.66</v>
      </c>
      <c r="F42" s="257">
        <f t="shared" si="5"/>
        <v>12240000</v>
      </c>
    </row>
    <row r="43">
      <c r="A43" s="256">
        <f t="shared" si="3"/>
        <v>35</v>
      </c>
      <c r="B43" s="257">
        <f t="shared" si="6"/>
        <v>50042298.66</v>
      </c>
      <c r="C43" s="257">
        <f t="shared" si="1"/>
        <v>360000</v>
      </c>
      <c r="D43" s="257">
        <f t="shared" si="2"/>
        <v>3629339.375</v>
      </c>
      <c r="E43" s="257">
        <f t="shared" si="4"/>
        <v>54031638.04</v>
      </c>
      <c r="F43" s="257">
        <f t="shared" si="5"/>
        <v>12600000</v>
      </c>
    </row>
    <row r="44">
      <c r="A44" s="256">
        <f t="shared" si="3"/>
        <v>36</v>
      </c>
      <c r="B44" s="257">
        <f t="shared" si="6"/>
        <v>54031638.04</v>
      </c>
      <c r="C44" s="257">
        <f t="shared" si="1"/>
        <v>360000</v>
      </c>
      <c r="D44" s="257">
        <f t="shared" si="2"/>
        <v>3917729.041</v>
      </c>
      <c r="E44" s="257">
        <f t="shared" si="4"/>
        <v>58309367.08</v>
      </c>
      <c r="F44" s="257">
        <f t="shared" si="5"/>
        <v>12960000</v>
      </c>
    </row>
    <row r="45">
      <c r="A45" s="256">
        <f t="shared" si="3"/>
        <v>37</v>
      </c>
      <c r="B45" s="257">
        <f t="shared" si="6"/>
        <v>58309367.08</v>
      </c>
      <c r="C45" s="257">
        <f t="shared" si="1"/>
        <v>360000</v>
      </c>
      <c r="D45" s="257">
        <f t="shared" si="2"/>
        <v>4226966.42</v>
      </c>
      <c r="E45" s="257">
        <f t="shared" si="4"/>
        <v>62896333.5</v>
      </c>
      <c r="F45" s="257">
        <f t="shared" si="5"/>
        <v>13320000</v>
      </c>
    </row>
    <row r="46">
      <c r="A46" s="256">
        <f t="shared" si="3"/>
        <v>38</v>
      </c>
      <c r="B46" s="257">
        <f t="shared" si="6"/>
        <v>62896333.5</v>
      </c>
      <c r="C46" s="257">
        <f t="shared" si="1"/>
        <v>360000</v>
      </c>
      <c r="D46" s="257">
        <f t="shared" si="2"/>
        <v>4558558.593</v>
      </c>
      <c r="E46" s="257">
        <f t="shared" si="4"/>
        <v>67814892.09</v>
      </c>
      <c r="F46" s="257">
        <f t="shared" si="5"/>
        <v>13680000</v>
      </c>
    </row>
    <row r="47">
      <c r="A47" s="256">
        <f t="shared" si="3"/>
        <v>39</v>
      </c>
      <c r="B47" s="257">
        <f t="shared" si="6"/>
        <v>67814892.09</v>
      </c>
      <c r="C47" s="257">
        <f t="shared" si="1"/>
        <v>360000</v>
      </c>
      <c r="D47" s="257">
        <f t="shared" si="2"/>
        <v>4914121.591</v>
      </c>
      <c r="E47" s="257">
        <f t="shared" si="4"/>
        <v>73089013.68</v>
      </c>
      <c r="F47" s="257">
        <f t="shared" si="5"/>
        <v>14040000</v>
      </c>
    </row>
    <row r="48">
      <c r="A48" s="256">
        <f t="shared" si="3"/>
        <v>40</v>
      </c>
      <c r="B48" s="257">
        <f t="shared" si="6"/>
        <v>73089013.68</v>
      </c>
      <c r="C48" s="257">
        <f t="shared" si="1"/>
        <v>360000</v>
      </c>
      <c r="D48" s="257">
        <f t="shared" si="2"/>
        <v>5295388.267</v>
      </c>
      <c r="E48" s="257">
        <f t="shared" si="4"/>
        <v>78744401.95</v>
      </c>
      <c r="F48" s="257">
        <f t="shared" si="5"/>
        <v>14400000</v>
      </c>
    </row>
    <row r="49">
      <c r="A49" s="256">
        <f t="shared" si="3"/>
        <v>41</v>
      </c>
      <c r="B49" s="257">
        <f t="shared" si="6"/>
        <v>78744401.95</v>
      </c>
      <c r="C49" s="257">
        <f t="shared" si="1"/>
        <v>360000</v>
      </c>
      <c r="D49" s="257">
        <f t="shared" si="2"/>
        <v>5704216.743</v>
      </c>
      <c r="E49" s="257">
        <f t="shared" si="4"/>
        <v>84808618.69</v>
      </c>
      <c r="F49" s="257">
        <f t="shared" si="5"/>
        <v>14760000</v>
      </c>
    </row>
    <row r="50">
      <c r="A50" s="256">
        <f t="shared" si="3"/>
        <v>42</v>
      </c>
      <c r="B50" s="257">
        <f t="shared" si="6"/>
        <v>84808618.69</v>
      </c>
      <c r="C50" s="257">
        <f t="shared" si="1"/>
        <v>360000</v>
      </c>
      <c r="D50" s="257">
        <f t="shared" si="2"/>
        <v>6142599.461</v>
      </c>
      <c r="E50" s="257">
        <f t="shared" si="4"/>
        <v>91311218.15</v>
      </c>
      <c r="F50" s="257">
        <f t="shared" si="5"/>
        <v>15120000</v>
      </c>
    </row>
    <row r="51">
      <c r="A51" s="256">
        <f t="shared" si="3"/>
        <v>43</v>
      </c>
      <c r="B51" s="257">
        <f t="shared" si="6"/>
        <v>91311218.15</v>
      </c>
      <c r="C51" s="257">
        <f t="shared" si="1"/>
        <v>360000</v>
      </c>
      <c r="D51" s="257">
        <f t="shared" si="2"/>
        <v>6612672.902</v>
      </c>
      <c r="E51" s="257">
        <f t="shared" si="4"/>
        <v>98283891.06</v>
      </c>
      <c r="F51" s="257">
        <f t="shared" si="5"/>
        <v>15480000</v>
      </c>
    </row>
    <row r="52">
      <c r="A52" s="256">
        <f t="shared" si="3"/>
        <v>44</v>
      </c>
      <c r="B52" s="257">
        <f t="shared" si="6"/>
        <v>98283891.06</v>
      </c>
      <c r="C52" s="257">
        <f t="shared" si="1"/>
        <v>360000</v>
      </c>
      <c r="D52" s="257">
        <f t="shared" si="2"/>
        <v>7116727.99</v>
      </c>
      <c r="E52" s="257">
        <f t="shared" si="4"/>
        <v>105760619</v>
      </c>
      <c r="F52" s="257">
        <f t="shared" si="5"/>
        <v>15840000</v>
      </c>
    </row>
    <row r="53">
      <c r="A53" s="256">
        <f t="shared" si="3"/>
        <v>45</v>
      </c>
      <c r="B53" s="257">
        <f t="shared" si="6"/>
        <v>105760619</v>
      </c>
      <c r="C53" s="257">
        <f t="shared" si="1"/>
        <v>360000</v>
      </c>
      <c r="D53" s="257">
        <f t="shared" si="2"/>
        <v>7657221.261</v>
      </c>
      <c r="E53" s="257">
        <f t="shared" si="4"/>
        <v>113777840.3</v>
      </c>
      <c r="F53" s="257">
        <f t="shared" si="5"/>
        <v>16200000</v>
      </c>
    </row>
    <row r="54">
      <c r="A54" s="256">
        <f t="shared" si="3"/>
        <v>46</v>
      </c>
      <c r="B54" s="257">
        <f t="shared" si="6"/>
        <v>113777840.3</v>
      </c>
      <c r="C54" s="257">
        <f t="shared" si="1"/>
        <v>360000</v>
      </c>
      <c r="D54" s="257">
        <f t="shared" si="2"/>
        <v>8236786.834</v>
      </c>
      <c r="E54" s="257">
        <f t="shared" si="4"/>
        <v>122374627.1</v>
      </c>
      <c r="F54" s="257">
        <f t="shared" si="5"/>
        <v>16560000</v>
      </c>
    </row>
    <row r="55">
      <c r="A55" s="256">
        <f t="shared" si="3"/>
        <v>47</v>
      </c>
      <c r="B55" s="257">
        <f t="shared" si="6"/>
        <v>122374627.1</v>
      </c>
      <c r="C55" s="257">
        <f t="shared" si="1"/>
        <v>360000</v>
      </c>
      <c r="D55" s="257">
        <f t="shared" si="2"/>
        <v>8858249.249</v>
      </c>
      <c r="E55" s="257">
        <f t="shared" si="4"/>
        <v>131592876.4</v>
      </c>
      <c r="F55" s="257">
        <f t="shared" si="5"/>
        <v>16920000</v>
      </c>
    </row>
    <row r="56">
      <c r="A56" s="256">
        <f t="shared" si="3"/>
        <v>48</v>
      </c>
      <c r="B56" s="257">
        <f t="shared" si="6"/>
        <v>131592876.4</v>
      </c>
      <c r="C56" s="257">
        <f t="shared" si="1"/>
        <v>360000</v>
      </c>
      <c r="D56" s="257">
        <f t="shared" si="2"/>
        <v>9524637.233</v>
      </c>
      <c r="E56" s="257">
        <f t="shared" si="4"/>
        <v>141477513.6</v>
      </c>
      <c r="F56" s="257">
        <f t="shared" si="5"/>
        <v>17280000</v>
      </c>
    </row>
    <row r="57">
      <c r="A57" s="256">
        <f t="shared" si="3"/>
        <v>49</v>
      </c>
      <c r="B57" s="257">
        <f t="shared" si="6"/>
        <v>141477513.6</v>
      </c>
      <c r="C57" s="257">
        <f t="shared" si="1"/>
        <v>360000</v>
      </c>
      <c r="D57" s="257">
        <f t="shared" si="2"/>
        <v>10239198.46</v>
      </c>
      <c r="E57" s="257">
        <f t="shared" si="4"/>
        <v>152076712.1</v>
      </c>
      <c r="F57" s="257">
        <f t="shared" si="5"/>
        <v>17640000</v>
      </c>
    </row>
    <row r="58">
      <c r="A58" s="256">
        <f t="shared" si="3"/>
        <v>50</v>
      </c>
      <c r="B58" s="257">
        <f t="shared" si="6"/>
        <v>152076712.1</v>
      </c>
      <c r="C58" s="257">
        <f t="shared" si="1"/>
        <v>360000</v>
      </c>
      <c r="D58" s="257">
        <f t="shared" si="2"/>
        <v>11005415.37</v>
      </c>
      <c r="E58" s="257">
        <f t="shared" si="4"/>
        <v>163442127.5</v>
      </c>
      <c r="F58" s="257">
        <f t="shared" si="5"/>
        <v>18000000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hyperlinks>
    <hyperlink r:id="rId1" ref="E4"/>
  </hyperlinks>
  <printOptions/>
  <pageMargins bottom="0.75" footer="0.0" header="0.0" left="0.7" right="0.7" top="0.75"/>
  <pageSetup orientation="landscape"/>
  <drawing r:id="rId2"/>
</worksheet>
</file>