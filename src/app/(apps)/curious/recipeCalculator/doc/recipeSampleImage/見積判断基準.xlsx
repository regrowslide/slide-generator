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rious0211-my.sharepoint.com/personal/masashi-s_curiouscorp_jp/Documents/"/>
    </mc:Choice>
  </mc:AlternateContent>
  <xr:revisionPtr revIDLastSave="0" documentId="8_{C4935C76-CDEC-4A25-BC60-94A335964B64}" xr6:coauthVersionLast="47" xr6:coauthVersionMax="47" xr10:uidLastSave="{00000000-0000-0000-0000-000000000000}"/>
  <bookViews>
    <workbookView xWindow="-108" yWindow="-108" windowWidth="23256" windowHeight="12456" xr2:uid="{6381F717-E57A-40C4-AF32-F0B0CFD4D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F15" i="1"/>
  <c r="J15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F3" i="1"/>
  <c r="J3" i="1" s="1"/>
  <c r="F4" i="1"/>
  <c r="J4" i="1" s="1"/>
  <c r="F5" i="1"/>
  <c r="J5" i="1" s="1"/>
  <c r="F6" i="1"/>
  <c r="J6" i="1" s="1"/>
  <c r="F7" i="1"/>
  <c r="J7" i="1" s="1"/>
  <c r="F8" i="1"/>
  <c r="J8" i="1" s="1"/>
  <c r="F9" i="1"/>
  <c r="J9" i="1" s="1"/>
  <c r="F10" i="1"/>
  <c r="F11" i="1"/>
  <c r="F12" i="1"/>
  <c r="J12" i="1" s="1"/>
  <c r="F13" i="1"/>
  <c r="J13" i="1" s="1"/>
  <c r="F14" i="1"/>
  <c r="J14" i="1" s="1"/>
  <c r="F2" i="1"/>
  <c r="J2" i="1" s="1"/>
  <c r="I2" i="1"/>
</calcChain>
</file>

<file path=xl/sharedStrings.xml><?xml version="1.0" encoding="utf-8"?>
<sst xmlns="http://schemas.openxmlformats.org/spreadsheetml/2006/main" count="40" uniqueCount="15">
  <si>
    <t>最低粗利額</t>
    <rPh sb="0" eb="2">
      <t>サイテイ</t>
    </rPh>
    <rPh sb="2" eb="4">
      <t>アラリ</t>
    </rPh>
    <rPh sb="4" eb="5">
      <t>ガク</t>
    </rPh>
    <phoneticPr fontId="2"/>
  </si>
  <si>
    <t>最低粗利率</t>
    <rPh sb="0" eb="2">
      <t>サイテイ</t>
    </rPh>
    <rPh sb="2" eb="5">
      <t>アラリリツ</t>
    </rPh>
    <phoneticPr fontId="2"/>
  </si>
  <si>
    <t>製造数</t>
    <rPh sb="0" eb="2">
      <t>セイゾウ</t>
    </rPh>
    <rPh sb="2" eb="3">
      <t>スウ</t>
    </rPh>
    <phoneticPr fontId="2"/>
  </si>
  <si>
    <t>売価</t>
    <rPh sb="0" eb="2">
      <t>バイカ</t>
    </rPh>
    <phoneticPr fontId="2"/>
  </si>
  <si>
    <t>人件費</t>
    <rPh sb="0" eb="3">
      <t>ジンケンヒ</t>
    </rPh>
    <phoneticPr fontId="2"/>
  </si>
  <si>
    <t>粗利</t>
    <rPh sb="0" eb="2">
      <t>アラリ</t>
    </rPh>
    <phoneticPr fontId="2"/>
  </si>
  <si>
    <t>粗利人件費</t>
    <rPh sb="0" eb="2">
      <t>アラリ</t>
    </rPh>
    <rPh sb="2" eb="5">
      <t>ジンケンヒ</t>
    </rPh>
    <phoneticPr fontId="2"/>
  </si>
  <si>
    <t>原材料費</t>
    <rPh sb="0" eb="3">
      <t>ゲンザイリョウ</t>
    </rPh>
    <rPh sb="3" eb="4">
      <t>ヒ</t>
    </rPh>
    <phoneticPr fontId="2"/>
  </si>
  <si>
    <t>最低粗利人件費率（且つ）</t>
    <rPh sb="0" eb="2">
      <t>サイテイ</t>
    </rPh>
    <rPh sb="2" eb="4">
      <t>アラリ</t>
    </rPh>
    <rPh sb="4" eb="7">
      <t>ジンケンヒ</t>
    </rPh>
    <rPh sb="7" eb="8">
      <t>リツ</t>
    </rPh>
    <rPh sb="9" eb="10">
      <t>カ</t>
    </rPh>
    <phoneticPr fontId="2"/>
  </si>
  <si>
    <t>毎月契約</t>
    <rPh sb="0" eb="2">
      <t>マイツキ</t>
    </rPh>
    <rPh sb="2" eb="4">
      <t>ケイヤク</t>
    </rPh>
    <phoneticPr fontId="2"/>
  </si>
  <si>
    <t>工場長</t>
    <rPh sb="0" eb="2">
      <t>コウジョウ</t>
    </rPh>
    <rPh sb="2" eb="3">
      <t>チョウ</t>
    </rPh>
    <phoneticPr fontId="2"/>
  </si>
  <si>
    <t>担当営業</t>
    <rPh sb="0" eb="2">
      <t>タントウ</t>
    </rPh>
    <rPh sb="2" eb="4">
      <t>エイギョウ</t>
    </rPh>
    <phoneticPr fontId="2"/>
  </si>
  <si>
    <t>代表</t>
    <rPh sb="0" eb="2">
      <t>ダイヒョウ</t>
    </rPh>
    <phoneticPr fontId="2"/>
  </si>
  <si>
    <t>基準内見積承認者</t>
    <rPh sb="0" eb="3">
      <t>キジュンナイ</t>
    </rPh>
    <rPh sb="3" eb="5">
      <t>ミツ</t>
    </rPh>
    <rPh sb="5" eb="8">
      <t>ショウニンシャ</t>
    </rPh>
    <phoneticPr fontId="2"/>
  </si>
  <si>
    <t>基準外見積承認者</t>
    <rPh sb="0" eb="2">
      <t>キジュン</t>
    </rPh>
    <rPh sb="2" eb="3">
      <t>ガイ</t>
    </rPh>
    <rPh sb="3" eb="5">
      <t>ミツ</t>
    </rPh>
    <rPh sb="5" eb="8">
      <t>ショウニンシャ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</si>
</sst>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6" fontId="0" fillId="0" borderId="0" xfId="1" applyFont="1">
      <alignment vertical="center"/>
    </xf>
    <xf numFmtId="9" fontId="0" fillId="0" borderId="0" xfId="2" applyFont="1">
      <alignment vertical="center"/>
    </xf>
    <xf numFmtId="0" fontId="0" fillId="2" borderId="0" xfId="0" applyFill="1">
      <alignment vertical="center"/>
    </xf>
    <xf numFmtId="6" fontId="0" fillId="2" borderId="0" xfId="1" applyFont="1" applyFill="1">
      <alignment vertical="center"/>
    </xf>
    <xf numFmtId="6" fontId="0" fillId="2" borderId="0" xfId="0" applyNumberFormat="1" applyFill="1">
      <alignment vertical="center"/>
    </xf>
    <xf numFmtId="0" fontId="0" fillId="3" borderId="0" xfId="0" applyFill="1">
      <alignment vertical="center"/>
    </xf>
  </cellXfs>
  <cellStyles count="3">
    <cellStyle name="パーセント" xfId="2" builtinId="5"/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E0EF-9632-4248-A9A1-0815F67F6720}">
  <dimension ref="A1:L15"/>
  <sheetViews>
    <sheetView tabSelected="1" workbookViewId="0">
      <selection activeCell="K1" sqref="K1"/>
    </sheetView>
  </sheetViews>
  <sheetFormatPr defaultRowHeight="18" x14ac:dyDescent="0.45"/>
  <cols>
    <col min="2" max="2" width="10.3984375" bestFit="1" customWidth="1"/>
    <col min="3" max="3" width="10.3984375" style="1" bestFit="1" customWidth="1"/>
    <col min="4" max="4" width="20.19921875" style="2" bestFit="1" customWidth="1"/>
    <col min="5" max="5" width="24.09765625" bestFit="1" customWidth="1"/>
    <col min="6" max="6" width="8.796875" style="1"/>
    <col min="8" max="9" width="12.59765625" bestFit="1" customWidth="1"/>
    <col min="11" max="11" width="16.296875" bestFit="1" customWidth="1"/>
    <col min="12" max="12" width="12.3984375" bestFit="1" customWidth="1"/>
  </cols>
  <sheetData>
    <row r="1" spans="1:12" x14ac:dyDescent="0.45">
      <c r="B1" t="s">
        <v>2</v>
      </c>
      <c r="C1" s="1" t="s">
        <v>0</v>
      </c>
      <c r="D1" s="2" t="s">
        <v>1</v>
      </c>
      <c r="E1" s="2" t="s">
        <v>8</v>
      </c>
      <c r="F1" s="3" t="s">
        <v>3</v>
      </c>
      <c r="G1" s="4" t="s">
        <v>4</v>
      </c>
      <c r="H1" s="3" t="s">
        <v>5</v>
      </c>
      <c r="I1" s="3" t="s">
        <v>6</v>
      </c>
      <c r="J1" s="3" t="s">
        <v>7</v>
      </c>
      <c r="K1" s="6" t="s">
        <v>13</v>
      </c>
      <c r="L1" s="6" t="s">
        <v>14</v>
      </c>
    </row>
    <row r="2" spans="1:12" x14ac:dyDescent="0.45">
      <c r="B2">
        <v>100</v>
      </c>
      <c r="C2" s="1">
        <v>300</v>
      </c>
      <c r="D2" s="2">
        <v>0.5</v>
      </c>
      <c r="E2" s="2">
        <v>2</v>
      </c>
      <c r="F2" s="4">
        <f>+H2/D2</f>
        <v>600</v>
      </c>
      <c r="G2" s="4">
        <v>80</v>
      </c>
      <c r="H2" s="4">
        <v>300</v>
      </c>
      <c r="I2" s="3">
        <f>+H2/G2</f>
        <v>3.75</v>
      </c>
      <c r="J2" s="5">
        <f>+F2-G2-H2</f>
        <v>220</v>
      </c>
      <c r="K2" t="s">
        <v>11</v>
      </c>
      <c r="L2" t="s">
        <v>10</v>
      </c>
    </row>
    <row r="3" spans="1:12" x14ac:dyDescent="0.45">
      <c r="B3">
        <v>300</v>
      </c>
      <c r="C3" s="1">
        <v>250</v>
      </c>
      <c r="D3" s="2">
        <v>0.45</v>
      </c>
      <c r="E3" s="2">
        <v>2</v>
      </c>
      <c r="F3" s="4">
        <f t="shared" ref="F3:F15" si="0">+H3/D3</f>
        <v>555.55555555555554</v>
      </c>
      <c r="G3" s="4">
        <v>80</v>
      </c>
      <c r="H3" s="4">
        <v>250</v>
      </c>
      <c r="I3" s="3">
        <f t="shared" ref="I3:I15" si="1">+H3/G3</f>
        <v>3.125</v>
      </c>
      <c r="J3" s="5">
        <f t="shared" ref="J3:J15" si="2">+F3-G3-H3</f>
        <v>225.55555555555554</v>
      </c>
      <c r="K3" t="s">
        <v>11</v>
      </c>
      <c r="L3" t="s">
        <v>10</v>
      </c>
    </row>
    <row r="4" spans="1:12" x14ac:dyDescent="0.45">
      <c r="B4">
        <v>500</v>
      </c>
      <c r="C4" s="1">
        <v>150</v>
      </c>
      <c r="D4" s="2">
        <v>0.4</v>
      </c>
      <c r="E4" s="2">
        <v>1.5</v>
      </c>
      <c r="F4" s="4">
        <f t="shared" si="0"/>
        <v>375</v>
      </c>
      <c r="G4" s="4">
        <v>80</v>
      </c>
      <c r="H4" s="4">
        <v>150</v>
      </c>
      <c r="I4" s="3">
        <f t="shared" si="1"/>
        <v>1.875</v>
      </c>
      <c r="J4" s="5">
        <f t="shared" si="2"/>
        <v>145</v>
      </c>
      <c r="K4" t="s">
        <v>11</v>
      </c>
      <c r="L4" t="s">
        <v>10</v>
      </c>
    </row>
    <row r="5" spans="1:12" x14ac:dyDescent="0.45">
      <c r="B5">
        <v>1000</v>
      </c>
      <c r="C5" s="1">
        <v>100</v>
      </c>
      <c r="D5" s="2">
        <v>0.35</v>
      </c>
      <c r="E5" s="2">
        <v>1.2</v>
      </c>
      <c r="F5" s="4">
        <f t="shared" si="0"/>
        <v>285.71428571428572</v>
      </c>
      <c r="G5" s="4">
        <v>80</v>
      </c>
      <c r="H5" s="4">
        <v>100</v>
      </c>
      <c r="I5" s="3">
        <f t="shared" si="1"/>
        <v>1.25</v>
      </c>
      <c r="J5" s="5">
        <f t="shared" si="2"/>
        <v>105.71428571428572</v>
      </c>
      <c r="K5" t="s">
        <v>11</v>
      </c>
      <c r="L5" t="s">
        <v>10</v>
      </c>
    </row>
    <row r="6" spans="1:12" x14ac:dyDescent="0.45">
      <c r="B6">
        <v>2000</v>
      </c>
      <c r="C6" s="1">
        <v>80</v>
      </c>
      <c r="D6" s="2">
        <v>0.32</v>
      </c>
      <c r="E6" s="2">
        <v>1.2</v>
      </c>
      <c r="F6" s="4">
        <f t="shared" si="0"/>
        <v>250</v>
      </c>
      <c r="G6" s="4">
        <v>60</v>
      </c>
      <c r="H6" s="4">
        <v>80</v>
      </c>
      <c r="I6" s="3">
        <f t="shared" si="1"/>
        <v>1.3333333333333333</v>
      </c>
      <c r="J6" s="5">
        <f t="shared" si="2"/>
        <v>110</v>
      </c>
      <c r="K6" t="s">
        <v>11</v>
      </c>
      <c r="L6" t="s">
        <v>10</v>
      </c>
    </row>
    <row r="7" spans="1:12" x14ac:dyDescent="0.45">
      <c r="B7">
        <v>3000</v>
      </c>
      <c r="C7" s="1">
        <v>80</v>
      </c>
      <c r="D7" s="2">
        <v>0.3</v>
      </c>
      <c r="E7" s="2">
        <v>1.2</v>
      </c>
      <c r="F7" s="4">
        <f t="shared" si="0"/>
        <v>266.66666666666669</v>
      </c>
      <c r="G7" s="4">
        <v>60</v>
      </c>
      <c r="H7" s="4">
        <v>80</v>
      </c>
      <c r="I7" s="3">
        <f t="shared" si="1"/>
        <v>1.3333333333333333</v>
      </c>
      <c r="J7" s="5">
        <f t="shared" si="2"/>
        <v>126.66666666666669</v>
      </c>
      <c r="K7" t="s">
        <v>10</v>
      </c>
      <c r="L7" t="s">
        <v>12</v>
      </c>
    </row>
    <row r="8" spans="1:12" x14ac:dyDescent="0.45">
      <c r="B8">
        <v>4000</v>
      </c>
      <c r="C8" s="1">
        <v>80</v>
      </c>
      <c r="D8" s="2">
        <v>0.3</v>
      </c>
      <c r="E8" s="2">
        <v>1.2</v>
      </c>
      <c r="F8" s="4">
        <f t="shared" si="0"/>
        <v>266.66666666666669</v>
      </c>
      <c r="G8" s="4">
        <v>60</v>
      </c>
      <c r="H8" s="3">
        <v>80</v>
      </c>
      <c r="I8" s="3">
        <f t="shared" si="1"/>
        <v>1.3333333333333333</v>
      </c>
      <c r="J8" s="5">
        <f t="shared" si="2"/>
        <v>126.66666666666669</v>
      </c>
      <c r="K8" t="s">
        <v>10</v>
      </c>
      <c r="L8" t="s">
        <v>12</v>
      </c>
    </row>
    <row r="9" spans="1:12" x14ac:dyDescent="0.45">
      <c r="B9">
        <v>5000</v>
      </c>
      <c r="C9" s="1">
        <v>80</v>
      </c>
      <c r="D9" s="2">
        <v>0.3</v>
      </c>
      <c r="E9" s="2">
        <v>1.2</v>
      </c>
      <c r="F9" s="4">
        <f t="shared" si="0"/>
        <v>266.66666666666669</v>
      </c>
      <c r="G9" s="4">
        <v>60</v>
      </c>
      <c r="H9" s="3">
        <v>80</v>
      </c>
      <c r="I9" s="3">
        <f t="shared" si="1"/>
        <v>1.3333333333333333</v>
      </c>
      <c r="J9" s="5">
        <f t="shared" si="2"/>
        <v>126.66666666666669</v>
      </c>
      <c r="K9" t="s">
        <v>10</v>
      </c>
      <c r="L9" t="s">
        <v>12</v>
      </c>
    </row>
    <row r="10" spans="1:12" x14ac:dyDescent="0.45">
      <c r="B10">
        <v>6000</v>
      </c>
      <c r="C10" s="1">
        <v>80</v>
      </c>
      <c r="D10" s="2">
        <v>0.3</v>
      </c>
      <c r="E10" s="2">
        <v>1.2</v>
      </c>
      <c r="F10" s="4">
        <f t="shared" si="0"/>
        <v>266.66666666666669</v>
      </c>
      <c r="G10" s="4">
        <v>60</v>
      </c>
      <c r="H10" s="3">
        <v>80</v>
      </c>
      <c r="I10" s="3">
        <f t="shared" si="1"/>
        <v>1.3333333333333333</v>
      </c>
      <c r="J10" s="5">
        <f t="shared" si="2"/>
        <v>126.66666666666669</v>
      </c>
      <c r="K10" t="s">
        <v>10</v>
      </c>
      <c r="L10" t="s">
        <v>12</v>
      </c>
    </row>
    <row r="11" spans="1:12" x14ac:dyDescent="0.45">
      <c r="B11">
        <v>7000</v>
      </c>
      <c r="C11" s="1">
        <v>60</v>
      </c>
      <c r="D11" s="2">
        <v>0.3</v>
      </c>
      <c r="E11" s="2">
        <v>1.2</v>
      </c>
      <c r="F11" s="4">
        <f t="shared" si="0"/>
        <v>200</v>
      </c>
      <c r="G11" s="4">
        <v>60</v>
      </c>
      <c r="H11" s="3">
        <v>60</v>
      </c>
      <c r="I11" s="3">
        <f t="shared" si="1"/>
        <v>1</v>
      </c>
      <c r="J11" s="5">
        <f t="shared" si="2"/>
        <v>80</v>
      </c>
      <c r="K11" t="s">
        <v>10</v>
      </c>
      <c r="L11" t="s">
        <v>12</v>
      </c>
    </row>
    <row r="12" spans="1:12" x14ac:dyDescent="0.45">
      <c r="B12">
        <v>8000</v>
      </c>
      <c r="C12" s="1">
        <v>60</v>
      </c>
      <c r="D12" s="2">
        <v>0.3</v>
      </c>
      <c r="E12" s="2">
        <v>1</v>
      </c>
      <c r="F12" s="4">
        <f t="shared" si="0"/>
        <v>200</v>
      </c>
      <c r="G12" s="4">
        <v>60</v>
      </c>
      <c r="H12" s="3">
        <v>60</v>
      </c>
      <c r="I12" s="3">
        <f t="shared" si="1"/>
        <v>1</v>
      </c>
      <c r="J12" s="5">
        <f t="shared" si="2"/>
        <v>80</v>
      </c>
      <c r="K12" t="s">
        <v>12</v>
      </c>
      <c r="L12" t="s">
        <v>12</v>
      </c>
    </row>
    <row r="13" spans="1:12" x14ac:dyDescent="0.45">
      <c r="B13">
        <v>9000</v>
      </c>
      <c r="C13" s="1">
        <v>60</v>
      </c>
      <c r="D13" s="2">
        <v>0.3</v>
      </c>
      <c r="E13" s="2">
        <v>1</v>
      </c>
      <c r="F13" s="4">
        <f t="shared" si="0"/>
        <v>200</v>
      </c>
      <c r="G13" s="4">
        <v>60</v>
      </c>
      <c r="H13" s="3">
        <v>60</v>
      </c>
      <c r="I13" s="3">
        <f t="shared" si="1"/>
        <v>1</v>
      </c>
      <c r="J13" s="5">
        <f t="shared" si="2"/>
        <v>80</v>
      </c>
      <c r="K13" t="s">
        <v>12</v>
      </c>
      <c r="L13" t="s">
        <v>12</v>
      </c>
    </row>
    <row r="14" spans="1:12" x14ac:dyDescent="0.45">
      <c r="B14">
        <v>10000</v>
      </c>
      <c r="C14" s="1">
        <v>50</v>
      </c>
      <c r="D14" s="2">
        <v>0.3</v>
      </c>
      <c r="E14" s="2">
        <v>1</v>
      </c>
      <c r="F14" s="4">
        <f t="shared" si="0"/>
        <v>166.66666666666669</v>
      </c>
      <c r="G14" s="4">
        <v>60</v>
      </c>
      <c r="H14" s="3">
        <v>50</v>
      </c>
      <c r="I14" s="3">
        <f t="shared" si="1"/>
        <v>0.83333333333333337</v>
      </c>
      <c r="J14" s="5">
        <f t="shared" si="2"/>
        <v>56.666666666666686</v>
      </c>
      <c r="K14" t="s">
        <v>12</v>
      </c>
      <c r="L14" t="s">
        <v>12</v>
      </c>
    </row>
    <row r="15" spans="1:12" x14ac:dyDescent="0.45">
      <c r="A15" t="s">
        <v>9</v>
      </c>
      <c r="B15">
        <v>10000</v>
      </c>
      <c r="C15" s="1">
        <v>50</v>
      </c>
      <c r="D15" s="2">
        <v>0.25</v>
      </c>
      <c r="E15" s="2">
        <v>1</v>
      </c>
      <c r="F15" s="4">
        <f>+H15/D15</f>
        <v>200</v>
      </c>
      <c r="G15" s="4">
        <v>60</v>
      </c>
      <c r="H15" s="3">
        <v>50</v>
      </c>
      <c r="I15" s="3">
        <f t="shared" si="1"/>
        <v>0.83333333333333337</v>
      </c>
      <c r="J15" s="5">
        <f t="shared" si="2"/>
        <v>90</v>
      </c>
      <c r="K15" t="s">
        <v>12</v>
      </c>
      <c r="L15" t="s">
        <v>12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BF64CDF0421084C9966C74988FB3E5E" ma:contentTypeVersion="10" ma:contentTypeDescription="新しいドキュメントを作成します。" ma:contentTypeScope="" ma:versionID="e96b1172d389af3565717e3dd7e3aa63">
  <xsd:schema xmlns:xsd="http://www.w3.org/2001/XMLSchema" xmlns:xs="http://www.w3.org/2001/XMLSchema" xmlns:p="http://schemas.microsoft.com/office/2006/metadata/properties" xmlns:ns3="1c8b191c-c549-48df-bab0-2fd68f76bc6d" targetNamespace="http://schemas.microsoft.com/office/2006/metadata/properties" ma:root="true" ma:fieldsID="7168c130cd04a905165b5ec5012484db" ns3:_="">
    <xsd:import namespace="1c8b191c-c549-48df-bab0-2fd68f76bc6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8b191c-c549-48df-bab0-2fd68f76bc6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8b191c-c549-48df-bab0-2fd68f76bc6d" xsi:nil="true"/>
  </documentManagement>
</p:properties>
</file>

<file path=customXml/itemProps1.xml><?xml version="1.0" encoding="utf-8"?>
<ds:datastoreItem xmlns:ds="http://schemas.openxmlformats.org/officeDocument/2006/customXml" ds:itemID="{CA239117-FD70-4849-B327-9583BC5E5F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8b191c-c549-48df-bab0-2fd68f76b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7DDC79-BE75-40BF-AB50-0B91E5D88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C9ACCC-8EF4-4F0A-A5C0-E235C5AE986F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1c8b191c-c549-48df-bab0-2fd68f76bc6d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下川雅史 ㈱キュリアス</dc:creator>
  <cp:lastModifiedBy>下川雅史 ㈱キュリアス</cp:lastModifiedBy>
  <dcterms:created xsi:type="dcterms:W3CDTF">2026-02-10T03:41:06Z</dcterms:created>
  <dcterms:modified xsi:type="dcterms:W3CDTF">2026-02-10T04:54:28Z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0x010100EBF64CDF0421084C9966C74988FB3E5E</vt:lpwstr>
  </property>
</Properties>
</file>