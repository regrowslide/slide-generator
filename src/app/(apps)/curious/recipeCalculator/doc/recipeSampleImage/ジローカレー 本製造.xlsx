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325" tabRatio="819"/>
  </bookViews>
  <sheets>
    <sheet name="牛スジカレー本製造" sheetId="17" r:id="rId1"/>
    <sheet name="仕様書" sheetId="14" r:id="rId2"/>
  </sheets>
  <calcPr calcId="144525"/>
</workbook>
</file>

<file path=xl/sharedStrings.xml><?xml version="1.0" encoding="utf-8"?>
<sst xmlns="http://schemas.openxmlformats.org/spreadsheetml/2006/main" count="302" uniqueCount="124">
  <si>
    <t>商品名</t>
  </si>
  <si>
    <t>会社名</t>
  </si>
  <si>
    <t>コンセプト</t>
  </si>
  <si>
    <t>内容量詳細</t>
  </si>
  <si>
    <t>ルー135～140</t>
  </si>
  <si>
    <t>製品状態</t>
  </si>
  <si>
    <t>1人前原価</t>
  </si>
  <si>
    <t>人件費</t>
  </si>
  <si>
    <t>円</t>
  </si>
  <si>
    <t>1人前卸値</t>
  </si>
  <si>
    <t>レシピ作成日</t>
  </si>
  <si>
    <t>成分表示用</t>
  </si>
  <si>
    <t>製造数</t>
  </si>
  <si>
    <t>スジ25～30ｇ</t>
  </si>
  <si>
    <t>レトルト</t>
  </si>
  <si>
    <t>容器</t>
  </si>
  <si>
    <t>レシピ確定日</t>
  </si>
  <si>
    <t>粗利</t>
  </si>
  <si>
    <t>食材名</t>
  </si>
  <si>
    <t>使用量</t>
  </si>
  <si>
    <t>歩留まり</t>
  </si>
  <si>
    <t>備考</t>
  </si>
  <si>
    <t>400食</t>
  </si>
  <si>
    <t>＝</t>
  </si>
  <si>
    <t>仕入れ先</t>
  </si>
  <si>
    <t>メーカー・商品詳細</t>
  </si>
  <si>
    <t>産地</t>
  </si>
  <si>
    <t>1人前使用量</t>
  </si>
  <si>
    <t>1人前内容量</t>
  </si>
  <si>
    <t>単価</t>
  </si>
  <si>
    <t>歩留まり後原価</t>
  </si>
  <si>
    <t>牛肩、腕ブロック</t>
  </si>
  <si>
    <t>龍精肉</t>
  </si>
  <si>
    <t>輸入</t>
  </si>
  <si>
    <t>g</t>
  </si>
  <si>
    <t>輸入牛肉</t>
  </si>
  <si>
    <t>牛ひき筋</t>
  </si>
  <si>
    <t>牛すじ</t>
  </si>
  <si>
    <t>キャノーラ油</t>
  </si>
  <si>
    <t>ハウディ</t>
  </si>
  <si>
    <t>クミン（ホール）</t>
  </si>
  <si>
    <t>ローリエ</t>
  </si>
  <si>
    <t>おろし生姜</t>
  </si>
  <si>
    <t>おろしにんにく</t>
  </si>
  <si>
    <t>A</t>
  </si>
  <si>
    <t>冷凍人参乱切り</t>
  </si>
  <si>
    <t>水</t>
  </si>
  <si>
    <t>ソテーオニオン30</t>
  </si>
  <si>
    <t>ビーフコンソメ</t>
  </si>
  <si>
    <t>西原商会</t>
  </si>
  <si>
    <t>ガラムマサラ（ギャ</t>
  </si>
  <si>
    <t>Aプライス</t>
  </si>
  <si>
    <t>ギャバン</t>
  </si>
  <si>
    <t>ターメリック</t>
  </si>
  <si>
    <t>チリパウダー（ギャ</t>
  </si>
  <si>
    <t>コリアンダー</t>
  </si>
  <si>
    <t>カイエンペッパー</t>
  </si>
  <si>
    <t>三温糖</t>
  </si>
  <si>
    <t>食塩</t>
  </si>
  <si>
    <t>ブラックペッパー</t>
  </si>
  <si>
    <t>ジャワカレー（フレーク</t>
  </si>
  <si>
    <t>牛肉は沸いた湯に通し表面を固める。1口大にカットする</t>
  </si>
  <si>
    <t>Aの人参をスチームで15分程加熱する。水を加えペーストにする。</t>
  </si>
  <si>
    <t>牛筋→牛肩ブロックミックス</t>
  </si>
  <si>
    <t>鍋に油をひきクミンとローリエを炒める。※少量の生姜を入れ泡で温度を見る。</t>
  </si>
  <si>
    <t>香りが立ってきたら生姜、ニンニクを加える。</t>
  </si>
  <si>
    <t>火を弱めてスパイス類を加え炒める。</t>
  </si>
  <si>
    <t>ーーーーーーーー備考ーーーーーーーーー</t>
  </si>
  <si>
    <t>人参Aとオニオンソテーを加える。調味料、水を加え沸かす</t>
  </si>
  <si>
    <t>出来上がり1650ｇ</t>
  </si>
  <si>
    <t>スジ500ｇ→430ｇ</t>
  </si>
  <si>
    <t>弱火にして10分ほど炊いてローリエを取り出す</t>
  </si>
  <si>
    <t>ルーを溶かす。</t>
  </si>
  <si>
    <t>製造予定数</t>
  </si>
  <si>
    <t>食</t>
  </si>
  <si>
    <t>総内容量</t>
  </si>
  <si>
    <t>ｇ</t>
  </si>
  <si>
    <t>納品予定日</t>
  </si>
  <si>
    <t>日</t>
  </si>
  <si>
    <t>包材</t>
  </si>
  <si>
    <t>賞味期限</t>
  </si>
  <si>
    <t>食数</t>
  </si>
  <si>
    <t>仕入れ量</t>
  </si>
  <si>
    <t>内容量計</t>
  </si>
  <si>
    <t xml:space="preserve">
</t>
  </si>
  <si>
    <t>一括表示</t>
  </si>
  <si>
    <t>製造者</t>
  </si>
  <si>
    <t>日付</t>
  </si>
  <si>
    <t>品質確認者</t>
  </si>
  <si>
    <t>製造責任者</t>
  </si>
  <si>
    <t>/</t>
  </si>
  <si>
    <t>検品合格数</t>
  </si>
  <si>
    <t>検品不合格数</t>
  </si>
  <si>
    <t>発送責任者</t>
  </si>
  <si>
    <t>製品の状態</t>
  </si>
  <si>
    <t>試作日時</t>
  </si>
  <si>
    <t>2回目</t>
  </si>
  <si>
    <t>3回目</t>
  </si>
  <si>
    <t>4回目</t>
  </si>
  <si>
    <t>原料とその加工工程</t>
  </si>
  <si>
    <t>本製造101食の所要時間</t>
  </si>
  <si>
    <t>使用した包材</t>
  </si>
  <si>
    <t xml:space="preserve">改善点
</t>
  </si>
  <si>
    <t xml:space="preserve">備考
</t>
  </si>
  <si>
    <t>仕様書</t>
  </si>
  <si>
    <t>担当者名</t>
  </si>
  <si>
    <t>送付先</t>
  </si>
  <si>
    <t>仕様</t>
  </si>
  <si>
    <t>内容量</t>
  </si>
  <si>
    <t>パッケージ</t>
  </si>
  <si>
    <t xml:space="preserve"> シール</t>
  </si>
  <si>
    <t>有</t>
  </si>
  <si>
    <t>無</t>
  </si>
  <si>
    <t xml:space="preserve"> 外箱</t>
  </si>
  <si>
    <t xml:space="preserve"> 一括表示印刷</t>
  </si>
  <si>
    <t>荷姿</t>
  </si>
  <si>
    <t>担当者</t>
  </si>
  <si>
    <t>責任者</t>
  </si>
  <si>
    <t>検査項目</t>
  </si>
  <si>
    <t xml:space="preserve"> 菌検査</t>
  </si>
  <si>
    <t>依頼日：</t>
  </si>
  <si>
    <t>月　　　日（　　）　</t>
  </si>
  <si>
    <t xml:space="preserve"> 栄養成分検査</t>
  </si>
  <si>
    <t xml:space="preserve"> その他検査
 （ 　　　　　　　　　　　　　　）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</si>
</sst>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33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u/>
      <sz val="16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6"/>
      <color theme="1"/>
      <name val="ＭＳ Ｐゴシック"/>
      <charset val="128"/>
      <scheme val="minor"/>
    </font>
    <font>
      <sz val="9"/>
      <color theme="1"/>
      <name val="ＭＳ Ｐゴシック"/>
      <charset val="128"/>
      <scheme val="minor"/>
    </font>
    <font>
      <sz val="11"/>
      <name val="ＭＳ Ｐゴシック"/>
      <charset val="128"/>
    </font>
    <font>
      <sz val="9"/>
      <name val="ＭＳ Ｐゴシック"/>
      <charset val="128"/>
    </font>
    <font>
      <b/>
      <sz val="11"/>
      <name val="ＭＳ Ｐゴシック"/>
      <charset val="128"/>
    </font>
    <font>
      <b/>
      <sz val="12"/>
      <name val="ＭＳ Ｐゴシック"/>
      <charset val="128"/>
    </font>
    <font>
      <sz val="10"/>
      <name val="ＭＳ Ｐゴシック"/>
      <charset val="128"/>
    </font>
    <font>
      <sz val="8"/>
      <name val="ＭＳ Ｐゴシック"/>
      <charset val="128"/>
    </font>
    <font>
      <b/>
      <sz val="14"/>
      <name val="ＭＳ Ｐゴシック"/>
      <charset val="128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25" borderId="5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0" fillId="12" borderId="5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5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9" fillId="19" borderId="57" applyNumberFormat="0" applyAlignment="0" applyProtection="0">
      <alignment vertical="center"/>
    </xf>
    <xf numFmtId="0" fontId="15" fillId="0" borderId="50" applyNumberFormat="0" applyFill="0" applyAlignment="0" applyProtection="0">
      <alignment vertical="center"/>
    </xf>
    <xf numFmtId="0" fontId="32" fillId="0" borderId="50" applyNumberFormat="0" applyFill="0" applyAlignment="0" applyProtection="0">
      <alignment vertical="center"/>
    </xf>
    <xf numFmtId="0" fontId="22" fillId="19" borderId="54" applyNumberFormat="0" applyAlignment="0" applyProtection="0">
      <alignment vertical="center"/>
    </xf>
    <xf numFmtId="0" fontId="27" fillId="0" borderId="5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18" borderId="53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6" fillId="0" borderId="55" applyNumberFormat="0" applyFill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0" applyFont="1" applyFill="1" applyBorder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>
      <alignment vertical="center"/>
    </xf>
    <xf numFmtId="0" fontId="1" fillId="2" borderId="7" xfId="0" applyFont="1" applyFill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1" fillId="0" borderId="16" xfId="0" applyFont="1" applyBorder="1">
      <alignment vertical="center"/>
    </xf>
    <xf numFmtId="0" fontId="1" fillId="0" borderId="17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0" borderId="24" xfId="0" applyFont="1" applyBorder="1">
      <alignment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9" fontId="7" fillId="0" borderId="14" xfId="0" applyNumberFormat="1" applyFont="1" applyFill="1" applyBorder="1" applyAlignment="1" applyProtection="1">
      <alignment horizontal="center" vertical="center"/>
    </xf>
    <xf numFmtId="9" fontId="7" fillId="0" borderId="32" xfId="0" applyNumberFormat="1" applyFont="1" applyBorder="1" applyAlignment="1">
      <alignment horizontal="center" vertical="center"/>
    </xf>
    <xf numFmtId="9" fontId="7" fillId="0" borderId="14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9" fontId="7" fillId="0" borderId="33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3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11" fillId="0" borderId="33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left" wrapText="1"/>
    </xf>
    <xf numFmtId="0" fontId="11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left" wrapText="1"/>
    </xf>
    <xf numFmtId="0" fontId="11" fillId="0" borderId="38" xfId="0" applyFont="1" applyBorder="1" applyAlignment="1">
      <alignment horizontal="center" vertical="center" wrapText="1"/>
    </xf>
    <xf numFmtId="0" fontId="11" fillId="0" borderId="36" xfId="0" applyFont="1" applyBorder="1" applyAlignment="1">
      <alignment vertical="center" wrapText="1"/>
    </xf>
    <xf numFmtId="0" fontId="7" fillId="3" borderId="0" xfId="0" applyFont="1" applyFill="1">
      <alignment vertical="center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7" fillId="0" borderId="37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11" fillId="0" borderId="32" xfId="0" applyFont="1" applyBorder="1" applyAlignment="1">
      <alignment vertical="center" wrapText="1"/>
    </xf>
    <xf numFmtId="0" fontId="7" fillId="4" borderId="4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7" fillId="5" borderId="41" xfId="0" applyFont="1" applyFill="1" applyBorder="1">
      <alignment vertical="center"/>
    </xf>
    <xf numFmtId="0" fontId="7" fillId="5" borderId="0" xfId="0" applyFont="1" applyFill="1">
      <alignment vertical="center"/>
    </xf>
    <xf numFmtId="0" fontId="7" fillId="5" borderId="44" xfId="0" applyFont="1" applyFill="1" applyBorder="1">
      <alignment vertical="center"/>
    </xf>
    <xf numFmtId="0" fontId="12" fillId="5" borderId="2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0" borderId="32" xfId="0" applyFont="1" applyBorder="1">
      <alignment vertical="center"/>
    </xf>
    <xf numFmtId="0" fontId="7" fillId="7" borderId="32" xfId="0" applyFont="1" applyFill="1" applyBorder="1">
      <alignment vertical="center"/>
    </xf>
    <xf numFmtId="0" fontId="12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7" fillId="5" borderId="36" xfId="0" applyFont="1" applyFill="1" applyBorder="1" applyAlignment="1">
      <alignment horizontal="center" vertical="center"/>
    </xf>
    <xf numFmtId="0" fontId="7" fillId="5" borderId="24" xfId="0" applyFont="1" applyFill="1" applyBorder="1">
      <alignment vertical="center"/>
    </xf>
    <xf numFmtId="0" fontId="7" fillId="5" borderId="14" xfId="0" applyFont="1" applyFill="1" applyBorder="1">
      <alignment vertical="center"/>
    </xf>
    <xf numFmtId="0" fontId="7" fillId="5" borderId="33" xfId="0" applyFont="1" applyFill="1" applyBorder="1">
      <alignment vertical="center"/>
    </xf>
    <xf numFmtId="0" fontId="7" fillId="5" borderId="32" xfId="0" applyFont="1" applyFill="1" applyBorder="1">
      <alignment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8" xfId="0" applyFont="1" applyBorder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4" xfId="0" applyFont="1" applyBorder="1">
      <alignment vertical="center"/>
    </xf>
    <xf numFmtId="0" fontId="7" fillId="0" borderId="36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40" xfId="0" applyFont="1" applyBorder="1">
      <alignment vertical="center"/>
    </xf>
    <xf numFmtId="0" fontId="7" fillId="0" borderId="28" xfId="0" applyFont="1" applyBorder="1">
      <alignment vertical="center"/>
    </xf>
    <xf numFmtId="0" fontId="7" fillId="0" borderId="41" xfId="0" applyFont="1" applyBorder="1">
      <alignment vertical="center"/>
    </xf>
    <xf numFmtId="0" fontId="7" fillId="0" borderId="14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7" xfId="0" applyFont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gaju__ba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D186"/>
  <sheetViews>
    <sheetView tabSelected="1" zoomScale="70" zoomScaleNormal="70" topLeftCell="B1" workbookViewId="0">
      <selection activeCell="AQ12" sqref="AQ12:AU12"/>
    </sheetView>
  </sheetViews>
  <sheetFormatPr defaultColWidth="9" defaultRowHeight="13.5"/>
  <cols>
    <col min="1" max="1" width="3.10833333333333" style="41" hidden="1" customWidth="1"/>
    <col min="2" max="9" width="3.10833333333333" style="41" customWidth="1"/>
    <col min="10" max="10" width="1.88333333333333" style="41" customWidth="1"/>
    <col min="11" max="24" width="3.10833333333333" style="41" customWidth="1"/>
    <col min="25" max="25" width="1.88333333333333" style="41" customWidth="1"/>
    <col min="26" max="34" width="3.10833333333333" style="41" customWidth="1"/>
    <col min="35" max="37" width="8.10833333333333" style="41" customWidth="1"/>
    <col min="38" max="43" width="3.10833333333333" style="41" customWidth="1"/>
    <col min="44" max="44" width="7.44166666666667" style="41" customWidth="1"/>
    <col min="45" max="49" width="3.10833333333333" style="41" customWidth="1"/>
    <col min="50" max="50" width="1.88333333333333" style="41" customWidth="1"/>
    <col min="51" max="52" width="3.10833333333333" style="41" customWidth="1"/>
    <col min="53" max="53" width="1.88333333333333" style="41" customWidth="1"/>
    <col min="54" max="85" width="3.10833333333333" style="41" customWidth="1"/>
    <col min="86" max="86" width="5" style="41" customWidth="1"/>
    <col min="87" max="87" width="3.10833333333333" style="41" customWidth="1"/>
    <col min="88" max="88" width="1.88333333333333" style="41" customWidth="1"/>
    <col min="89" max="91" width="3.10833333333333" style="41" customWidth="1"/>
    <col min="92" max="92" width="3.88333333333333" style="41" customWidth="1"/>
    <col min="93" max="102" width="3.10833333333333" style="41" customWidth="1"/>
    <col min="103" max="103" width="1.88333333333333" style="41" customWidth="1"/>
    <col min="104" max="127" width="3.10833333333333" style="41" customWidth="1"/>
    <col min="128" max="16382" width="9" style="41"/>
  </cols>
  <sheetData>
    <row r="1" ht="16.5" customHeight="1" spans="2:99">
      <c r="B1" s="42" t="s">
        <v>0</v>
      </c>
      <c r="C1" s="43"/>
      <c r="D1" s="43"/>
      <c r="E1" s="43"/>
      <c r="F1" s="44"/>
      <c r="G1" s="42" t="s">
        <v>1</v>
      </c>
      <c r="H1" s="43"/>
      <c r="I1" s="43"/>
      <c r="J1" s="44"/>
      <c r="L1" s="69" t="s">
        <v>2</v>
      </c>
      <c r="M1" s="70"/>
      <c r="N1" s="70"/>
      <c r="O1" s="70"/>
      <c r="P1" s="70"/>
      <c r="Q1" s="70"/>
      <c r="R1" s="70"/>
      <c r="S1" s="70"/>
      <c r="T1" s="99"/>
      <c r="U1" s="100" t="s">
        <v>3</v>
      </c>
      <c r="V1" s="100"/>
      <c r="W1" s="56" t="s">
        <v>4</v>
      </c>
      <c r="X1" s="79"/>
      <c r="Y1" s="79"/>
      <c r="Z1" s="79"/>
      <c r="AA1" s="79"/>
      <c r="AB1" s="79"/>
      <c r="AC1" s="79"/>
      <c r="AD1" s="80"/>
      <c r="AE1" s="116"/>
      <c r="AF1" s="117" t="s">
        <v>0</v>
      </c>
      <c r="AG1" s="125"/>
      <c r="AH1" s="125"/>
      <c r="AI1" s="125"/>
      <c r="AJ1" s="125"/>
      <c r="AK1" s="125"/>
      <c r="AL1" s="125"/>
      <c r="AM1" s="125"/>
      <c r="AN1" s="125"/>
      <c r="AO1" s="125"/>
      <c r="AP1" s="131" t="s">
        <v>5</v>
      </c>
      <c r="AQ1" s="132"/>
      <c r="AR1" s="132"/>
      <c r="AS1" s="133"/>
      <c r="AT1" s="134" t="s">
        <v>6</v>
      </c>
      <c r="AU1" s="135"/>
      <c r="AV1" s="135"/>
      <c r="AW1" s="135"/>
      <c r="AX1" s="135"/>
      <c r="AY1" s="135"/>
      <c r="AZ1" s="135"/>
      <c r="BA1" s="135"/>
      <c r="BB1" s="55" t="s">
        <v>7</v>
      </c>
      <c r="BC1" s="55"/>
      <c r="BD1" s="153">
        <v>80</v>
      </c>
      <c r="BE1" s="153"/>
      <c r="BF1" s="153"/>
      <c r="BG1" s="161" t="s">
        <v>8</v>
      </c>
      <c r="BH1" s="153" t="s">
        <v>9</v>
      </c>
      <c r="BI1" s="153"/>
      <c r="BJ1" s="153"/>
      <c r="BK1" s="116"/>
      <c r="BL1" s="153" t="s">
        <v>10</v>
      </c>
      <c r="BM1" s="153"/>
      <c r="BN1" s="153"/>
      <c r="BO1" s="55"/>
      <c r="BP1" s="55"/>
      <c r="BQ1" s="55"/>
      <c r="BR1" s="116"/>
      <c r="BS1" s="170" t="s">
        <v>11</v>
      </c>
      <c r="BT1" s="170"/>
      <c r="BU1" s="170"/>
      <c r="BV1" s="170"/>
      <c r="BW1" s="170"/>
      <c r="BX1" s="170"/>
      <c r="BY1" s="170"/>
      <c r="BZ1" s="170"/>
      <c r="CA1" s="170"/>
      <c r="CB1" s="66" t="s">
        <v>12</v>
      </c>
      <c r="CC1" s="104"/>
      <c r="CD1" s="91"/>
      <c r="CU1" s="178"/>
    </row>
    <row r="2" ht="16.5" customHeight="1" spans="2:99">
      <c r="B2" s="42" t="str">
        <f ca="1">MID(CELL("filename",B2),FIND("]",CELL("filename",B2))+1,31)</f>
        <v>牛スジカレー本製造</v>
      </c>
      <c r="C2" s="43"/>
      <c r="D2" s="43"/>
      <c r="E2" s="43"/>
      <c r="F2" s="44"/>
      <c r="G2" s="45"/>
      <c r="H2" s="46"/>
      <c r="I2" s="46"/>
      <c r="J2" s="71"/>
      <c r="L2" s="72"/>
      <c r="M2" s="73"/>
      <c r="N2" s="73"/>
      <c r="O2" s="73"/>
      <c r="P2" s="73"/>
      <c r="Q2" s="73"/>
      <c r="R2" s="73"/>
      <c r="S2" s="73"/>
      <c r="T2" s="101"/>
      <c r="U2" s="100"/>
      <c r="V2" s="100"/>
      <c r="W2" s="56" t="s">
        <v>13</v>
      </c>
      <c r="X2" s="79"/>
      <c r="Y2" s="79"/>
      <c r="Z2" s="79"/>
      <c r="AA2" s="79"/>
      <c r="AB2" s="79"/>
      <c r="AC2" s="79"/>
      <c r="AD2" s="80"/>
      <c r="AE2" s="116"/>
      <c r="AF2" s="118" t="str">
        <f ca="1">MID(CELL("filename",AF2),FIND("]",CELL("filename",AF2))+1,31)</f>
        <v>牛スジカレー本製造</v>
      </c>
      <c r="AG2" s="126"/>
      <c r="AH2" s="126"/>
      <c r="AI2" s="126"/>
      <c r="AJ2" s="126"/>
      <c r="AK2" s="126"/>
      <c r="AL2" s="126"/>
      <c r="AM2" s="126"/>
      <c r="AN2" s="126"/>
      <c r="AO2" s="126"/>
      <c r="AP2" s="136" t="s">
        <v>14</v>
      </c>
      <c r="AQ2" s="137"/>
      <c r="AR2" s="137"/>
      <c r="AS2" s="138"/>
      <c r="AT2" s="139">
        <f>BG56</f>
        <v>148.393536</v>
      </c>
      <c r="AU2" s="140"/>
      <c r="AV2" s="140"/>
      <c r="AW2" s="140"/>
      <c r="AX2" s="140"/>
      <c r="AY2" s="140"/>
      <c r="AZ2" s="140"/>
      <c r="BA2" s="154"/>
      <c r="BB2" s="80" t="s">
        <v>15</v>
      </c>
      <c r="BC2" s="55"/>
      <c r="BD2" s="153">
        <v>25</v>
      </c>
      <c r="BE2" s="153"/>
      <c r="BF2" s="153"/>
      <c r="BG2" s="161" t="s">
        <v>8</v>
      </c>
      <c r="BH2" s="137">
        <f>BD1+BD2+BD3+AT2</f>
        <v>403.393536</v>
      </c>
      <c r="BI2" s="137"/>
      <c r="BJ2" s="137"/>
      <c r="BK2" s="116"/>
      <c r="BL2" s="153" t="s">
        <v>16</v>
      </c>
      <c r="BM2" s="153"/>
      <c r="BN2" s="153"/>
      <c r="BO2" s="55"/>
      <c r="BP2" s="55"/>
      <c r="BQ2" s="55"/>
      <c r="BR2" s="116"/>
      <c r="BS2" s="170"/>
      <c r="BT2" s="170"/>
      <c r="BU2" s="170"/>
      <c r="BV2" s="170"/>
      <c r="BW2" s="170"/>
      <c r="BX2" s="170"/>
      <c r="BY2" s="170"/>
      <c r="BZ2" s="170"/>
      <c r="CA2" s="170"/>
      <c r="CB2" s="172"/>
      <c r="CC2" s="170"/>
      <c r="CD2" s="177"/>
      <c r="CU2" s="178"/>
    </row>
    <row r="3" ht="16.5" customHeight="1" spans="2:99">
      <c r="B3" s="47"/>
      <c r="C3" s="48"/>
      <c r="D3" s="48"/>
      <c r="E3" s="48"/>
      <c r="F3" s="49"/>
      <c r="G3" s="50"/>
      <c r="H3" s="51"/>
      <c r="I3" s="51"/>
      <c r="J3" s="74"/>
      <c r="L3" s="75"/>
      <c r="M3" s="76"/>
      <c r="N3" s="76"/>
      <c r="O3" s="76"/>
      <c r="P3" s="76"/>
      <c r="Q3" s="76"/>
      <c r="R3" s="102"/>
      <c r="S3" s="102"/>
      <c r="T3" s="103"/>
      <c r="U3" s="100"/>
      <c r="V3" s="100"/>
      <c r="W3" s="66"/>
      <c r="X3" s="104"/>
      <c r="Y3" s="79"/>
      <c r="Z3" s="79"/>
      <c r="AA3" s="79"/>
      <c r="AB3" s="79"/>
      <c r="AC3" s="79"/>
      <c r="AD3" s="80"/>
      <c r="AE3" s="116"/>
      <c r="AF3" s="119"/>
      <c r="AG3" s="127"/>
      <c r="AH3" s="127"/>
      <c r="AI3" s="127"/>
      <c r="AJ3" s="127"/>
      <c r="AK3" s="127"/>
      <c r="AL3" s="126"/>
      <c r="AM3" s="126"/>
      <c r="AN3" s="126"/>
      <c r="AO3" s="126"/>
      <c r="AP3" s="141"/>
      <c r="AQ3" s="142"/>
      <c r="AR3" s="142"/>
      <c r="AS3" s="143"/>
      <c r="AT3" s="144"/>
      <c r="AU3" s="145"/>
      <c r="AV3" s="145"/>
      <c r="AW3" s="145"/>
      <c r="AX3" s="145"/>
      <c r="AY3" s="145"/>
      <c r="AZ3" s="145"/>
      <c r="BA3" s="155"/>
      <c r="BB3" s="80" t="s">
        <v>17</v>
      </c>
      <c r="BC3" s="55"/>
      <c r="BD3" s="153">
        <v>150</v>
      </c>
      <c r="BE3" s="153"/>
      <c r="BF3" s="153"/>
      <c r="BG3" s="161" t="s">
        <v>8</v>
      </c>
      <c r="BH3" s="137"/>
      <c r="BI3" s="137"/>
      <c r="BJ3" s="137"/>
      <c r="BK3" s="162" t="s">
        <v>8</v>
      </c>
      <c r="BL3" s="116"/>
      <c r="BM3" s="116"/>
      <c r="BN3" s="116"/>
      <c r="BO3" s="116"/>
      <c r="BP3" s="116"/>
      <c r="BQ3" s="116"/>
      <c r="BR3" s="116"/>
      <c r="BS3" s="170"/>
      <c r="BT3" s="170"/>
      <c r="BU3" s="170"/>
      <c r="BV3" s="170"/>
      <c r="BW3" s="170"/>
      <c r="BX3" s="170"/>
      <c r="BY3" s="170"/>
      <c r="BZ3" s="170"/>
      <c r="CA3" s="170"/>
      <c r="CB3" s="64"/>
      <c r="CC3" s="174"/>
      <c r="CD3" s="89"/>
      <c r="CU3" s="178"/>
    </row>
    <row r="4" ht="16.5" customHeight="1" spans="2:99">
      <c r="B4" s="52"/>
      <c r="C4" s="53" t="s">
        <v>18</v>
      </c>
      <c r="D4" s="53"/>
      <c r="E4" s="53"/>
      <c r="F4" s="53"/>
      <c r="G4" s="53"/>
      <c r="H4" s="52" t="s">
        <v>19</v>
      </c>
      <c r="I4" s="52"/>
      <c r="J4" s="52"/>
      <c r="K4" s="77" t="s">
        <v>20</v>
      </c>
      <c r="L4" s="78"/>
      <c r="M4" s="56" t="s">
        <v>21</v>
      </c>
      <c r="N4" s="79"/>
      <c r="O4" s="80"/>
      <c r="Q4" s="52"/>
      <c r="R4" s="55" t="s">
        <v>22</v>
      </c>
      <c r="S4" s="55"/>
      <c r="T4" s="55"/>
      <c r="U4" s="55"/>
      <c r="V4" s="55"/>
      <c r="W4" s="81" t="s">
        <v>19</v>
      </c>
      <c r="X4" s="81"/>
      <c r="Y4" s="52"/>
      <c r="Z4" s="77" t="s">
        <v>20</v>
      </c>
      <c r="AA4" s="78"/>
      <c r="AB4" s="56" t="s">
        <v>23</v>
      </c>
      <c r="AC4" s="79"/>
      <c r="AD4" s="80"/>
      <c r="AE4" s="116"/>
      <c r="AF4" s="120" t="s">
        <v>24</v>
      </c>
      <c r="AG4" s="120"/>
      <c r="AH4" s="120"/>
      <c r="AI4" s="120" t="s">
        <v>25</v>
      </c>
      <c r="AJ4" s="120"/>
      <c r="AK4" s="120"/>
      <c r="AL4" s="120" t="s">
        <v>26</v>
      </c>
      <c r="AM4" s="120"/>
      <c r="AN4" s="120" t="s">
        <v>21</v>
      </c>
      <c r="AO4" s="120"/>
      <c r="AP4" s="120"/>
      <c r="AQ4" s="146"/>
      <c r="AR4" s="147" t="s">
        <v>18</v>
      </c>
      <c r="AS4" s="147"/>
      <c r="AT4" s="147"/>
      <c r="AU4" s="148"/>
      <c r="AV4" s="149" t="s">
        <v>27</v>
      </c>
      <c r="AW4" s="149"/>
      <c r="AX4" s="149"/>
      <c r="AY4" s="149" t="s">
        <v>28</v>
      </c>
      <c r="AZ4" s="149"/>
      <c r="BA4" s="149"/>
      <c r="BB4" s="156" t="s">
        <v>20</v>
      </c>
      <c r="BC4" s="157"/>
      <c r="BD4" s="158" t="s">
        <v>29</v>
      </c>
      <c r="BE4" s="163"/>
      <c r="BF4" s="164"/>
      <c r="BG4" s="165" t="s">
        <v>30</v>
      </c>
      <c r="BH4" s="166"/>
      <c r="BI4" s="167"/>
      <c r="BJ4" s="166"/>
      <c r="BK4" s="167"/>
      <c r="BL4" s="116"/>
      <c r="BM4" s="116"/>
      <c r="BN4" s="116"/>
      <c r="BO4" s="116"/>
      <c r="BP4" s="116"/>
      <c r="BQ4" s="116"/>
      <c r="BR4" s="116"/>
      <c r="BS4" s="81"/>
      <c r="BT4" s="55" t="s">
        <v>18</v>
      </c>
      <c r="BU4" s="55"/>
      <c r="BV4" s="55"/>
      <c r="BW4" s="55"/>
      <c r="BX4" s="55"/>
      <c r="BY4" s="81" t="s">
        <v>19</v>
      </c>
      <c r="BZ4" s="81"/>
      <c r="CA4" s="81"/>
      <c r="CB4" s="173" t="s">
        <v>21</v>
      </c>
      <c r="CC4" s="79"/>
      <c r="CD4" s="79"/>
      <c r="CE4" s="79"/>
      <c r="CF4" s="80"/>
      <c r="CH4" s="81"/>
      <c r="CI4" s="55" t="s">
        <v>18</v>
      </c>
      <c r="CJ4" s="55"/>
      <c r="CK4" s="55"/>
      <c r="CL4" s="55"/>
      <c r="CM4" s="55"/>
      <c r="CN4" s="81" t="s">
        <v>19</v>
      </c>
      <c r="CO4" s="81"/>
      <c r="CP4" s="81"/>
      <c r="CQ4" s="77" t="s">
        <v>20</v>
      </c>
      <c r="CR4" s="78"/>
      <c r="CS4" s="56" t="s">
        <v>21</v>
      </c>
      <c r="CT4" s="79"/>
      <c r="CU4" s="80"/>
    </row>
    <row r="5" ht="16.5" customHeight="1" spans="2:99">
      <c r="B5" s="54"/>
      <c r="C5" s="55" t="s">
        <v>31</v>
      </c>
      <c r="D5" s="55"/>
      <c r="E5" s="55"/>
      <c r="F5" s="55"/>
      <c r="G5" s="55"/>
      <c r="H5" s="56">
        <v>300</v>
      </c>
      <c r="I5" s="80"/>
      <c r="J5" s="81"/>
      <c r="K5" s="82">
        <v>0.35</v>
      </c>
      <c r="L5" s="83"/>
      <c r="M5" s="56"/>
      <c r="N5" s="79"/>
      <c r="O5" s="80"/>
      <c r="Q5" s="54"/>
      <c r="R5" s="55">
        <f>AV5*400</f>
        <v>9180</v>
      </c>
      <c r="S5" s="55"/>
      <c r="T5" s="55"/>
      <c r="U5" s="55"/>
      <c r="V5" s="55"/>
      <c r="W5" s="56"/>
      <c r="X5" s="80"/>
      <c r="Y5" s="81"/>
      <c r="Z5" s="84"/>
      <c r="AA5" s="83"/>
      <c r="AB5" s="56"/>
      <c r="AC5" s="79"/>
      <c r="AD5" s="80"/>
      <c r="AE5" s="116"/>
      <c r="AF5" s="121" t="s">
        <v>32</v>
      </c>
      <c r="AG5" s="128"/>
      <c r="AH5" s="129"/>
      <c r="AI5" s="128"/>
      <c r="AJ5" s="128"/>
      <c r="AK5" s="129"/>
      <c r="AL5" s="130" t="s">
        <v>33</v>
      </c>
      <c r="AM5" s="130"/>
      <c r="AN5" s="130"/>
      <c r="AO5" s="130"/>
      <c r="AP5" s="130"/>
      <c r="AQ5" s="55" t="str">
        <f>C5</f>
        <v>牛肩、腕ブロック</v>
      </c>
      <c r="AR5" s="55"/>
      <c r="AS5" s="55"/>
      <c r="AT5" s="55"/>
      <c r="AU5" s="55"/>
      <c r="AV5" s="79">
        <f>AY5*1.35</f>
        <v>22.95</v>
      </c>
      <c r="AW5" s="79"/>
      <c r="AX5" s="159" t="s">
        <v>34</v>
      </c>
      <c r="AY5" s="56">
        <v>17</v>
      </c>
      <c r="AZ5" s="79"/>
      <c r="BA5" s="159" t="s">
        <v>34</v>
      </c>
      <c r="BB5" s="79">
        <v>1</v>
      </c>
      <c r="BC5" s="83"/>
      <c r="BD5" s="56">
        <v>280</v>
      </c>
      <c r="BE5" s="80"/>
      <c r="BF5" s="81"/>
      <c r="BG5" s="168">
        <f t="shared" ref="BG5:BG55" si="0">IFERROR((BD5*AV5/100),0)</f>
        <v>64.26</v>
      </c>
      <c r="BH5" s="168"/>
      <c r="BI5" s="168"/>
      <c r="BJ5" s="168"/>
      <c r="BK5" s="169"/>
      <c r="BL5" s="116"/>
      <c r="BM5" s="116"/>
      <c r="BN5" s="116"/>
      <c r="BO5" s="116"/>
      <c r="BP5" s="116"/>
      <c r="BQ5" s="116"/>
      <c r="BR5" s="116"/>
      <c r="BS5" s="54"/>
      <c r="BT5" s="66" t="s">
        <v>35</v>
      </c>
      <c r="BU5" s="104"/>
      <c r="BV5" s="104"/>
      <c r="BW5" s="104"/>
      <c r="BX5" s="91"/>
      <c r="BY5" s="56">
        <f>AV5</f>
        <v>22.95</v>
      </c>
      <c r="BZ5" s="80"/>
      <c r="CA5" s="81"/>
      <c r="CB5" s="84"/>
      <c r="CC5" s="90"/>
      <c r="CD5" s="90"/>
      <c r="CE5" s="90"/>
      <c r="CF5" s="83"/>
      <c r="CH5" s="54"/>
      <c r="CI5" s="55"/>
      <c r="CJ5" s="55"/>
      <c r="CK5" s="55"/>
      <c r="CL5" s="55"/>
      <c r="CM5" s="55"/>
      <c r="CN5" s="56"/>
      <c r="CO5" s="80"/>
      <c r="CP5" s="81"/>
      <c r="CQ5" s="84"/>
      <c r="CR5" s="83"/>
      <c r="CS5" s="56"/>
      <c r="CT5" s="79"/>
      <c r="CU5" s="80"/>
    </row>
    <row r="6" ht="16.5" customHeight="1" spans="2:99">
      <c r="B6" s="54"/>
      <c r="C6" s="55" t="s">
        <v>36</v>
      </c>
      <c r="D6" s="55"/>
      <c r="E6" s="55"/>
      <c r="F6" s="55"/>
      <c r="G6" s="55"/>
      <c r="H6" s="56">
        <v>300</v>
      </c>
      <c r="I6" s="80"/>
      <c r="J6" s="55"/>
      <c r="K6" s="84">
        <v>0.35</v>
      </c>
      <c r="L6" s="83"/>
      <c r="M6" s="56"/>
      <c r="N6" s="79"/>
      <c r="O6" s="80"/>
      <c r="Q6" s="54"/>
      <c r="R6" s="55">
        <f>AV6*400</f>
        <v>8100</v>
      </c>
      <c r="S6" s="55"/>
      <c r="T6" s="55"/>
      <c r="U6" s="55"/>
      <c r="V6" s="55"/>
      <c r="W6" s="56"/>
      <c r="X6" s="80"/>
      <c r="Y6" s="55"/>
      <c r="Z6" s="84"/>
      <c r="AA6" s="83"/>
      <c r="AB6" s="56"/>
      <c r="AC6" s="79"/>
      <c r="AD6" s="80"/>
      <c r="AE6" s="116"/>
      <c r="AF6" s="121" t="s">
        <v>32</v>
      </c>
      <c r="AG6" s="128"/>
      <c r="AH6" s="129"/>
      <c r="AI6" s="128"/>
      <c r="AJ6" s="128"/>
      <c r="AK6" s="129"/>
      <c r="AL6" s="130"/>
      <c r="AM6" s="130"/>
      <c r="AN6" s="130"/>
      <c r="AO6" s="130"/>
      <c r="AP6" s="130"/>
      <c r="AQ6" s="55" t="s">
        <v>37</v>
      </c>
      <c r="AR6" s="55"/>
      <c r="AS6" s="55"/>
      <c r="AT6" s="55"/>
      <c r="AU6" s="55"/>
      <c r="AV6" s="79">
        <f>AY6*1.35</f>
        <v>20.25</v>
      </c>
      <c r="AW6" s="79"/>
      <c r="AX6" s="159" t="s">
        <v>34</v>
      </c>
      <c r="AY6" s="56">
        <v>15</v>
      </c>
      <c r="AZ6" s="79"/>
      <c r="BA6" s="159" t="s">
        <v>34</v>
      </c>
      <c r="BB6" s="79">
        <v>1</v>
      </c>
      <c r="BC6" s="83"/>
      <c r="BD6" s="56">
        <v>120</v>
      </c>
      <c r="BE6" s="80"/>
      <c r="BF6" s="81"/>
      <c r="BG6" s="168">
        <f t="shared" ref="BG6:BG30" si="1">IFERROR((BD6*AV6/100),0)</f>
        <v>24.3</v>
      </c>
      <c r="BH6" s="168"/>
      <c r="BI6" s="168"/>
      <c r="BJ6" s="168"/>
      <c r="BK6" s="169"/>
      <c r="BL6" s="116"/>
      <c r="BM6" s="116"/>
      <c r="BN6" s="116"/>
      <c r="BO6" s="116"/>
      <c r="BP6" s="116"/>
      <c r="BQ6" s="116"/>
      <c r="BR6" s="116"/>
      <c r="BS6" s="54"/>
      <c r="BT6" s="64"/>
      <c r="BU6" s="174"/>
      <c r="BV6" s="174"/>
      <c r="BW6" s="174"/>
      <c r="BX6" s="89"/>
      <c r="BY6" s="56">
        <f t="shared" ref="BY6:BY30" si="2">AV6</f>
        <v>20.25</v>
      </c>
      <c r="BZ6" s="80"/>
      <c r="CA6" s="81"/>
      <c r="CB6" s="84"/>
      <c r="CC6" s="90"/>
      <c r="CD6" s="90"/>
      <c r="CE6" s="90"/>
      <c r="CF6" s="83"/>
      <c r="CH6" s="54"/>
      <c r="CI6" s="55"/>
      <c r="CJ6" s="55"/>
      <c r="CK6" s="55"/>
      <c r="CL6" s="55"/>
      <c r="CM6" s="55"/>
      <c r="CN6" s="56"/>
      <c r="CO6" s="80"/>
      <c r="CP6" s="55"/>
      <c r="CQ6" s="84"/>
      <c r="CR6" s="83"/>
      <c r="CS6" s="56"/>
      <c r="CT6" s="79"/>
      <c r="CU6" s="80"/>
    </row>
    <row r="7" ht="16.5" customHeight="1" spans="2:99">
      <c r="B7" s="54"/>
      <c r="C7" s="55" t="s">
        <v>38</v>
      </c>
      <c r="D7" s="55"/>
      <c r="E7" s="55"/>
      <c r="F7" s="55"/>
      <c r="G7" s="55"/>
      <c r="H7" s="56">
        <v>25</v>
      </c>
      <c r="I7" s="80"/>
      <c r="J7" s="55"/>
      <c r="K7" s="84"/>
      <c r="L7" s="83"/>
      <c r="M7" s="56">
        <f t="shared" ref="M7:M23" si="3">H7*2</f>
        <v>50</v>
      </c>
      <c r="N7" s="79"/>
      <c r="O7" s="80"/>
      <c r="Q7" s="54"/>
      <c r="R7" s="55">
        <f>H7*36</f>
        <v>900</v>
      </c>
      <c r="S7" s="55"/>
      <c r="T7" s="55"/>
      <c r="U7" s="55"/>
      <c r="V7" s="55"/>
      <c r="W7" s="56"/>
      <c r="X7" s="80"/>
      <c r="Y7" s="55"/>
      <c r="Z7" s="84"/>
      <c r="AA7" s="83"/>
      <c r="AB7" s="56">
        <f t="shared" ref="AB7:AB14" si="4">H7*35</f>
        <v>875</v>
      </c>
      <c r="AC7" s="79"/>
      <c r="AD7" s="80"/>
      <c r="AE7" s="116"/>
      <c r="AF7" s="121" t="s">
        <v>39</v>
      </c>
      <c r="AG7" s="128"/>
      <c r="AH7" s="129"/>
      <c r="AI7" s="128"/>
      <c r="AJ7" s="128"/>
      <c r="AK7" s="129"/>
      <c r="AL7" s="130"/>
      <c r="AM7" s="130"/>
      <c r="AN7" s="130"/>
      <c r="AO7" s="130"/>
      <c r="AP7" s="130"/>
      <c r="AQ7" s="55" t="str">
        <f t="shared" ref="AQ7:AQ22" si="5">C7</f>
        <v>キャノーラ油</v>
      </c>
      <c r="AR7" s="55"/>
      <c r="AS7" s="55"/>
      <c r="AT7" s="55"/>
      <c r="AU7" s="55"/>
      <c r="AV7" s="79">
        <f t="shared" ref="AV7:AV21" si="6">AY7*1.28</f>
        <v>2.24</v>
      </c>
      <c r="AW7" s="79"/>
      <c r="AX7" s="159" t="s">
        <v>34</v>
      </c>
      <c r="AY7" s="56">
        <f t="shared" ref="AY7:AY20" si="7">H7*0.07</f>
        <v>1.75</v>
      </c>
      <c r="AZ7" s="79"/>
      <c r="BA7" s="159" t="s">
        <v>34</v>
      </c>
      <c r="BB7" s="56">
        <v>1</v>
      </c>
      <c r="BC7" s="83"/>
      <c r="BD7" s="56">
        <v>25</v>
      </c>
      <c r="BE7" s="80"/>
      <c r="BF7" s="81"/>
      <c r="BG7" s="168">
        <f t="shared" si="1"/>
        <v>0.56</v>
      </c>
      <c r="BH7" s="168"/>
      <c r="BI7" s="168"/>
      <c r="BJ7" s="168"/>
      <c r="BK7" s="169"/>
      <c r="BL7" s="116"/>
      <c r="BM7" s="116"/>
      <c r="BN7" s="116"/>
      <c r="BO7" s="116"/>
      <c r="BP7" s="116"/>
      <c r="BQ7" s="116"/>
      <c r="BR7" s="116"/>
      <c r="BS7" s="54"/>
      <c r="BT7" s="55" t="str">
        <f t="shared" ref="BT6:BT44" si="8">C7</f>
        <v>キャノーラ油</v>
      </c>
      <c r="BU7" s="55"/>
      <c r="BV7" s="55"/>
      <c r="BW7" s="55"/>
      <c r="BX7" s="55"/>
      <c r="BY7" s="56">
        <f t="shared" si="2"/>
        <v>2.24</v>
      </c>
      <c r="BZ7" s="80"/>
      <c r="CA7" s="81"/>
      <c r="CB7" s="84"/>
      <c r="CC7" s="90"/>
      <c r="CD7" s="90"/>
      <c r="CE7" s="90"/>
      <c r="CF7" s="83"/>
      <c r="CH7" s="54"/>
      <c r="CI7" s="55"/>
      <c r="CJ7" s="55"/>
      <c r="CK7" s="55"/>
      <c r="CL7" s="55"/>
      <c r="CM7" s="55"/>
      <c r="CN7" s="56"/>
      <c r="CO7" s="80"/>
      <c r="CP7" s="55"/>
      <c r="CQ7" s="84"/>
      <c r="CR7" s="83"/>
      <c r="CS7" s="56"/>
      <c r="CT7" s="79"/>
      <c r="CU7" s="80"/>
    </row>
    <row r="8" ht="16.5" customHeight="1" spans="2:99">
      <c r="B8" s="54"/>
      <c r="C8" s="55" t="s">
        <v>40</v>
      </c>
      <c r="D8" s="55"/>
      <c r="E8" s="55"/>
      <c r="F8" s="55"/>
      <c r="G8" s="55"/>
      <c r="H8" s="56">
        <v>3</v>
      </c>
      <c r="I8" s="80"/>
      <c r="J8" s="55"/>
      <c r="K8" s="84"/>
      <c r="L8" s="83"/>
      <c r="M8" s="56">
        <f t="shared" si="3"/>
        <v>6</v>
      </c>
      <c r="N8" s="79"/>
      <c r="O8" s="80"/>
      <c r="Q8" s="54"/>
      <c r="R8" s="55">
        <f t="shared" ref="R8:R30" si="9">H8*36</f>
        <v>108</v>
      </c>
      <c r="S8" s="55"/>
      <c r="T8" s="55"/>
      <c r="U8" s="55"/>
      <c r="V8" s="55"/>
      <c r="W8" s="56"/>
      <c r="X8" s="80"/>
      <c r="Y8" s="55"/>
      <c r="Z8" s="84"/>
      <c r="AA8" s="83"/>
      <c r="AB8" s="56">
        <f t="shared" si="4"/>
        <v>105</v>
      </c>
      <c r="AC8" s="79"/>
      <c r="AD8" s="80"/>
      <c r="AE8" s="116"/>
      <c r="AF8" s="121" t="s">
        <v>39</v>
      </c>
      <c r="AG8" s="128"/>
      <c r="AH8" s="129"/>
      <c r="AI8" s="128"/>
      <c r="AJ8" s="128"/>
      <c r="AK8" s="129"/>
      <c r="AL8" s="130"/>
      <c r="AM8" s="130"/>
      <c r="AN8" s="130"/>
      <c r="AO8" s="130"/>
      <c r="AP8" s="130"/>
      <c r="AQ8" s="55" t="str">
        <f t="shared" si="5"/>
        <v>クミン（ホール）</v>
      </c>
      <c r="AR8" s="55"/>
      <c r="AS8" s="55"/>
      <c r="AT8" s="55"/>
      <c r="AU8" s="55"/>
      <c r="AV8" s="79">
        <f t="shared" si="6"/>
        <v>0.2688</v>
      </c>
      <c r="AW8" s="79"/>
      <c r="AX8" s="159" t="s">
        <v>34</v>
      </c>
      <c r="AY8" s="56">
        <f t="shared" si="7"/>
        <v>0.21</v>
      </c>
      <c r="AZ8" s="79"/>
      <c r="BA8" s="159" t="s">
        <v>34</v>
      </c>
      <c r="BB8" s="56">
        <v>1</v>
      </c>
      <c r="BC8" s="83"/>
      <c r="BD8" s="56">
        <v>471</v>
      </c>
      <c r="BE8" s="80"/>
      <c r="BF8" s="81"/>
      <c r="BG8" s="168">
        <f t="shared" si="1"/>
        <v>1.266048</v>
      </c>
      <c r="BH8" s="168"/>
      <c r="BI8" s="168"/>
      <c r="BJ8" s="168"/>
      <c r="BK8" s="169"/>
      <c r="BL8" s="116"/>
      <c r="BM8" s="116"/>
      <c r="BN8" s="116"/>
      <c r="BO8" s="116"/>
      <c r="BP8" s="116"/>
      <c r="BQ8" s="116"/>
      <c r="BR8" s="116"/>
      <c r="BS8" s="54"/>
      <c r="BT8" s="55" t="str">
        <f t="shared" si="8"/>
        <v>クミン（ホール）</v>
      </c>
      <c r="BU8" s="55"/>
      <c r="BV8" s="55"/>
      <c r="BW8" s="55"/>
      <c r="BX8" s="55"/>
      <c r="BY8" s="56">
        <f t="shared" si="2"/>
        <v>0.2688</v>
      </c>
      <c r="BZ8" s="80"/>
      <c r="CA8" s="81"/>
      <c r="CB8" s="84"/>
      <c r="CC8" s="90"/>
      <c r="CD8" s="90"/>
      <c r="CE8" s="90"/>
      <c r="CF8" s="83"/>
      <c r="CH8" s="54"/>
      <c r="CI8" s="55"/>
      <c r="CJ8" s="55"/>
      <c r="CK8" s="55"/>
      <c r="CL8" s="55"/>
      <c r="CM8" s="55"/>
      <c r="CN8" s="56"/>
      <c r="CO8" s="80"/>
      <c r="CP8" s="55"/>
      <c r="CQ8" s="84"/>
      <c r="CR8" s="83"/>
      <c r="CS8" s="56"/>
      <c r="CT8" s="79"/>
      <c r="CU8" s="80"/>
    </row>
    <row r="9" ht="16.5" customHeight="1" spans="2:99">
      <c r="B9" s="54"/>
      <c r="C9" s="55" t="s">
        <v>41</v>
      </c>
      <c r="D9" s="55"/>
      <c r="E9" s="55"/>
      <c r="F9" s="55"/>
      <c r="G9" s="55"/>
      <c r="H9" s="56">
        <v>0.2</v>
      </c>
      <c r="I9" s="80"/>
      <c r="J9" s="55"/>
      <c r="K9" s="84"/>
      <c r="L9" s="83"/>
      <c r="M9" s="56">
        <f t="shared" si="3"/>
        <v>0.4</v>
      </c>
      <c r="N9" s="79"/>
      <c r="O9" s="80"/>
      <c r="Q9" s="54"/>
      <c r="R9" s="55">
        <f t="shared" si="9"/>
        <v>7.2</v>
      </c>
      <c r="S9" s="55"/>
      <c r="T9" s="55"/>
      <c r="U9" s="55"/>
      <c r="V9" s="55"/>
      <c r="W9" s="56"/>
      <c r="X9" s="80"/>
      <c r="Y9" s="55"/>
      <c r="Z9" s="84"/>
      <c r="AA9" s="83"/>
      <c r="AB9" s="56">
        <f t="shared" si="4"/>
        <v>7</v>
      </c>
      <c r="AC9" s="79"/>
      <c r="AD9" s="80"/>
      <c r="AE9" s="116"/>
      <c r="AF9" s="121" t="s">
        <v>39</v>
      </c>
      <c r="AG9" s="128"/>
      <c r="AH9" s="129"/>
      <c r="AI9" s="128"/>
      <c r="AJ9" s="128"/>
      <c r="AK9" s="129"/>
      <c r="AL9" s="130"/>
      <c r="AM9" s="130"/>
      <c r="AN9" s="130"/>
      <c r="AO9" s="130"/>
      <c r="AP9" s="130"/>
      <c r="AQ9" s="55" t="str">
        <f t="shared" si="5"/>
        <v>ローリエ</v>
      </c>
      <c r="AR9" s="55"/>
      <c r="AS9" s="55"/>
      <c r="AT9" s="55"/>
      <c r="AU9" s="55"/>
      <c r="AV9" s="79">
        <f t="shared" si="6"/>
        <v>0.01792</v>
      </c>
      <c r="AW9" s="79"/>
      <c r="AX9" s="159" t="s">
        <v>34</v>
      </c>
      <c r="AY9" s="56">
        <f t="shared" si="7"/>
        <v>0.014</v>
      </c>
      <c r="AZ9" s="79"/>
      <c r="BA9" s="159" t="s">
        <v>34</v>
      </c>
      <c r="BB9" s="56">
        <v>1</v>
      </c>
      <c r="BC9" s="83"/>
      <c r="BD9" s="56">
        <v>550</v>
      </c>
      <c r="BE9" s="80"/>
      <c r="BF9" s="81"/>
      <c r="BG9" s="168">
        <f t="shared" si="1"/>
        <v>0.09856</v>
      </c>
      <c r="BH9" s="168"/>
      <c r="BI9" s="168"/>
      <c r="BJ9" s="168"/>
      <c r="BK9" s="169"/>
      <c r="BL9" s="116"/>
      <c r="BM9" s="116"/>
      <c r="BN9" s="116"/>
      <c r="BO9" s="116"/>
      <c r="BP9" s="116"/>
      <c r="BQ9" s="116"/>
      <c r="BR9" s="116"/>
      <c r="BS9" s="54"/>
      <c r="BT9" s="55" t="str">
        <f t="shared" si="8"/>
        <v>ローリエ</v>
      </c>
      <c r="BU9" s="55"/>
      <c r="BV9" s="55"/>
      <c r="BW9" s="55"/>
      <c r="BX9" s="55"/>
      <c r="BY9" s="175">
        <f t="shared" si="2"/>
        <v>0.01792</v>
      </c>
      <c r="BZ9" s="176"/>
      <c r="CA9" s="81"/>
      <c r="CB9" s="84"/>
      <c r="CC9" s="90"/>
      <c r="CD9" s="90"/>
      <c r="CE9" s="90"/>
      <c r="CF9" s="83"/>
      <c r="CH9" s="54"/>
      <c r="CI9" s="55"/>
      <c r="CJ9" s="55"/>
      <c r="CK9" s="55"/>
      <c r="CL9" s="55"/>
      <c r="CM9" s="55"/>
      <c r="CN9" s="56"/>
      <c r="CO9" s="80"/>
      <c r="CP9" s="55"/>
      <c r="CQ9" s="84"/>
      <c r="CR9" s="83"/>
      <c r="CS9" s="56"/>
      <c r="CT9" s="79"/>
      <c r="CU9" s="80"/>
    </row>
    <row r="10" ht="16.5" customHeight="1" spans="2:99">
      <c r="B10" s="54"/>
      <c r="C10" s="55"/>
      <c r="D10" s="55"/>
      <c r="E10" s="55"/>
      <c r="F10" s="55"/>
      <c r="G10" s="55"/>
      <c r="H10" s="56"/>
      <c r="I10" s="80"/>
      <c r="J10" s="55"/>
      <c r="K10" s="84"/>
      <c r="L10" s="83"/>
      <c r="M10" s="56">
        <f t="shared" si="3"/>
        <v>0</v>
      </c>
      <c r="N10" s="79"/>
      <c r="O10" s="80"/>
      <c r="Q10" s="54"/>
      <c r="R10" s="55">
        <f t="shared" si="9"/>
        <v>0</v>
      </c>
      <c r="S10" s="55"/>
      <c r="T10" s="55"/>
      <c r="U10" s="55"/>
      <c r="V10" s="55"/>
      <c r="W10" s="56"/>
      <c r="X10" s="80"/>
      <c r="Y10" s="55"/>
      <c r="Z10" s="84"/>
      <c r="AA10" s="83"/>
      <c r="AB10" s="56">
        <f t="shared" si="4"/>
        <v>0</v>
      </c>
      <c r="AC10" s="79"/>
      <c r="AD10" s="80"/>
      <c r="AE10" s="116"/>
      <c r="AF10" s="121"/>
      <c r="AG10" s="128"/>
      <c r="AH10" s="129"/>
      <c r="AI10" s="128"/>
      <c r="AJ10" s="128"/>
      <c r="AK10" s="129"/>
      <c r="AL10" s="130"/>
      <c r="AM10" s="130"/>
      <c r="AN10" s="130"/>
      <c r="AO10" s="130"/>
      <c r="AP10" s="130"/>
      <c r="AQ10" s="55">
        <f t="shared" si="5"/>
        <v>0</v>
      </c>
      <c r="AR10" s="55"/>
      <c r="AS10" s="55"/>
      <c r="AT10" s="55"/>
      <c r="AU10" s="55"/>
      <c r="AV10" s="79">
        <f t="shared" si="6"/>
        <v>0</v>
      </c>
      <c r="AW10" s="79"/>
      <c r="AX10" s="159" t="s">
        <v>34</v>
      </c>
      <c r="AY10" s="56">
        <f t="shared" si="7"/>
        <v>0</v>
      </c>
      <c r="AZ10" s="79"/>
      <c r="BA10" s="159" t="s">
        <v>34</v>
      </c>
      <c r="BB10" s="56">
        <v>1</v>
      </c>
      <c r="BC10" s="83"/>
      <c r="BD10" s="56"/>
      <c r="BE10" s="80"/>
      <c r="BF10" s="81"/>
      <c r="BG10" s="168">
        <f t="shared" si="1"/>
        <v>0</v>
      </c>
      <c r="BH10" s="168"/>
      <c r="BI10" s="168"/>
      <c r="BJ10" s="168"/>
      <c r="BK10" s="169"/>
      <c r="BL10" s="116"/>
      <c r="BM10" s="116"/>
      <c r="BN10" s="116"/>
      <c r="BO10" s="116"/>
      <c r="BP10" s="116"/>
      <c r="BQ10" s="116"/>
      <c r="BR10" s="116"/>
      <c r="BS10" s="54"/>
      <c r="BT10" s="55">
        <f t="shared" si="8"/>
        <v>0</v>
      </c>
      <c r="BU10" s="55"/>
      <c r="BV10" s="55"/>
      <c r="BW10" s="55"/>
      <c r="BX10" s="55"/>
      <c r="BY10" s="56">
        <f t="shared" si="2"/>
        <v>0</v>
      </c>
      <c r="BZ10" s="80"/>
      <c r="CA10" s="81"/>
      <c r="CB10" s="84"/>
      <c r="CC10" s="90"/>
      <c r="CD10" s="90"/>
      <c r="CE10" s="90"/>
      <c r="CF10" s="83"/>
      <c r="CH10" s="54"/>
      <c r="CI10" s="55"/>
      <c r="CJ10" s="55"/>
      <c r="CK10" s="55"/>
      <c r="CL10" s="55"/>
      <c r="CM10" s="55"/>
      <c r="CN10" s="56"/>
      <c r="CO10" s="80"/>
      <c r="CP10" s="55"/>
      <c r="CQ10" s="84"/>
      <c r="CR10" s="83"/>
      <c r="CS10" s="56"/>
      <c r="CT10" s="79"/>
      <c r="CU10" s="80"/>
    </row>
    <row r="11" ht="16.5" customHeight="1" spans="2:99">
      <c r="B11" s="54"/>
      <c r="C11" s="55" t="s">
        <v>42</v>
      </c>
      <c r="D11" s="55"/>
      <c r="E11" s="55"/>
      <c r="F11" s="55"/>
      <c r="G11" s="55"/>
      <c r="H11" s="56">
        <v>100</v>
      </c>
      <c r="I11" s="80"/>
      <c r="J11" s="55"/>
      <c r="K11" s="84"/>
      <c r="L11" s="83"/>
      <c r="M11" s="56">
        <f t="shared" si="3"/>
        <v>200</v>
      </c>
      <c r="N11" s="79"/>
      <c r="O11" s="80"/>
      <c r="Q11" s="54"/>
      <c r="R11" s="55">
        <f t="shared" si="9"/>
        <v>3600</v>
      </c>
      <c r="S11" s="55"/>
      <c r="T11" s="55"/>
      <c r="U11" s="55"/>
      <c r="V11" s="55"/>
      <c r="W11" s="56"/>
      <c r="X11" s="80"/>
      <c r="Y11" s="55"/>
      <c r="Z11" s="84"/>
      <c r="AA11" s="83"/>
      <c r="AB11" s="56">
        <f t="shared" si="4"/>
        <v>3500</v>
      </c>
      <c r="AC11" s="79"/>
      <c r="AD11" s="80"/>
      <c r="AE11" s="116"/>
      <c r="AF11" s="121" t="s">
        <v>39</v>
      </c>
      <c r="AG11" s="128"/>
      <c r="AH11" s="129"/>
      <c r="AI11" s="128"/>
      <c r="AJ11" s="128"/>
      <c r="AK11" s="129"/>
      <c r="AL11" s="130"/>
      <c r="AM11" s="130"/>
      <c r="AN11" s="130"/>
      <c r="AO11" s="130"/>
      <c r="AP11" s="130"/>
      <c r="AQ11" s="55" t="str">
        <f t="shared" si="5"/>
        <v>おろし生姜</v>
      </c>
      <c r="AR11" s="55"/>
      <c r="AS11" s="55"/>
      <c r="AT11" s="55"/>
      <c r="AU11" s="55"/>
      <c r="AV11" s="79">
        <f t="shared" si="6"/>
        <v>8.96</v>
      </c>
      <c r="AW11" s="79"/>
      <c r="AX11" s="159" t="s">
        <v>34</v>
      </c>
      <c r="AY11" s="56">
        <f t="shared" si="7"/>
        <v>7</v>
      </c>
      <c r="AZ11" s="79"/>
      <c r="BA11" s="159" t="s">
        <v>34</v>
      </c>
      <c r="BB11" s="56">
        <v>1</v>
      </c>
      <c r="BC11" s="83"/>
      <c r="BD11" s="56">
        <v>69.5</v>
      </c>
      <c r="BE11" s="80"/>
      <c r="BF11" s="81"/>
      <c r="BG11" s="168">
        <f t="shared" si="1"/>
        <v>6.2272</v>
      </c>
      <c r="BH11" s="168"/>
      <c r="BI11" s="168"/>
      <c r="BJ11" s="168"/>
      <c r="BK11" s="169"/>
      <c r="BL11" s="116"/>
      <c r="BM11" s="116"/>
      <c r="BN11" s="116"/>
      <c r="BO11" s="116"/>
      <c r="BP11" s="116"/>
      <c r="BQ11" s="116"/>
      <c r="BR11" s="116"/>
      <c r="BS11" s="54"/>
      <c r="BT11" s="55" t="str">
        <f t="shared" si="8"/>
        <v>おろし生姜</v>
      </c>
      <c r="BU11" s="55"/>
      <c r="BV11" s="55"/>
      <c r="BW11" s="55"/>
      <c r="BX11" s="55"/>
      <c r="BY11" s="56">
        <f t="shared" si="2"/>
        <v>8.96</v>
      </c>
      <c r="BZ11" s="80"/>
      <c r="CA11" s="81"/>
      <c r="CB11" s="84"/>
      <c r="CC11" s="90"/>
      <c r="CD11" s="90"/>
      <c r="CE11" s="90"/>
      <c r="CF11" s="83"/>
      <c r="CH11" s="54"/>
      <c r="CI11" s="55"/>
      <c r="CJ11" s="55"/>
      <c r="CK11" s="55"/>
      <c r="CL11" s="55"/>
      <c r="CM11" s="55"/>
      <c r="CN11" s="56"/>
      <c r="CO11" s="80"/>
      <c r="CP11" s="55"/>
      <c r="CQ11" s="84"/>
      <c r="CR11" s="83"/>
      <c r="CS11" s="56"/>
      <c r="CT11" s="79"/>
      <c r="CU11" s="80"/>
    </row>
    <row r="12" ht="16.5" customHeight="1" spans="2:99">
      <c r="B12" s="54"/>
      <c r="C12" s="55" t="s">
        <v>43</v>
      </c>
      <c r="D12" s="55"/>
      <c r="E12" s="55"/>
      <c r="F12" s="55"/>
      <c r="G12" s="55"/>
      <c r="H12" s="56">
        <v>10</v>
      </c>
      <c r="I12" s="80"/>
      <c r="J12" s="55"/>
      <c r="K12" s="84"/>
      <c r="L12" s="83"/>
      <c r="M12" s="56">
        <f t="shared" si="3"/>
        <v>20</v>
      </c>
      <c r="N12" s="79"/>
      <c r="O12" s="80"/>
      <c r="Q12" s="54"/>
      <c r="R12" s="55">
        <f t="shared" si="9"/>
        <v>360</v>
      </c>
      <c r="S12" s="55"/>
      <c r="T12" s="55"/>
      <c r="U12" s="55"/>
      <c r="V12" s="55"/>
      <c r="W12" s="56"/>
      <c r="X12" s="80"/>
      <c r="Y12" s="55"/>
      <c r="Z12" s="84"/>
      <c r="AA12" s="83"/>
      <c r="AB12" s="56">
        <f t="shared" si="4"/>
        <v>350</v>
      </c>
      <c r="AC12" s="79"/>
      <c r="AD12" s="80"/>
      <c r="AE12" s="116"/>
      <c r="AF12" s="121" t="s">
        <v>39</v>
      </c>
      <c r="AG12" s="128"/>
      <c r="AH12" s="129"/>
      <c r="AI12" s="128"/>
      <c r="AJ12" s="128"/>
      <c r="AK12" s="129"/>
      <c r="AL12" s="130"/>
      <c r="AM12" s="130"/>
      <c r="AN12" s="130"/>
      <c r="AO12" s="130"/>
      <c r="AP12" s="130"/>
      <c r="AQ12" s="55" t="str">
        <f t="shared" si="5"/>
        <v>おろしにんにく</v>
      </c>
      <c r="AR12" s="55"/>
      <c r="AS12" s="55"/>
      <c r="AT12" s="55"/>
      <c r="AU12" s="55"/>
      <c r="AV12" s="79">
        <f t="shared" si="6"/>
        <v>0.896</v>
      </c>
      <c r="AW12" s="79"/>
      <c r="AX12" s="159" t="s">
        <v>34</v>
      </c>
      <c r="AY12" s="56">
        <f t="shared" si="7"/>
        <v>0.7</v>
      </c>
      <c r="AZ12" s="79"/>
      <c r="BA12" s="159" t="s">
        <v>34</v>
      </c>
      <c r="BB12" s="56">
        <v>1</v>
      </c>
      <c r="BC12" s="83"/>
      <c r="BD12" s="56">
        <v>65</v>
      </c>
      <c r="BE12" s="80"/>
      <c r="BF12" s="81"/>
      <c r="BG12" s="168">
        <f t="shared" si="1"/>
        <v>0.5824</v>
      </c>
      <c r="BH12" s="168"/>
      <c r="BI12" s="168"/>
      <c r="BJ12" s="168"/>
      <c r="BK12" s="169"/>
      <c r="BL12" s="116"/>
      <c r="BM12" s="116"/>
      <c r="BN12" s="116"/>
      <c r="BO12" s="116"/>
      <c r="BP12" s="116"/>
      <c r="BQ12" s="116"/>
      <c r="BR12" s="116"/>
      <c r="BS12" s="54"/>
      <c r="BT12" s="55" t="str">
        <f t="shared" si="8"/>
        <v>おろしにんにく</v>
      </c>
      <c r="BU12" s="55"/>
      <c r="BV12" s="55"/>
      <c r="BW12" s="55"/>
      <c r="BX12" s="55"/>
      <c r="BY12" s="56">
        <f t="shared" si="2"/>
        <v>0.896</v>
      </c>
      <c r="BZ12" s="80"/>
      <c r="CA12" s="81"/>
      <c r="CB12" s="84"/>
      <c r="CC12" s="90"/>
      <c r="CD12" s="90"/>
      <c r="CE12" s="90"/>
      <c r="CF12" s="83"/>
      <c r="CH12" s="54"/>
      <c r="CI12" s="55"/>
      <c r="CJ12" s="55"/>
      <c r="CK12" s="55"/>
      <c r="CL12" s="55"/>
      <c r="CM12" s="55"/>
      <c r="CN12" s="56"/>
      <c r="CO12" s="80"/>
      <c r="CP12" s="55"/>
      <c r="CQ12" s="84"/>
      <c r="CR12" s="83"/>
      <c r="CS12" s="56"/>
      <c r="CT12" s="79"/>
      <c r="CU12" s="80"/>
    </row>
    <row r="13" ht="16.5" customHeight="1" spans="2:99">
      <c r="B13" s="54"/>
      <c r="C13" s="55"/>
      <c r="D13" s="55"/>
      <c r="E13" s="55"/>
      <c r="F13" s="55"/>
      <c r="G13" s="55"/>
      <c r="H13" s="56"/>
      <c r="I13" s="80"/>
      <c r="J13" s="55"/>
      <c r="K13" s="84"/>
      <c r="L13" s="83"/>
      <c r="M13" s="56">
        <f t="shared" si="3"/>
        <v>0</v>
      </c>
      <c r="N13" s="79"/>
      <c r="O13" s="80"/>
      <c r="Q13" s="54"/>
      <c r="R13" s="55">
        <f t="shared" si="9"/>
        <v>0</v>
      </c>
      <c r="S13" s="55"/>
      <c r="T13" s="55"/>
      <c r="U13" s="55"/>
      <c r="V13" s="55"/>
      <c r="W13" s="56"/>
      <c r="X13" s="80"/>
      <c r="Y13" s="55"/>
      <c r="Z13" s="84"/>
      <c r="AA13" s="83"/>
      <c r="AB13" s="56">
        <f t="shared" si="4"/>
        <v>0</v>
      </c>
      <c r="AC13" s="79"/>
      <c r="AD13" s="80"/>
      <c r="AE13" s="116"/>
      <c r="AF13" s="121"/>
      <c r="AG13" s="128"/>
      <c r="AH13" s="129"/>
      <c r="AI13" s="128"/>
      <c r="AJ13" s="128"/>
      <c r="AK13" s="129"/>
      <c r="AL13" s="130"/>
      <c r="AM13" s="130"/>
      <c r="AN13" s="130"/>
      <c r="AO13" s="130"/>
      <c r="AP13" s="130"/>
      <c r="AQ13" s="55">
        <f t="shared" si="5"/>
        <v>0</v>
      </c>
      <c r="AR13" s="55"/>
      <c r="AS13" s="55"/>
      <c r="AT13" s="55"/>
      <c r="AU13" s="55"/>
      <c r="AV13" s="79">
        <f t="shared" si="6"/>
        <v>0</v>
      </c>
      <c r="AW13" s="79"/>
      <c r="AX13" s="159" t="s">
        <v>34</v>
      </c>
      <c r="AY13" s="56">
        <f t="shared" si="7"/>
        <v>0</v>
      </c>
      <c r="AZ13" s="79"/>
      <c r="BA13" s="159" t="s">
        <v>34</v>
      </c>
      <c r="BB13" s="56">
        <v>1</v>
      </c>
      <c r="BC13" s="83"/>
      <c r="BD13" s="56"/>
      <c r="BE13" s="80"/>
      <c r="BF13" s="81"/>
      <c r="BG13" s="168">
        <f t="shared" si="1"/>
        <v>0</v>
      </c>
      <c r="BH13" s="168"/>
      <c r="BI13" s="168"/>
      <c r="BJ13" s="168"/>
      <c r="BK13" s="169"/>
      <c r="BL13" s="116"/>
      <c r="BM13" s="116"/>
      <c r="BN13" s="116"/>
      <c r="BO13" s="116"/>
      <c r="BP13" s="116"/>
      <c r="BQ13" s="116"/>
      <c r="BR13" s="116"/>
      <c r="BS13" s="54"/>
      <c r="BT13" s="55">
        <f t="shared" si="8"/>
        <v>0</v>
      </c>
      <c r="BU13" s="55"/>
      <c r="BV13" s="55"/>
      <c r="BW13" s="55"/>
      <c r="BX13" s="55"/>
      <c r="BY13" s="56">
        <f t="shared" si="2"/>
        <v>0</v>
      </c>
      <c r="BZ13" s="80"/>
      <c r="CA13" s="81"/>
      <c r="CB13" s="84"/>
      <c r="CC13" s="90"/>
      <c r="CD13" s="90"/>
      <c r="CE13" s="90"/>
      <c r="CF13" s="83"/>
      <c r="CH13" s="54"/>
      <c r="CI13" s="55"/>
      <c r="CJ13" s="55"/>
      <c r="CK13" s="55"/>
      <c r="CL13" s="55"/>
      <c r="CM13" s="55"/>
      <c r="CN13" s="56"/>
      <c r="CO13" s="80"/>
      <c r="CP13" s="55"/>
      <c r="CQ13" s="84"/>
      <c r="CR13" s="83"/>
      <c r="CS13" s="56"/>
      <c r="CT13" s="79"/>
      <c r="CU13" s="80"/>
    </row>
    <row r="14" ht="16.5" customHeight="1" spans="2:99">
      <c r="B14" s="57" t="s">
        <v>44</v>
      </c>
      <c r="C14" s="58" t="s">
        <v>45</v>
      </c>
      <c r="D14" s="58"/>
      <c r="E14" s="58"/>
      <c r="F14" s="58"/>
      <c r="G14" s="58"/>
      <c r="H14" s="59">
        <v>100</v>
      </c>
      <c r="I14" s="85"/>
      <c r="J14" s="86"/>
      <c r="K14" s="84"/>
      <c r="L14" s="83"/>
      <c r="M14" s="56">
        <f t="shared" si="3"/>
        <v>200</v>
      </c>
      <c r="N14" s="79"/>
      <c r="O14" s="80"/>
      <c r="Q14" s="54"/>
      <c r="R14" s="55">
        <f t="shared" si="9"/>
        <v>3600</v>
      </c>
      <c r="S14" s="55"/>
      <c r="T14" s="55"/>
      <c r="U14" s="55"/>
      <c r="V14" s="55"/>
      <c r="W14" s="56"/>
      <c r="X14" s="80"/>
      <c r="Y14" s="55"/>
      <c r="Z14" s="84"/>
      <c r="AA14" s="83"/>
      <c r="AB14" s="56">
        <f t="shared" si="4"/>
        <v>3500</v>
      </c>
      <c r="AC14" s="79"/>
      <c r="AD14" s="80"/>
      <c r="AE14" s="116"/>
      <c r="AF14" s="121" t="s">
        <v>39</v>
      </c>
      <c r="AG14" s="128"/>
      <c r="AH14" s="129"/>
      <c r="AI14" s="128"/>
      <c r="AJ14" s="128"/>
      <c r="AK14" s="129"/>
      <c r="AL14" s="130"/>
      <c r="AM14" s="130"/>
      <c r="AN14" s="130"/>
      <c r="AO14" s="130"/>
      <c r="AP14" s="130"/>
      <c r="AQ14" s="55" t="str">
        <f t="shared" si="5"/>
        <v>冷凍人参乱切り</v>
      </c>
      <c r="AR14" s="55"/>
      <c r="AS14" s="55"/>
      <c r="AT14" s="55"/>
      <c r="AU14" s="55"/>
      <c r="AV14" s="79">
        <f t="shared" si="6"/>
        <v>8.96</v>
      </c>
      <c r="AW14" s="79"/>
      <c r="AX14" s="159" t="s">
        <v>34</v>
      </c>
      <c r="AY14" s="56">
        <f t="shared" si="7"/>
        <v>7</v>
      </c>
      <c r="AZ14" s="79"/>
      <c r="BA14" s="159" t="s">
        <v>34</v>
      </c>
      <c r="BB14" s="56">
        <v>1</v>
      </c>
      <c r="BC14" s="83"/>
      <c r="BD14" s="56">
        <v>38</v>
      </c>
      <c r="BE14" s="80"/>
      <c r="BF14" s="81"/>
      <c r="BG14" s="168">
        <f t="shared" si="1"/>
        <v>3.4048</v>
      </c>
      <c r="BH14" s="168"/>
      <c r="BI14" s="168"/>
      <c r="BJ14" s="168"/>
      <c r="BK14" s="169"/>
      <c r="BL14" s="116"/>
      <c r="BM14" s="116"/>
      <c r="BN14" s="116"/>
      <c r="BO14" s="116"/>
      <c r="BP14" s="116"/>
      <c r="BQ14" s="116"/>
      <c r="BR14" s="116"/>
      <c r="BS14" s="54"/>
      <c r="BT14" s="55" t="str">
        <f t="shared" si="8"/>
        <v>冷凍人参乱切り</v>
      </c>
      <c r="BU14" s="55"/>
      <c r="BV14" s="55"/>
      <c r="BW14" s="55"/>
      <c r="BX14" s="55"/>
      <c r="BY14" s="56">
        <f t="shared" si="2"/>
        <v>8.96</v>
      </c>
      <c r="BZ14" s="80"/>
      <c r="CA14" s="81"/>
      <c r="CB14" s="84"/>
      <c r="CC14" s="90"/>
      <c r="CD14" s="90"/>
      <c r="CE14" s="90"/>
      <c r="CF14" s="83"/>
      <c r="CH14" s="54"/>
      <c r="CI14" s="55"/>
      <c r="CJ14" s="55"/>
      <c r="CK14" s="55"/>
      <c r="CL14" s="55"/>
      <c r="CM14" s="55"/>
      <c r="CN14" s="56"/>
      <c r="CO14" s="80"/>
      <c r="CP14" s="55"/>
      <c r="CQ14" s="84"/>
      <c r="CR14" s="83"/>
      <c r="CS14" s="56"/>
      <c r="CT14" s="79"/>
      <c r="CU14" s="80"/>
    </row>
    <row r="15" ht="16.5" customHeight="1" spans="2:99">
      <c r="B15" s="60"/>
      <c r="C15" s="61" t="s">
        <v>46</v>
      </c>
      <c r="D15" s="61"/>
      <c r="E15" s="61"/>
      <c r="F15" s="61"/>
      <c r="G15" s="61"/>
      <c r="H15" s="62">
        <v>100</v>
      </c>
      <c r="I15" s="87"/>
      <c r="J15" s="88"/>
      <c r="K15" s="84"/>
      <c r="L15" s="83"/>
      <c r="M15" s="56">
        <f t="shared" si="3"/>
        <v>200</v>
      </c>
      <c r="N15" s="79"/>
      <c r="O15" s="80"/>
      <c r="Q15" s="54"/>
      <c r="R15" s="55">
        <f t="shared" si="9"/>
        <v>3600</v>
      </c>
      <c r="S15" s="55"/>
      <c r="T15" s="55"/>
      <c r="U15" s="55"/>
      <c r="V15" s="55"/>
      <c r="W15" s="56"/>
      <c r="X15" s="80"/>
      <c r="Y15" s="55"/>
      <c r="Z15" s="84"/>
      <c r="AA15" s="83"/>
      <c r="AB15" s="56">
        <f t="shared" ref="AB15:AB30" si="10">H15*35</f>
        <v>3500</v>
      </c>
      <c r="AC15" s="79"/>
      <c r="AD15" s="80"/>
      <c r="AE15" s="116"/>
      <c r="AF15" s="121"/>
      <c r="AG15" s="128"/>
      <c r="AH15" s="129"/>
      <c r="AI15" s="128"/>
      <c r="AJ15" s="128"/>
      <c r="AK15" s="129"/>
      <c r="AL15" s="130"/>
      <c r="AM15" s="130"/>
      <c r="AN15" s="130"/>
      <c r="AO15" s="130"/>
      <c r="AP15" s="130"/>
      <c r="AQ15" s="55" t="str">
        <f t="shared" si="5"/>
        <v>水</v>
      </c>
      <c r="AR15" s="55"/>
      <c r="AS15" s="55"/>
      <c r="AT15" s="55"/>
      <c r="AU15" s="55"/>
      <c r="AV15" s="79">
        <f t="shared" si="6"/>
        <v>8.96</v>
      </c>
      <c r="AW15" s="79"/>
      <c r="AX15" s="159" t="s">
        <v>34</v>
      </c>
      <c r="AY15" s="56">
        <f t="shared" si="7"/>
        <v>7</v>
      </c>
      <c r="AZ15" s="79"/>
      <c r="BA15" s="159" t="s">
        <v>34</v>
      </c>
      <c r="BB15" s="56">
        <v>1</v>
      </c>
      <c r="BC15" s="83"/>
      <c r="BD15" s="56"/>
      <c r="BE15" s="80"/>
      <c r="BF15" s="81"/>
      <c r="BG15" s="168">
        <f t="shared" si="1"/>
        <v>0</v>
      </c>
      <c r="BH15" s="168"/>
      <c r="BI15" s="168"/>
      <c r="BJ15" s="168"/>
      <c r="BK15" s="169"/>
      <c r="BL15" s="116"/>
      <c r="BM15" s="116"/>
      <c r="BN15" s="116"/>
      <c r="BO15" s="116"/>
      <c r="BP15" s="116"/>
      <c r="BQ15" s="116"/>
      <c r="BR15" s="116"/>
      <c r="BS15" s="54"/>
      <c r="BT15" s="55" t="str">
        <f t="shared" si="8"/>
        <v>水</v>
      </c>
      <c r="BU15" s="55"/>
      <c r="BV15" s="55"/>
      <c r="BW15" s="55"/>
      <c r="BX15" s="55"/>
      <c r="BY15" s="56">
        <f t="shared" si="2"/>
        <v>8.96</v>
      </c>
      <c r="BZ15" s="80"/>
      <c r="CA15" s="81"/>
      <c r="CB15" s="84"/>
      <c r="CC15" s="90"/>
      <c r="CD15" s="90"/>
      <c r="CE15" s="90"/>
      <c r="CF15" s="83"/>
      <c r="CH15" s="54"/>
      <c r="CI15" s="55"/>
      <c r="CJ15" s="55"/>
      <c r="CK15" s="55"/>
      <c r="CL15" s="55"/>
      <c r="CM15" s="55"/>
      <c r="CN15" s="56"/>
      <c r="CO15" s="80"/>
      <c r="CP15" s="55"/>
      <c r="CQ15" s="84"/>
      <c r="CR15" s="83"/>
      <c r="CS15" s="56"/>
      <c r="CT15" s="79"/>
      <c r="CU15" s="80"/>
    </row>
    <row r="16" ht="16.5" customHeight="1" spans="2:99">
      <c r="B16" s="63"/>
      <c r="C16" s="53" t="s">
        <v>47</v>
      </c>
      <c r="D16" s="53"/>
      <c r="E16" s="53"/>
      <c r="F16" s="53"/>
      <c r="G16" s="53"/>
      <c r="H16" s="64">
        <v>300</v>
      </c>
      <c r="I16" s="89"/>
      <c r="J16" s="65"/>
      <c r="K16" s="84"/>
      <c r="L16" s="83"/>
      <c r="M16" s="56">
        <f t="shared" si="3"/>
        <v>600</v>
      </c>
      <c r="N16" s="79"/>
      <c r="O16" s="80"/>
      <c r="Q16" s="54"/>
      <c r="R16" s="55">
        <f t="shared" si="9"/>
        <v>10800</v>
      </c>
      <c r="S16" s="55"/>
      <c r="T16" s="55"/>
      <c r="U16" s="55"/>
      <c r="V16" s="55"/>
      <c r="W16" s="56"/>
      <c r="X16" s="80"/>
      <c r="Y16" s="55"/>
      <c r="Z16" s="84"/>
      <c r="AA16" s="83"/>
      <c r="AB16" s="56">
        <f t="shared" si="10"/>
        <v>10500</v>
      </c>
      <c r="AC16" s="79"/>
      <c r="AD16" s="80"/>
      <c r="AE16" s="116"/>
      <c r="AF16" s="121" t="s">
        <v>39</v>
      </c>
      <c r="AG16" s="128"/>
      <c r="AH16" s="129"/>
      <c r="AI16" s="128"/>
      <c r="AJ16" s="128"/>
      <c r="AK16" s="129"/>
      <c r="AL16" s="130"/>
      <c r="AM16" s="130"/>
      <c r="AN16" s="130"/>
      <c r="AO16" s="130"/>
      <c r="AP16" s="130"/>
      <c r="AQ16" s="55" t="str">
        <f t="shared" si="5"/>
        <v>ソテーオニオン30</v>
      </c>
      <c r="AR16" s="55"/>
      <c r="AS16" s="55"/>
      <c r="AT16" s="55"/>
      <c r="AU16" s="55"/>
      <c r="AV16" s="79">
        <f t="shared" si="6"/>
        <v>26.88</v>
      </c>
      <c r="AW16" s="79"/>
      <c r="AX16" s="159" t="s">
        <v>34</v>
      </c>
      <c r="AY16" s="56">
        <f t="shared" si="7"/>
        <v>21</v>
      </c>
      <c r="AZ16" s="79"/>
      <c r="BA16" s="159" t="s">
        <v>34</v>
      </c>
      <c r="BB16" s="56">
        <v>1</v>
      </c>
      <c r="BC16" s="83"/>
      <c r="BD16" s="56">
        <v>70</v>
      </c>
      <c r="BE16" s="80"/>
      <c r="BF16" s="81"/>
      <c r="BG16" s="168">
        <f t="shared" si="1"/>
        <v>18.816</v>
      </c>
      <c r="BH16" s="168"/>
      <c r="BI16" s="168"/>
      <c r="BJ16" s="168"/>
      <c r="BK16" s="169"/>
      <c r="BL16" s="116"/>
      <c r="BM16" s="116"/>
      <c r="BN16" s="116"/>
      <c r="BO16" s="116"/>
      <c r="BP16" s="116"/>
      <c r="BQ16" s="116"/>
      <c r="BR16" s="116"/>
      <c r="BS16" s="54"/>
      <c r="BT16" s="55" t="str">
        <f t="shared" si="8"/>
        <v>ソテーオニオン30</v>
      </c>
      <c r="BU16" s="55"/>
      <c r="BV16" s="55"/>
      <c r="BW16" s="55"/>
      <c r="BX16" s="55"/>
      <c r="BY16" s="56">
        <f t="shared" si="2"/>
        <v>26.88</v>
      </c>
      <c r="BZ16" s="80"/>
      <c r="CA16" s="81"/>
      <c r="CB16" s="84"/>
      <c r="CC16" s="90"/>
      <c r="CD16" s="90"/>
      <c r="CE16" s="90"/>
      <c r="CF16" s="83"/>
      <c r="CH16" s="54"/>
      <c r="CI16" s="55"/>
      <c r="CJ16" s="55"/>
      <c r="CK16" s="55"/>
      <c r="CL16" s="55"/>
      <c r="CM16" s="55"/>
      <c r="CN16" s="56"/>
      <c r="CO16" s="80"/>
      <c r="CP16" s="55"/>
      <c r="CQ16" s="84"/>
      <c r="CR16" s="83"/>
      <c r="CS16" s="56"/>
      <c r="CT16" s="79"/>
      <c r="CU16" s="80"/>
    </row>
    <row r="17" ht="16.5" customHeight="1" spans="2:99">
      <c r="B17" s="54"/>
      <c r="C17" s="55" t="s">
        <v>48</v>
      </c>
      <c r="D17" s="55"/>
      <c r="E17" s="55"/>
      <c r="F17" s="55"/>
      <c r="G17" s="55"/>
      <c r="H17" s="56">
        <v>15</v>
      </c>
      <c r="I17" s="80"/>
      <c r="J17" s="55"/>
      <c r="K17" s="90"/>
      <c r="L17" s="83"/>
      <c r="M17" s="56">
        <f t="shared" si="3"/>
        <v>30</v>
      </c>
      <c r="N17" s="79"/>
      <c r="O17" s="80"/>
      <c r="Q17" s="54"/>
      <c r="R17" s="55">
        <f t="shared" si="9"/>
        <v>540</v>
      </c>
      <c r="S17" s="55"/>
      <c r="T17" s="55"/>
      <c r="U17" s="55"/>
      <c r="V17" s="55"/>
      <c r="W17" s="56"/>
      <c r="X17" s="80"/>
      <c r="Y17" s="55"/>
      <c r="Z17" s="84"/>
      <c r="AA17" s="83"/>
      <c r="AB17" s="56">
        <f t="shared" si="10"/>
        <v>525</v>
      </c>
      <c r="AC17" s="79"/>
      <c r="AD17" s="80"/>
      <c r="AE17" s="116"/>
      <c r="AF17" s="121" t="s">
        <v>49</v>
      </c>
      <c r="AG17" s="128"/>
      <c r="AH17" s="129"/>
      <c r="AI17" s="128"/>
      <c r="AJ17" s="128"/>
      <c r="AK17" s="129"/>
      <c r="AL17" s="130"/>
      <c r="AM17" s="130"/>
      <c r="AN17" s="130"/>
      <c r="AO17" s="130"/>
      <c r="AP17" s="130"/>
      <c r="AQ17" s="55" t="str">
        <f t="shared" si="5"/>
        <v>ビーフコンソメ</v>
      </c>
      <c r="AR17" s="55"/>
      <c r="AS17" s="55"/>
      <c r="AT17" s="55"/>
      <c r="AU17" s="55"/>
      <c r="AV17" s="79">
        <f t="shared" si="6"/>
        <v>1.344</v>
      </c>
      <c r="AW17" s="79"/>
      <c r="AX17" s="159" t="s">
        <v>34</v>
      </c>
      <c r="AY17" s="56">
        <f t="shared" si="7"/>
        <v>1.05</v>
      </c>
      <c r="AZ17" s="79"/>
      <c r="BA17" s="159" t="s">
        <v>34</v>
      </c>
      <c r="BB17" s="56">
        <v>1</v>
      </c>
      <c r="BC17" s="83"/>
      <c r="BD17" s="56">
        <v>230</v>
      </c>
      <c r="BE17" s="80"/>
      <c r="BF17" s="81"/>
      <c r="BG17" s="168">
        <f t="shared" si="1"/>
        <v>3.0912</v>
      </c>
      <c r="BH17" s="168"/>
      <c r="BI17" s="168"/>
      <c r="BJ17" s="168"/>
      <c r="BK17" s="169"/>
      <c r="BL17" s="116"/>
      <c r="BM17" s="116"/>
      <c r="BN17" s="116"/>
      <c r="BO17" s="116"/>
      <c r="BP17" s="116"/>
      <c r="BQ17" s="116"/>
      <c r="BR17" s="116"/>
      <c r="BS17" s="54"/>
      <c r="BT17" s="55" t="str">
        <f t="shared" si="8"/>
        <v>ビーフコンソメ</v>
      </c>
      <c r="BU17" s="55"/>
      <c r="BV17" s="55"/>
      <c r="BW17" s="55"/>
      <c r="BX17" s="55"/>
      <c r="BY17" s="56">
        <f t="shared" si="2"/>
        <v>1.344</v>
      </c>
      <c r="BZ17" s="80"/>
      <c r="CA17" s="81"/>
      <c r="CB17" s="84"/>
      <c r="CC17" s="90"/>
      <c r="CD17" s="90"/>
      <c r="CE17" s="90"/>
      <c r="CF17" s="83"/>
      <c r="CH17" s="54"/>
      <c r="CI17" s="55"/>
      <c r="CJ17" s="55"/>
      <c r="CK17" s="55"/>
      <c r="CL17" s="55"/>
      <c r="CM17" s="55"/>
      <c r="CN17" s="56"/>
      <c r="CO17" s="80"/>
      <c r="CP17" s="55"/>
      <c r="CQ17" s="84"/>
      <c r="CR17" s="83"/>
      <c r="CS17" s="56"/>
      <c r="CT17" s="79"/>
      <c r="CU17" s="80"/>
    </row>
    <row r="18" ht="16.5" customHeight="1" spans="2:99">
      <c r="B18" s="54"/>
      <c r="C18" s="55"/>
      <c r="D18" s="55"/>
      <c r="E18" s="55"/>
      <c r="F18" s="55"/>
      <c r="G18" s="55"/>
      <c r="H18" s="56">
        <v>0.5</v>
      </c>
      <c r="I18" s="80"/>
      <c r="J18" s="55"/>
      <c r="K18" s="84"/>
      <c r="L18" s="83"/>
      <c r="M18" s="56">
        <f t="shared" si="3"/>
        <v>1</v>
      </c>
      <c r="N18" s="79"/>
      <c r="O18" s="80"/>
      <c r="Q18" s="54"/>
      <c r="R18" s="55">
        <f t="shared" si="9"/>
        <v>18</v>
      </c>
      <c r="S18" s="55"/>
      <c r="T18" s="55"/>
      <c r="U18" s="55"/>
      <c r="V18" s="55"/>
      <c r="W18" s="56"/>
      <c r="X18" s="80"/>
      <c r="Y18" s="55"/>
      <c r="Z18" s="84"/>
      <c r="AA18" s="83"/>
      <c r="AB18" s="56">
        <f t="shared" si="10"/>
        <v>17.5</v>
      </c>
      <c r="AC18" s="79"/>
      <c r="AD18" s="80"/>
      <c r="AE18" s="116"/>
      <c r="AF18" s="121"/>
      <c r="AG18" s="128"/>
      <c r="AH18" s="129"/>
      <c r="AI18" s="128"/>
      <c r="AJ18" s="128"/>
      <c r="AK18" s="129"/>
      <c r="AL18" s="130"/>
      <c r="AM18" s="130"/>
      <c r="AN18" s="130"/>
      <c r="AO18" s="130"/>
      <c r="AP18" s="130"/>
      <c r="AQ18" s="55"/>
      <c r="AR18" s="55"/>
      <c r="AS18" s="55"/>
      <c r="AT18" s="55"/>
      <c r="AU18" s="55"/>
      <c r="AV18" s="79"/>
      <c r="AW18" s="79"/>
      <c r="AX18" s="159" t="s">
        <v>34</v>
      </c>
      <c r="AY18" s="56"/>
      <c r="AZ18" s="79"/>
      <c r="BA18" s="159" t="s">
        <v>34</v>
      </c>
      <c r="BB18" s="56">
        <v>1</v>
      </c>
      <c r="BC18" s="83"/>
      <c r="BD18" s="56"/>
      <c r="BE18" s="80"/>
      <c r="BF18" s="81"/>
      <c r="BG18" s="168">
        <f t="shared" si="1"/>
        <v>0</v>
      </c>
      <c r="BH18" s="168"/>
      <c r="BI18" s="168"/>
      <c r="BJ18" s="168"/>
      <c r="BK18" s="169"/>
      <c r="BL18" s="116"/>
      <c r="BM18" s="116"/>
      <c r="BN18" s="116"/>
      <c r="BO18" s="116"/>
      <c r="BP18" s="116"/>
      <c r="BQ18" s="116"/>
      <c r="BR18" s="116"/>
      <c r="BS18" s="54"/>
      <c r="BT18" s="55">
        <f t="shared" si="8"/>
        <v>0</v>
      </c>
      <c r="BU18" s="55"/>
      <c r="BV18" s="55"/>
      <c r="BW18" s="55"/>
      <c r="BX18" s="55"/>
      <c r="BY18" s="56">
        <f t="shared" si="2"/>
        <v>0</v>
      </c>
      <c r="BZ18" s="80"/>
      <c r="CA18" s="81"/>
      <c r="CB18" s="84"/>
      <c r="CC18" s="90"/>
      <c r="CD18" s="90"/>
      <c r="CE18" s="90"/>
      <c r="CF18" s="83"/>
      <c r="CH18" s="54"/>
      <c r="CI18" s="55"/>
      <c r="CJ18" s="55"/>
      <c r="CK18" s="55"/>
      <c r="CL18" s="55"/>
      <c r="CM18" s="55"/>
      <c r="CN18" s="56"/>
      <c r="CO18" s="80"/>
      <c r="CP18" s="55"/>
      <c r="CQ18" s="84"/>
      <c r="CR18" s="83"/>
      <c r="CS18" s="56"/>
      <c r="CT18" s="79"/>
      <c r="CU18" s="80"/>
    </row>
    <row r="19" ht="16.5" customHeight="1" spans="2:99">
      <c r="B19" s="54"/>
      <c r="C19" s="55" t="s">
        <v>50</v>
      </c>
      <c r="D19" s="55"/>
      <c r="E19" s="55"/>
      <c r="F19" s="55"/>
      <c r="G19" s="55"/>
      <c r="H19" s="56">
        <v>1.5</v>
      </c>
      <c r="I19" s="80"/>
      <c r="J19" s="55"/>
      <c r="K19" s="84"/>
      <c r="L19" s="83"/>
      <c r="M19" s="56">
        <f t="shared" si="3"/>
        <v>3</v>
      </c>
      <c r="N19" s="79"/>
      <c r="O19" s="80"/>
      <c r="Q19" s="54"/>
      <c r="R19" s="55">
        <f t="shared" si="9"/>
        <v>54</v>
      </c>
      <c r="S19" s="55"/>
      <c r="T19" s="55"/>
      <c r="U19" s="55"/>
      <c r="V19" s="55"/>
      <c r="W19" s="56"/>
      <c r="X19" s="80"/>
      <c r="Y19" s="55"/>
      <c r="Z19" s="84"/>
      <c r="AA19" s="83"/>
      <c r="AB19" s="56">
        <f t="shared" si="10"/>
        <v>52.5</v>
      </c>
      <c r="AC19" s="79"/>
      <c r="AD19" s="80"/>
      <c r="AE19" s="116"/>
      <c r="AF19" s="121" t="s">
        <v>51</v>
      </c>
      <c r="AG19" s="128"/>
      <c r="AH19" s="129"/>
      <c r="AI19" s="128" t="s">
        <v>52</v>
      </c>
      <c r="AJ19" s="128"/>
      <c r="AK19" s="129"/>
      <c r="AL19" s="130"/>
      <c r="AM19" s="130"/>
      <c r="AN19" s="130"/>
      <c r="AO19" s="130"/>
      <c r="AP19" s="130"/>
      <c r="AQ19" s="55" t="str">
        <f t="shared" si="5"/>
        <v>ガラムマサラ（ギャ</v>
      </c>
      <c r="AR19" s="55"/>
      <c r="AS19" s="55"/>
      <c r="AT19" s="55"/>
      <c r="AU19" s="55"/>
      <c r="AV19" s="79">
        <f t="shared" si="6"/>
        <v>0.1344</v>
      </c>
      <c r="AW19" s="79"/>
      <c r="AX19" s="159" t="s">
        <v>34</v>
      </c>
      <c r="AY19" s="56">
        <f t="shared" si="7"/>
        <v>0.105</v>
      </c>
      <c r="AZ19" s="79"/>
      <c r="BA19" s="159" t="s">
        <v>34</v>
      </c>
      <c r="BB19" s="56">
        <v>1</v>
      </c>
      <c r="BC19" s="83"/>
      <c r="BD19" s="56">
        <v>567</v>
      </c>
      <c r="BE19" s="80"/>
      <c r="BF19" s="81"/>
      <c r="BG19" s="168">
        <f t="shared" si="1"/>
        <v>0.762048</v>
      </c>
      <c r="BH19" s="168"/>
      <c r="BI19" s="168"/>
      <c r="BJ19" s="168"/>
      <c r="BK19" s="169"/>
      <c r="BL19" s="116"/>
      <c r="BM19" s="116"/>
      <c r="BN19" s="116"/>
      <c r="BO19" s="116"/>
      <c r="BP19" s="116"/>
      <c r="BQ19" s="116"/>
      <c r="BR19" s="116"/>
      <c r="BS19" s="54"/>
      <c r="BT19" s="55" t="str">
        <f t="shared" si="8"/>
        <v>ガラムマサラ（ギャ</v>
      </c>
      <c r="BU19" s="55"/>
      <c r="BV19" s="55"/>
      <c r="BW19" s="55"/>
      <c r="BX19" s="55"/>
      <c r="BY19" s="56">
        <f t="shared" si="2"/>
        <v>0.1344</v>
      </c>
      <c r="BZ19" s="80"/>
      <c r="CA19" s="81"/>
      <c r="CB19" s="84"/>
      <c r="CC19" s="90"/>
      <c r="CD19" s="90"/>
      <c r="CE19" s="90"/>
      <c r="CF19" s="83"/>
      <c r="CH19" s="54"/>
      <c r="CI19" s="55"/>
      <c r="CJ19" s="55"/>
      <c r="CK19" s="55"/>
      <c r="CL19" s="55"/>
      <c r="CM19" s="55"/>
      <c r="CN19" s="56"/>
      <c r="CO19" s="80"/>
      <c r="CP19" s="55"/>
      <c r="CQ19" s="84"/>
      <c r="CR19" s="83"/>
      <c r="CS19" s="56"/>
      <c r="CT19" s="79"/>
      <c r="CU19" s="80"/>
    </row>
    <row r="20" ht="16.5" customHeight="1" spans="2:99">
      <c r="B20" s="54"/>
      <c r="C20" s="55" t="s">
        <v>53</v>
      </c>
      <c r="D20" s="55"/>
      <c r="E20" s="55"/>
      <c r="F20" s="55"/>
      <c r="G20" s="55"/>
      <c r="H20" s="56">
        <v>2.5</v>
      </c>
      <c r="I20" s="80"/>
      <c r="J20" s="55"/>
      <c r="K20" s="84"/>
      <c r="L20" s="83"/>
      <c r="M20" s="56">
        <f t="shared" si="3"/>
        <v>5</v>
      </c>
      <c r="N20" s="79"/>
      <c r="O20" s="80"/>
      <c r="Q20" s="54"/>
      <c r="R20" s="55">
        <f t="shared" si="9"/>
        <v>90</v>
      </c>
      <c r="S20" s="55"/>
      <c r="T20" s="55"/>
      <c r="U20" s="55"/>
      <c r="V20" s="55"/>
      <c r="W20" s="56"/>
      <c r="X20" s="80"/>
      <c r="Y20" s="55"/>
      <c r="Z20" s="84"/>
      <c r="AA20" s="83"/>
      <c r="AB20" s="56">
        <f t="shared" si="10"/>
        <v>87.5</v>
      </c>
      <c r="AC20" s="79"/>
      <c r="AD20" s="80"/>
      <c r="AE20" s="116"/>
      <c r="AF20" s="121" t="s">
        <v>39</v>
      </c>
      <c r="AG20" s="128"/>
      <c r="AH20" s="129"/>
      <c r="AI20" s="128"/>
      <c r="AJ20" s="128"/>
      <c r="AK20" s="129"/>
      <c r="AL20" s="130"/>
      <c r="AM20" s="130"/>
      <c r="AN20" s="130"/>
      <c r="AO20" s="130"/>
      <c r="AP20" s="130"/>
      <c r="AQ20" s="55" t="str">
        <f t="shared" si="5"/>
        <v>ターメリック</v>
      </c>
      <c r="AR20" s="55"/>
      <c r="AS20" s="55"/>
      <c r="AT20" s="55"/>
      <c r="AU20" s="55"/>
      <c r="AV20" s="79">
        <f t="shared" si="6"/>
        <v>0.224</v>
      </c>
      <c r="AW20" s="79"/>
      <c r="AX20" s="159" t="s">
        <v>34</v>
      </c>
      <c r="AY20" s="56">
        <f t="shared" si="7"/>
        <v>0.175</v>
      </c>
      <c r="AZ20" s="79"/>
      <c r="BA20" s="159" t="s">
        <v>34</v>
      </c>
      <c r="BB20" s="56">
        <v>1</v>
      </c>
      <c r="BC20" s="83"/>
      <c r="BD20" s="56">
        <v>250</v>
      </c>
      <c r="BE20" s="80"/>
      <c r="BF20" s="81"/>
      <c r="BG20" s="168">
        <f t="shared" si="1"/>
        <v>0.56</v>
      </c>
      <c r="BH20" s="168"/>
      <c r="BI20" s="168"/>
      <c r="BJ20" s="168"/>
      <c r="BK20" s="169"/>
      <c r="BL20" s="116"/>
      <c r="BM20" s="116"/>
      <c r="BN20" s="116"/>
      <c r="BO20" s="116"/>
      <c r="BP20" s="116"/>
      <c r="BQ20" s="116"/>
      <c r="BR20" s="116"/>
      <c r="BS20" s="54"/>
      <c r="BT20" s="55" t="str">
        <f t="shared" si="8"/>
        <v>ターメリック</v>
      </c>
      <c r="BU20" s="55"/>
      <c r="BV20" s="55"/>
      <c r="BW20" s="55"/>
      <c r="BX20" s="55"/>
      <c r="BY20" s="56">
        <f t="shared" si="2"/>
        <v>0.224</v>
      </c>
      <c r="BZ20" s="80"/>
      <c r="CA20" s="81"/>
      <c r="CB20" s="84"/>
      <c r="CC20" s="90"/>
      <c r="CD20" s="90"/>
      <c r="CE20" s="90"/>
      <c r="CF20" s="83"/>
      <c r="CH20" s="54"/>
      <c r="CI20" s="55"/>
      <c r="CJ20" s="55"/>
      <c r="CK20" s="55"/>
      <c r="CL20" s="55"/>
      <c r="CM20" s="55"/>
      <c r="CN20" s="56"/>
      <c r="CO20" s="80"/>
      <c r="CP20" s="55"/>
      <c r="CQ20" s="84"/>
      <c r="CR20" s="83"/>
      <c r="CS20" s="56"/>
      <c r="CT20" s="79"/>
      <c r="CU20" s="80"/>
    </row>
    <row r="21" ht="16.5" customHeight="1" spans="2:99">
      <c r="B21" s="54"/>
      <c r="C21" s="55" t="s">
        <v>54</v>
      </c>
      <c r="D21" s="55"/>
      <c r="E21" s="55"/>
      <c r="F21" s="55"/>
      <c r="G21" s="55"/>
      <c r="H21" s="56">
        <v>2.5</v>
      </c>
      <c r="I21" s="80"/>
      <c r="J21" s="55"/>
      <c r="K21" s="84"/>
      <c r="L21" s="83"/>
      <c r="M21" s="56">
        <f t="shared" si="3"/>
        <v>5</v>
      </c>
      <c r="N21" s="79"/>
      <c r="O21" s="80"/>
      <c r="Q21" s="54"/>
      <c r="R21" s="55">
        <f t="shared" si="9"/>
        <v>90</v>
      </c>
      <c r="S21" s="55"/>
      <c r="T21" s="55"/>
      <c r="U21" s="55"/>
      <c r="V21" s="55"/>
      <c r="W21" s="56"/>
      <c r="X21" s="80"/>
      <c r="Y21" s="55"/>
      <c r="Z21" s="84"/>
      <c r="AA21" s="83"/>
      <c r="AB21" s="56">
        <f t="shared" si="10"/>
        <v>87.5</v>
      </c>
      <c r="AC21" s="79"/>
      <c r="AD21" s="80"/>
      <c r="AE21" s="116"/>
      <c r="AF21" s="121" t="s">
        <v>51</v>
      </c>
      <c r="AG21" s="128"/>
      <c r="AH21" s="129"/>
      <c r="AI21" s="128" t="s">
        <v>52</v>
      </c>
      <c r="AJ21" s="128"/>
      <c r="AK21" s="129"/>
      <c r="AL21" s="130"/>
      <c r="AM21" s="130"/>
      <c r="AN21" s="130"/>
      <c r="AO21" s="130"/>
      <c r="AP21" s="130"/>
      <c r="AQ21" s="55" t="str">
        <f t="shared" si="5"/>
        <v>チリパウダー（ギャ</v>
      </c>
      <c r="AR21" s="55"/>
      <c r="AS21" s="55"/>
      <c r="AT21" s="55"/>
      <c r="AU21" s="55"/>
      <c r="AV21" s="79">
        <f t="shared" si="6"/>
        <v>0.224</v>
      </c>
      <c r="AW21" s="79"/>
      <c r="AX21" s="159" t="s">
        <v>34</v>
      </c>
      <c r="AY21" s="56">
        <f t="shared" ref="AY21:AY30" si="11">H21*0.07</f>
        <v>0.175</v>
      </c>
      <c r="AZ21" s="79"/>
      <c r="BA21" s="159" t="s">
        <v>34</v>
      </c>
      <c r="BB21" s="56">
        <v>1</v>
      </c>
      <c r="BC21" s="83"/>
      <c r="BD21" s="56">
        <v>374</v>
      </c>
      <c r="BE21" s="80"/>
      <c r="BF21" s="81"/>
      <c r="BG21" s="168">
        <f t="shared" si="1"/>
        <v>0.83776</v>
      </c>
      <c r="BH21" s="168"/>
      <c r="BI21" s="168"/>
      <c r="BJ21" s="168"/>
      <c r="BK21" s="169"/>
      <c r="BL21" s="116"/>
      <c r="BM21" s="116"/>
      <c r="BN21" s="116"/>
      <c r="BO21" s="116"/>
      <c r="BP21" s="116"/>
      <c r="BQ21" s="116"/>
      <c r="BR21" s="116"/>
      <c r="BS21" s="54"/>
      <c r="BT21" s="55" t="str">
        <f t="shared" si="8"/>
        <v>チリパウダー（ギャ</v>
      </c>
      <c r="BU21" s="55"/>
      <c r="BV21" s="55"/>
      <c r="BW21" s="55"/>
      <c r="BX21" s="55"/>
      <c r="BY21" s="56">
        <f t="shared" si="2"/>
        <v>0.224</v>
      </c>
      <c r="BZ21" s="80"/>
      <c r="CA21" s="81"/>
      <c r="CB21" s="84"/>
      <c r="CC21" s="90"/>
      <c r="CD21" s="90"/>
      <c r="CE21" s="90"/>
      <c r="CF21" s="83"/>
      <c r="CH21" s="54"/>
      <c r="CI21" s="55"/>
      <c r="CJ21" s="55"/>
      <c r="CK21" s="55"/>
      <c r="CL21" s="55"/>
      <c r="CM21" s="55"/>
      <c r="CN21" s="56"/>
      <c r="CO21" s="80"/>
      <c r="CP21" s="55"/>
      <c r="CQ21" s="84"/>
      <c r="CR21" s="83"/>
      <c r="CS21" s="56"/>
      <c r="CT21" s="79"/>
      <c r="CU21" s="80"/>
    </row>
    <row r="22" ht="16.5" customHeight="1" spans="2:99">
      <c r="B22" s="54"/>
      <c r="C22" s="65" t="s">
        <v>55</v>
      </c>
      <c r="D22" s="65"/>
      <c r="E22" s="65"/>
      <c r="F22" s="65"/>
      <c r="G22" s="65"/>
      <c r="H22" s="66">
        <v>2</v>
      </c>
      <c r="I22" s="91"/>
      <c r="J22" s="55"/>
      <c r="K22" s="84"/>
      <c r="L22" s="83"/>
      <c r="M22" s="56">
        <f t="shared" si="3"/>
        <v>4</v>
      </c>
      <c r="N22" s="79"/>
      <c r="O22" s="80"/>
      <c r="Q22" s="54"/>
      <c r="R22" s="55">
        <f t="shared" si="9"/>
        <v>72</v>
      </c>
      <c r="S22" s="55"/>
      <c r="T22" s="55"/>
      <c r="U22" s="55"/>
      <c r="V22" s="55"/>
      <c r="W22" s="56"/>
      <c r="X22" s="80"/>
      <c r="Y22" s="55"/>
      <c r="Z22" s="84"/>
      <c r="AA22" s="83"/>
      <c r="AB22" s="56">
        <f t="shared" si="10"/>
        <v>70</v>
      </c>
      <c r="AC22" s="79"/>
      <c r="AD22" s="80"/>
      <c r="AE22" s="116"/>
      <c r="AF22" s="121" t="s">
        <v>39</v>
      </c>
      <c r="AG22" s="128"/>
      <c r="AH22" s="129"/>
      <c r="AI22" s="128"/>
      <c r="AJ22" s="128"/>
      <c r="AK22" s="129"/>
      <c r="AL22" s="130"/>
      <c r="AM22" s="130"/>
      <c r="AN22" s="130"/>
      <c r="AO22" s="130"/>
      <c r="AP22" s="130"/>
      <c r="AQ22" s="55" t="str">
        <f t="shared" si="5"/>
        <v>コリアンダー</v>
      </c>
      <c r="AR22" s="55"/>
      <c r="AS22" s="55"/>
      <c r="AT22" s="55"/>
      <c r="AU22" s="55"/>
      <c r="AV22" s="79">
        <f t="shared" ref="AV22:AV30" si="12">AY22*1.28</f>
        <v>0.1792</v>
      </c>
      <c r="AW22" s="79"/>
      <c r="AX22" s="159" t="s">
        <v>34</v>
      </c>
      <c r="AY22" s="56">
        <f t="shared" si="11"/>
        <v>0.14</v>
      </c>
      <c r="AZ22" s="79"/>
      <c r="BA22" s="159" t="s">
        <v>34</v>
      </c>
      <c r="BB22" s="56">
        <v>1</v>
      </c>
      <c r="BC22" s="83"/>
      <c r="BD22" s="56">
        <v>350</v>
      </c>
      <c r="BE22" s="80"/>
      <c r="BF22" s="81"/>
      <c r="BG22" s="168">
        <f t="shared" si="1"/>
        <v>0.6272</v>
      </c>
      <c r="BH22" s="168"/>
      <c r="BI22" s="168"/>
      <c r="BJ22" s="168"/>
      <c r="BK22" s="169"/>
      <c r="BL22" s="116"/>
      <c r="BM22" s="116"/>
      <c r="BN22" s="116"/>
      <c r="BO22" s="116"/>
      <c r="BP22" s="116"/>
      <c r="BQ22" s="116"/>
      <c r="BR22" s="116"/>
      <c r="BS22" s="54"/>
      <c r="BT22" s="55" t="str">
        <f t="shared" si="8"/>
        <v>コリアンダー</v>
      </c>
      <c r="BU22" s="55"/>
      <c r="BV22" s="55"/>
      <c r="BW22" s="55"/>
      <c r="BX22" s="55"/>
      <c r="BY22" s="56">
        <f t="shared" si="2"/>
        <v>0.1792</v>
      </c>
      <c r="BZ22" s="80"/>
      <c r="CA22" s="81"/>
      <c r="CB22" s="84"/>
      <c r="CC22" s="90"/>
      <c r="CD22" s="90"/>
      <c r="CE22" s="90"/>
      <c r="CF22" s="83"/>
      <c r="CH22" s="54"/>
      <c r="CI22" s="55"/>
      <c r="CJ22" s="55"/>
      <c r="CK22" s="55"/>
      <c r="CL22" s="55"/>
      <c r="CM22" s="55"/>
      <c r="CN22" s="56"/>
      <c r="CO22" s="80"/>
      <c r="CP22" s="55"/>
      <c r="CQ22" s="84"/>
      <c r="CR22" s="83"/>
      <c r="CS22" s="56"/>
      <c r="CT22" s="79"/>
      <c r="CU22" s="80"/>
    </row>
    <row r="23" ht="16.5" customHeight="1" spans="2:99">
      <c r="B23" s="54"/>
      <c r="C23" s="55" t="s">
        <v>56</v>
      </c>
      <c r="D23" s="55"/>
      <c r="E23" s="55"/>
      <c r="F23" s="55"/>
      <c r="G23" s="55"/>
      <c r="H23" s="56">
        <v>2</v>
      </c>
      <c r="I23" s="80"/>
      <c r="J23" s="55"/>
      <c r="K23" s="84"/>
      <c r="L23" s="83"/>
      <c r="M23" s="56">
        <f t="shared" si="3"/>
        <v>4</v>
      </c>
      <c r="N23" s="79"/>
      <c r="O23" s="80"/>
      <c r="Q23" s="54"/>
      <c r="R23" s="55">
        <f t="shared" si="9"/>
        <v>72</v>
      </c>
      <c r="S23" s="55"/>
      <c r="T23" s="55"/>
      <c r="U23" s="55"/>
      <c r="V23" s="55"/>
      <c r="W23" s="56"/>
      <c r="X23" s="80"/>
      <c r="Y23" s="55"/>
      <c r="Z23" s="84"/>
      <c r="AA23" s="83"/>
      <c r="AB23" s="56">
        <f t="shared" si="10"/>
        <v>70</v>
      </c>
      <c r="AC23" s="79"/>
      <c r="AD23" s="80"/>
      <c r="AE23" s="116"/>
      <c r="AF23" s="121" t="s">
        <v>39</v>
      </c>
      <c r="AG23" s="128"/>
      <c r="AH23" s="129"/>
      <c r="AI23" s="128"/>
      <c r="AJ23" s="128"/>
      <c r="AK23" s="129"/>
      <c r="AL23" s="130"/>
      <c r="AM23" s="130"/>
      <c r="AN23" s="130"/>
      <c r="AO23" s="130"/>
      <c r="AP23" s="130"/>
      <c r="AQ23" s="55" t="str">
        <f t="shared" ref="AQ23:AQ30" si="13">C23</f>
        <v>カイエンペッパー</v>
      </c>
      <c r="AR23" s="55"/>
      <c r="AS23" s="55"/>
      <c r="AT23" s="55"/>
      <c r="AU23" s="55"/>
      <c r="AV23" s="79">
        <f t="shared" si="12"/>
        <v>0.1792</v>
      </c>
      <c r="AW23" s="79"/>
      <c r="AX23" s="159" t="s">
        <v>34</v>
      </c>
      <c r="AY23" s="56">
        <f t="shared" si="11"/>
        <v>0.14</v>
      </c>
      <c r="AZ23" s="79"/>
      <c r="BA23" s="159" t="s">
        <v>34</v>
      </c>
      <c r="BB23" s="56">
        <v>1</v>
      </c>
      <c r="BC23" s="83"/>
      <c r="BD23" s="56">
        <v>250</v>
      </c>
      <c r="BE23" s="80"/>
      <c r="BF23" s="81"/>
      <c r="BG23" s="168">
        <f t="shared" si="1"/>
        <v>0.448</v>
      </c>
      <c r="BH23" s="168"/>
      <c r="BI23" s="168"/>
      <c r="BJ23" s="168"/>
      <c r="BK23" s="169"/>
      <c r="BL23" s="116"/>
      <c r="BM23" s="116"/>
      <c r="BN23" s="116"/>
      <c r="BO23" s="116"/>
      <c r="BP23" s="116"/>
      <c r="BQ23" s="116"/>
      <c r="BR23" s="116"/>
      <c r="BS23" s="54"/>
      <c r="BT23" s="55" t="str">
        <f t="shared" si="8"/>
        <v>カイエンペッパー</v>
      </c>
      <c r="BU23" s="55"/>
      <c r="BV23" s="55"/>
      <c r="BW23" s="55"/>
      <c r="BX23" s="55"/>
      <c r="BY23" s="56">
        <f t="shared" si="2"/>
        <v>0.1792</v>
      </c>
      <c r="BZ23" s="80"/>
      <c r="CA23" s="81"/>
      <c r="CB23" s="84"/>
      <c r="CC23" s="90"/>
      <c r="CD23" s="90"/>
      <c r="CE23" s="90"/>
      <c r="CF23" s="83"/>
      <c r="CH23" s="54"/>
      <c r="CI23" s="55"/>
      <c r="CJ23" s="55"/>
      <c r="CK23" s="55"/>
      <c r="CL23" s="55"/>
      <c r="CM23" s="55"/>
      <c r="CN23" s="56"/>
      <c r="CO23" s="80"/>
      <c r="CP23" s="55"/>
      <c r="CQ23" s="84"/>
      <c r="CR23" s="83"/>
      <c r="CS23" s="56"/>
      <c r="CT23" s="79"/>
      <c r="CU23" s="80"/>
    </row>
    <row r="24" ht="16.5" customHeight="1" spans="2:99">
      <c r="B24" s="54"/>
      <c r="C24" s="55"/>
      <c r="D24" s="55"/>
      <c r="E24" s="55"/>
      <c r="F24" s="55"/>
      <c r="G24" s="55"/>
      <c r="H24" s="56"/>
      <c r="I24" s="80"/>
      <c r="J24" s="55"/>
      <c r="K24" s="84"/>
      <c r="L24" s="83"/>
      <c r="M24" s="56"/>
      <c r="N24" s="79"/>
      <c r="O24" s="80"/>
      <c r="Q24" s="54"/>
      <c r="R24" s="55">
        <f t="shared" si="9"/>
        <v>0</v>
      </c>
      <c r="S24" s="55"/>
      <c r="T24" s="55"/>
      <c r="U24" s="55"/>
      <c r="V24" s="55"/>
      <c r="W24" s="56"/>
      <c r="X24" s="80"/>
      <c r="Y24" s="55"/>
      <c r="Z24" s="84"/>
      <c r="AA24" s="83"/>
      <c r="AB24" s="56">
        <f t="shared" si="10"/>
        <v>0</v>
      </c>
      <c r="AC24" s="79"/>
      <c r="AD24" s="80"/>
      <c r="AE24" s="116"/>
      <c r="AF24" s="121"/>
      <c r="AG24" s="128"/>
      <c r="AH24" s="129"/>
      <c r="AI24" s="128"/>
      <c r="AJ24" s="128"/>
      <c r="AK24" s="129"/>
      <c r="AL24" s="130"/>
      <c r="AM24" s="130"/>
      <c r="AN24" s="130"/>
      <c r="AO24" s="130"/>
      <c r="AP24" s="130"/>
      <c r="AQ24" s="55">
        <f t="shared" si="13"/>
        <v>0</v>
      </c>
      <c r="AR24" s="55"/>
      <c r="AS24" s="55"/>
      <c r="AT24" s="55"/>
      <c r="AU24" s="55"/>
      <c r="AV24" s="79">
        <f t="shared" si="12"/>
        <v>0</v>
      </c>
      <c r="AW24" s="79"/>
      <c r="AX24" s="159" t="s">
        <v>34</v>
      </c>
      <c r="AY24" s="56">
        <f t="shared" si="11"/>
        <v>0</v>
      </c>
      <c r="AZ24" s="79"/>
      <c r="BA24" s="159" t="s">
        <v>34</v>
      </c>
      <c r="BB24" s="56">
        <v>1</v>
      </c>
      <c r="BC24" s="83"/>
      <c r="BD24" s="56"/>
      <c r="BE24" s="80"/>
      <c r="BF24" s="81"/>
      <c r="BG24" s="168">
        <f t="shared" si="1"/>
        <v>0</v>
      </c>
      <c r="BH24" s="168"/>
      <c r="BI24" s="168"/>
      <c r="BJ24" s="168"/>
      <c r="BK24" s="169"/>
      <c r="BL24" s="116"/>
      <c r="BM24" s="116"/>
      <c r="BN24" s="116"/>
      <c r="BO24" s="116"/>
      <c r="BP24" s="116"/>
      <c r="BQ24" s="116"/>
      <c r="BR24" s="116"/>
      <c r="BS24" s="54"/>
      <c r="BT24" s="55">
        <f t="shared" si="8"/>
        <v>0</v>
      </c>
      <c r="BU24" s="55"/>
      <c r="BV24" s="55"/>
      <c r="BW24" s="55"/>
      <c r="BX24" s="55"/>
      <c r="BY24" s="56">
        <f t="shared" si="2"/>
        <v>0</v>
      </c>
      <c r="BZ24" s="80"/>
      <c r="CA24" s="81"/>
      <c r="CB24" s="84"/>
      <c r="CC24" s="90"/>
      <c r="CD24" s="90"/>
      <c r="CE24" s="90"/>
      <c r="CF24" s="83"/>
      <c r="CH24" s="54"/>
      <c r="CI24" s="55"/>
      <c r="CJ24" s="55"/>
      <c r="CK24" s="55"/>
      <c r="CL24" s="55"/>
      <c r="CM24" s="55"/>
      <c r="CN24" s="56"/>
      <c r="CO24" s="80"/>
      <c r="CP24" s="55"/>
      <c r="CQ24" s="84"/>
      <c r="CR24" s="83"/>
      <c r="CS24" s="56"/>
      <c r="CT24" s="79"/>
      <c r="CU24" s="80"/>
    </row>
    <row r="25" ht="16.5" customHeight="1" spans="2:99">
      <c r="B25" s="54"/>
      <c r="C25" s="55"/>
      <c r="D25" s="55"/>
      <c r="E25" s="55"/>
      <c r="F25" s="55"/>
      <c r="G25" s="55"/>
      <c r="H25" s="56"/>
      <c r="I25" s="80"/>
      <c r="J25" s="55"/>
      <c r="K25" s="84"/>
      <c r="L25" s="83"/>
      <c r="M25" s="56"/>
      <c r="N25" s="79"/>
      <c r="O25" s="80"/>
      <c r="Q25" s="54"/>
      <c r="R25" s="55">
        <f t="shared" si="9"/>
        <v>0</v>
      </c>
      <c r="S25" s="55"/>
      <c r="T25" s="55"/>
      <c r="U25" s="55"/>
      <c r="V25" s="55"/>
      <c r="W25" s="56"/>
      <c r="X25" s="80"/>
      <c r="Y25" s="55"/>
      <c r="Z25" s="84"/>
      <c r="AA25" s="83"/>
      <c r="AB25" s="56">
        <f t="shared" si="10"/>
        <v>0</v>
      </c>
      <c r="AC25" s="79"/>
      <c r="AD25" s="80"/>
      <c r="AE25" s="116"/>
      <c r="AF25" s="121"/>
      <c r="AG25" s="128"/>
      <c r="AH25" s="129"/>
      <c r="AI25" s="128"/>
      <c r="AJ25" s="128"/>
      <c r="AK25" s="129"/>
      <c r="AL25" s="130"/>
      <c r="AM25" s="130"/>
      <c r="AN25" s="130"/>
      <c r="AO25" s="130"/>
      <c r="AP25" s="130"/>
      <c r="AQ25" s="55">
        <f t="shared" si="13"/>
        <v>0</v>
      </c>
      <c r="AR25" s="55"/>
      <c r="AS25" s="55"/>
      <c r="AT25" s="55"/>
      <c r="AU25" s="55"/>
      <c r="AV25" s="79">
        <f t="shared" si="12"/>
        <v>0</v>
      </c>
      <c r="AW25" s="79"/>
      <c r="AX25" s="159" t="s">
        <v>34</v>
      </c>
      <c r="AY25" s="56">
        <f t="shared" si="11"/>
        <v>0</v>
      </c>
      <c r="AZ25" s="79"/>
      <c r="BA25" s="159" t="s">
        <v>34</v>
      </c>
      <c r="BB25" s="56">
        <v>1</v>
      </c>
      <c r="BC25" s="83"/>
      <c r="BD25" s="56"/>
      <c r="BE25" s="80"/>
      <c r="BF25" s="81"/>
      <c r="BG25" s="168">
        <f t="shared" si="1"/>
        <v>0</v>
      </c>
      <c r="BH25" s="168"/>
      <c r="BI25" s="168"/>
      <c r="BJ25" s="168"/>
      <c r="BK25" s="169"/>
      <c r="BL25" s="116"/>
      <c r="BM25" s="116"/>
      <c r="BN25" s="116"/>
      <c r="BO25" s="116"/>
      <c r="BP25" s="116"/>
      <c r="BQ25" s="116"/>
      <c r="BR25" s="116"/>
      <c r="BS25" s="54"/>
      <c r="BT25" s="55">
        <f t="shared" si="8"/>
        <v>0</v>
      </c>
      <c r="BU25" s="55"/>
      <c r="BV25" s="55"/>
      <c r="BW25" s="55"/>
      <c r="BX25" s="55"/>
      <c r="BY25" s="56">
        <f t="shared" si="2"/>
        <v>0</v>
      </c>
      <c r="BZ25" s="80"/>
      <c r="CA25" s="81"/>
      <c r="CB25" s="84"/>
      <c r="CC25" s="90"/>
      <c r="CD25" s="90"/>
      <c r="CE25" s="90"/>
      <c r="CF25" s="83"/>
      <c r="CH25" s="54"/>
      <c r="CI25" s="55"/>
      <c r="CJ25" s="55"/>
      <c r="CK25" s="55"/>
      <c r="CL25" s="55"/>
      <c r="CM25" s="55"/>
      <c r="CN25" s="56"/>
      <c r="CO25" s="80"/>
      <c r="CP25" s="55"/>
      <c r="CQ25" s="84"/>
      <c r="CR25" s="83"/>
      <c r="CS25" s="56"/>
      <c r="CT25" s="79"/>
      <c r="CU25" s="80"/>
    </row>
    <row r="26" ht="16.5" customHeight="1" spans="2:99">
      <c r="B26" s="54"/>
      <c r="C26" s="55" t="s">
        <v>57</v>
      </c>
      <c r="D26" s="55"/>
      <c r="E26" s="55"/>
      <c r="F26" s="55"/>
      <c r="G26" s="55"/>
      <c r="H26" s="56">
        <v>20</v>
      </c>
      <c r="I26" s="80"/>
      <c r="J26" s="55"/>
      <c r="K26" s="84"/>
      <c r="L26" s="83"/>
      <c r="M26" s="56">
        <f>H26*2</f>
        <v>40</v>
      </c>
      <c r="N26" s="79"/>
      <c r="O26" s="80"/>
      <c r="Q26" s="54"/>
      <c r="R26" s="55">
        <f t="shared" si="9"/>
        <v>720</v>
      </c>
      <c r="S26" s="55"/>
      <c r="T26" s="55"/>
      <c r="U26" s="55"/>
      <c r="V26" s="55"/>
      <c r="W26" s="56"/>
      <c r="X26" s="80"/>
      <c r="Y26" s="55"/>
      <c r="Z26" s="84"/>
      <c r="AA26" s="83"/>
      <c r="AB26" s="56">
        <f t="shared" si="10"/>
        <v>700</v>
      </c>
      <c r="AC26" s="79"/>
      <c r="AD26" s="80"/>
      <c r="AE26" s="116"/>
      <c r="AF26" s="121" t="s">
        <v>39</v>
      </c>
      <c r="AG26" s="128"/>
      <c r="AH26" s="129"/>
      <c r="AI26" s="128"/>
      <c r="AJ26" s="128"/>
      <c r="AK26" s="129"/>
      <c r="AL26" s="130"/>
      <c r="AM26" s="130"/>
      <c r="AN26" s="130"/>
      <c r="AO26" s="130"/>
      <c r="AP26" s="130"/>
      <c r="AQ26" s="55" t="str">
        <f t="shared" si="13"/>
        <v>三温糖</v>
      </c>
      <c r="AR26" s="55"/>
      <c r="AS26" s="55"/>
      <c r="AT26" s="55"/>
      <c r="AU26" s="55"/>
      <c r="AV26" s="79">
        <f t="shared" si="12"/>
        <v>1.792</v>
      </c>
      <c r="AW26" s="79"/>
      <c r="AX26" s="159" t="s">
        <v>34</v>
      </c>
      <c r="AY26" s="56">
        <f t="shared" si="11"/>
        <v>1.4</v>
      </c>
      <c r="AZ26" s="79"/>
      <c r="BA26" s="159" t="s">
        <v>34</v>
      </c>
      <c r="BB26" s="56">
        <v>1</v>
      </c>
      <c r="BC26" s="83"/>
      <c r="BD26" s="56">
        <v>29</v>
      </c>
      <c r="BE26" s="80"/>
      <c r="BF26" s="81"/>
      <c r="BG26" s="168">
        <f t="shared" si="1"/>
        <v>0.51968</v>
      </c>
      <c r="BH26" s="168"/>
      <c r="BI26" s="168"/>
      <c r="BJ26" s="168"/>
      <c r="BK26" s="169"/>
      <c r="BL26" s="116"/>
      <c r="BM26" s="116"/>
      <c r="BN26" s="116"/>
      <c r="BO26" s="116"/>
      <c r="BP26" s="116"/>
      <c r="BQ26" s="116"/>
      <c r="BR26" s="116"/>
      <c r="BS26" s="54"/>
      <c r="BT26" s="55" t="str">
        <f t="shared" si="8"/>
        <v>三温糖</v>
      </c>
      <c r="BU26" s="55"/>
      <c r="BV26" s="55"/>
      <c r="BW26" s="55"/>
      <c r="BX26" s="55"/>
      <c r="BY26" s="56">
        <f t="shared" si="2"/>
        <v>1.792</v>
      </c>
      <c r="BZ26" s="80"/>
      <c r="CA26" s="81"/>
      <c r="CB26" s="84"/>
      <c r="CC26" s="90"/>
      <c r="CD26" s="90"/>
      <c r="CE26" s="90"/>
      <c r="CF26" s="83"/>
      <c r="CH26" s="54"/>
      <c r="CI26" s="55"/>
      <c r="CJ26" s="55"/>
      <c r="CK26" s="55"/>
      <c r="CL26" s="55"/>
      <c r="CM26" s="55"/>
      <c r="CN26" s="56"/>
      <c r="CO26" s="80"/>
      <c r="CP26" s="55"/>
      <c r="CQ26" s="84"/>
      <c r="CR26" s="83"/>
      <c r="CS26" s="56"/>
      <c r="CT26" s="79"/>
      <c r="CU26" s="80"/>
    </row>
    <row r="27" ht="16.5" customHeight="1" spans="2:99">
      <c r="B27" s="54"/>
      <c r="C27" s="55" t="s">
        <v>58</v>
      </c>
      <c r="D27" s="55"/>
      <c r="E27" s="55"/>
      <c r="F27" s="55"/>
      <c r="G27" s="55"/>
      <c r="H27" s="56">
        <v>10</v>
      </c>
      <c r="I27" s="80"/>
      <c r="J27" s="55"/>
      <c r="K27" s="84"/>
      <c r="L27" s="83"/>
      <c r="M27" s="56">
        <f>H27*2</f>
        <v>20</v>
      </c>
      <c r="N27" s="79"/>
      <c r="O27" s="80"/>
      <c r="Q27" s="54"/>
      <c r="R27" s="55">
        <f t="shared" si="9"/>
        <v>360</v>
      </c>
      <c r="S27" s="55"/>
      <c r="T27" s="55"/>
      <c r="U27" s="55"/>
      <c r="V27" s="55"/>
      <c r="W27" s="56"/>
      <c r="X27" s="80"/>
      <c r="Y27" s="55"/>
      <c r="Z27" s="84"/>
      <c r="AA27" s="83"/>
      <c r="AB27" s="56">
        <f t="shared" si="10"/>
        <v>350</v>
      </c>
      <c r="AC27" s="79"/>
      <c r="AD27" s="80"/>
      <c r="AE27" s="116"/>
      <c r="AF27" s="121" t="s">
        <v>39</v>
      </c>
      <c r="AG27" s="128"/>
      <c r="AH27" s="129"/>
      <c r="AI27" s="128"/>
      <c r="AJ27" s="128"/>
      <c r="AK27" s="129"/>
      <c r="AL27" s="130"/>
      <c r="AM27" s="130"/>
      <c r="AN27" s="130"/>
      <c r="AO27" s="130"/>
      <c r="AP27" s="130"/>
      <c r="AQ27" s="55" t="str">
        <f t="shared" si="13"/>
        <v>食塩</v>
      </c>
      <c r="AR27" s="55"/>
      <c r="AS27" s="55"/>
      <c r="AT27" s="55"/>
      <c r="AU27" s="55"/>
      <c r="AV27" s="79">
        <f t="shared" si="12"/>
        <v>0.896</v>
      </c>
      <c r="AW27" s="79"/>
      <c r="AX27" s="159" t="s">
        <v>34</v>
      </c>
      <c r="AY27" s="56">
        <f t="shared" si="11"/>
        <v>0.7</v>
      </c>
      <c r="AZ27" s="79"/>
      <c r="BA27" s="159" t="s">
        <v>34</v>
      </c>
      <c r="BB27" s="56">
        <v>1</v>
      </c>
      <c r="BC27" s="83"/>
      <c r="BD27" s="56">
        <v>9</v>
      </c>
      <c r="BE27" s="80"/>
      <c r="BF27" s="81"/>
      <c r="BG27" s="168">
        <f t="shared" si="1"/>
        <v>0.08064</v>
      </c>
      <c r="BH27" s="168"/>
      <c r="BI27" s="168"/>
      <c r="BJ27" s="168"/>
      <c r="BK27" s="169"/>
      <c r="BL27" s="116"/>
      <c r="BM27" s="116"/>
      <c r="BN27" s="116"/>
      <c r="BO27" s="116"/>
      <c r="BP27" s="116"/>
      <c r="BQ27" s="116"/>
      <c r="BR27" s="116"/>
      <c r="BS27" s="54"/>
      <c r="BT27" s="55" t="str">
        <f t="shared" si="8"/>
        <v>食塩</v>
      </c>
      <c r="BU27" s="55"/>
      <c r="BV27" s="55"/>
      <c r="BW27" s="55"/>
      <c r="BX27" s="55"/>
      <c r="BY27" s="56">
        <f t="shared" si="2"/>
        <v>0.896</v>
      </c>
      <c r="BZ27" s="80"/>
      <c r="CA27" s="81"/>
      <c r="CB27" s="84"/>
      <c r="CC27" s="90"/>
      <c r="CD27" s="90"/>
      <c r="CE27" s="90"/>
      <c r="CF27" s="83"/>
      <c r="CH27" s="54"/>
      <c r="CI27" s="55"/>
      <c r="CJ27" s="55"/>
      <c r="CK27" s="55"/>
      <c r="CL27" s="55"/>
      <c r="CM27" s="55"/>
      <c r="CN27" s="56"/>
      <c r="CO27" s="80"/>
      <c r="CP27" s="55"/>
      <c r="CQ27" s="84"/>
      <c r="CR27" s="83"/>
      <c r="CS27" s="56"/>
      <c r="CT27" s="79"/>
      <c r="CU27" s="80"/>
    </row>
    <row r="28" ht="16.5" customHeight="1" spans="2:99">
      <c r="B28" s="54"/>
      <c r="C28" s="55" t="s">
        <v>59</v>
      </c>
      <c r="D28" s="55"/>
      <c r="E28" s="55"/>
      <c r="F28" s="55"/>
      <c r="G28" s="55"/>
      <c r="H28" s="56">
        <v>1</v>
      </c>
      <c r="I28" s="80"/>
      <c r="J28" s="55"/>
      <c r="K28" s="84"/>
      <c r="L28" s="83"/>
      <c r="M28" s="56">
        <f>H28*2</f>
        <v>2</v>
      </c>
      <c r="N28" s="79"/>
      <c r="O28" s="80"/>
      <c r="Q28" s="54"/>
      <c r="R28" s="55">
        <f t="shared" si="9"/>
        <v>36</v>
      </c>
      <c r="S28" s="55"/>
      <c r="T28" s="55"/>
      <c r="U28" s="55"/>
      <c r="V28" s="55"/>
      <c r="W28" s="56"/>
      <c r="X28" s="80"/>
      <c r="Y28" s="55"/>
      <c r="Z28" s="84"/>
      <c r="AA28" s="83"/>
      <c r="AB28" s="56">
        <f t="shared" si="10"/>
        <v>35</v>
      </c>
      <c r="AC28" s="79"/>
      <c r="AD28" s="80"/>
      <c r="AE28" s="116"/>
      <c r="AF28" s="121" t="s">
        <v>39</v>
      </c>
      <c r="AG28" s="128"/>
      <c r="AH28" s="129"/>
      <c r="AI28" s="128"/>
      <c r="AJ28" s="128"/>
      <c r="AK28" s="129"/>
      <c r="AL28" s="130"/>
      <c r="AM28" s="130"/>
      <c r="AN28" s="130"/>
      <c r="AO28" s="130"/>
      <c r="AP28" s="130"/>
      <c r="AQ28" s="55" t="str">
        <f t="shared" si="13"/>
        <v>ブラックペッパー</v>
      </c>
      <c r="AR28" s="55"/>
      <c r="AS28" s="55"/>
      <c r="AT28" s="55"/>
      <c r="AU28" s="55"/>
      <c r="AV28" s="79">
        <f t="shared" si="12"/>
        <v>0.0896</v>
      </c>
      <c r="AW28" s="79"/>
      <c r="AX28" s="159" t="s">
        <v>34</v>
      </c>
      <c r="AY28" s="56">
        <f t="shared" si="11"/>
        <v>0.07</v>
      </c>
      <c r="AZ28" s="79"/>
      <c r="BA28" s="159" t="s">
        <v>34</v>
      </c>
      <c r="BB28" s="56">
        <v>1</v>
      </c>
      <c r="BC28" s="83"/>
      <c r="BD28" s="56">
        <v>500</v>
      </c>
      <c r="BE28" s="80"/>
      <c r="BF28" s="81"/>
      <c r="BG28" s="168">
        <f t="shared" si="1"/>
        <v>0.448</v>
      </c>
      <c r="BH28" s="168"/>
      <c r="BI28" s="168"/>
      <c r="BJ28" s="168"/>
      <c r="BK28" s="169"/>
      <c r="BL28" s="116"/>
      <c r="BM28" s="116"/>
      <c r="BN28" s="116"/>
      <c r="BO28" s="116"/>
      <c r="BP28" s="116"/>
      <c r="BQ28" s="116"/>
      <c r="BR28" s="116"/>
      <c r="BS28" s="54"/>
      <c r="BT28" s="55" t="str">
        <f t="shared" si="8"/>
        <v>ブラックペッパー</v>
      </c>
      <c r="BU28" s="55"/>
      <c r="BV28" s="55"/>
      <c r="BW28" s="55"/>
      <c r="BX28" s="55"/>
      <c r="BY28" s="56">
        <f t="shared" si="2"/>
        <v>0.0896</v>
      </c>
      <c r="BZ28" s="80"/>
      <c r="CA28" s="81"/>
      <c r="CB28" s="84"/>
      <c r="CC28" s="90"/>
      <c r="CD28" s="90"/>
      <c r="CE28" s="90"/>
      <c r="CF28" s="83"/>
      <c r="CH28" s="54"/>
      <c r="CI28" s="55"/>
      <c r="CJ28" s="55"/>
      <c r="CK28" s="55"/>
      <c r="CL28" s="55"/>
      <c r="CM28" s="55"/>
      <c r="CN28" s="56"/>
      <c r="CO28" s="80"/>
      <c r="CP28" s="55"/>
      <c r="CQ28" s="84"/>
      <c r="CR28" s="83"/>
      <c r="CS28" s="56"/>
      <c r="CT28" s="79"/>
      <c r="CU28" s="80"/>
    </row>
    <row r="29" ht="16.5" customHeight="1" spans="2:99">
      <c r="B29" s="54"/>
      <c r="C29" s="55" t="s">
        <v>46</v>
      </c>
      <c r="D29" s="55"/>
      <c r="E29" s="55"/>
      <c r="F29" s="55"/>
      <c r="G29" s="55"/>
      <c r="H29" s="56">
        <v>1100</v>
      </c>
      <c r="I29" s="80"/>
      <c r="J29" s="55"/>
      <c r="K29" s="84"/>
      <c r="L29" s="83"/>
      <c r="M29" s="56">
        <f>H29*2</f>
        <v>2200</v>
      </c>
      <c r="N29" s="79"/>
      <c r="O29" s="80"/>
      <c r="Q29" s="54"/>
      <c r="R29" s="55">
        <f t="shared" si="9"/>
        <v>39600</v>
      </c>
      <c r="S29" s="55"/>
      <c r="T29" s="55"/>
      <c r="U29" s="55"/>
      <c r="V29" s="55"/>
      <c r="W29" s="56"/>
      <c r="X29" s="80"/>
      <c r="Y29" s="55"/>
      <c r="Z29" s="84"/>
      <c r="AA29" s="83"/>
      <c r="AB29" s="56">
        <f t="shared" si="10"/>
        <v>38500</v>
      </c>
      <c r="AC29" s="79"/>
      <c r="AD29" s="80"/>
      <c r="AE29" s="116"/>
      <c r="AF29" s="121"/>
      <c r="AG29" s="128"/>
      <c r="AH29" s="129"/>
      <c r="AI29" s="128"/>
      <c r="AJ29" s="128"/>
      <c r="AK29" s="129"/>
      <c r="AL29" s="130"/>
      <c r="AM29" s="130"/>
      <c r="AN29" s="130"/>
      <c r="AO29" s="130"/>
      <c r="AP29" s="130"/>
      <c r="AQ29" s="55" t="str">
        <f t="shared" si="13"/>
        <v>水</v>
      </c>
      <c r="AR29" s="55"/>
      <c r="AS29" s="55"/>
      <c r="AT29" s="55"/>
      <c r="AU29" s="55"/>
      <c r="AV29" s="79">
        <f t="shared" si="12"/>
        <v>98.56</v>
      </c>
      <c r="AW29" s="79"/>
      <c r="AX29" s="159" t="s">
        <v>34</v>
      </c>
      <c r="AY29" s="56">
        <f t="shared" si="11"/>
        <v>77</v>
      </c>
      <c r="AZ29" s="79"/>
      <c r="BA29" s="159" t="s">
        <v>34</v>
      </c>
      <c r="BB29" s="56">
        <v>1</v>
      </c>
      <c r="BC29" s="83"/>
      <c r="BD29" s="56"/>
      <c r="BE29" s="80"/>
      <c r="BF29" s="81"/>
      <c r="BG29" s="168">
        <f t="shared" si="1"/>
        <v>0</v>
      </c>
      <c r="BH29" s="168"/>
      <c r="BI29" s="168"/>
      <c r="BJ29" s="168"/>
      <c r="BK29" s="169"/>
      <c r="BL29" s="116"/>
      <c r="BM29" s="116"/>
      <c r="BN29" s="116"/>
      <c r="BO29" s="116"/>
      <c r="BP29" s="116"/>
      <c r="BQ29" s="116"/>
      <c r="BR29" s="116"/>
      <c r="BS29" s="54"/>
      <c r="BT29" s="55" t="str">
        <f t="shared" si="8"/>
        <v>水</v>
      </c>
      <c r="BU29" s="55"/>
      <c r="BV29" s="55"/>
      <c r="BW29" s="55"/>
      <c r="BX29" s="55"/>
      <c r="BY29" s="56">
        <f t="shared" si="2"/>
        <v>98.56</v>
      </c>
      <c r="BZ29" s="80"/>
      <c r="CA29" s="81"/>
      <c r="CB29" s="84"/>
      <c r="CC29" s="90"/>
      <c r="CD29" s="90"/>
      <c r="CE29" s="90"/>
      <c r="CF29" s="83"/>
      <c r="CH29" s="54"/>
      <c r="CI29" s="55"/>
      <c r="CJ29" s="55"/>
      <c r="CK29" s="55"/>
      <c r="CL29" s="55"/>
      <c r="CM29" s="55"/>
      <c r="CN29" s="56"/>
      <c r="CO29" s="80"/>
      <c r="CP29" s="55"/>
      <c r="CQ29" s="84"/>
      <c r="CR29" s="83"/>
      <c r="CS29" s="56"/>
      <c r="CT29" s="79"/>
      <c r="CU29" s="80"/>
    </row>
    <row r="30" ht="16.5" customHeight="1" spans="2:99">
      <c r="B30" s="54"/>
      <c r="C30" s="55" t="s">
        <v>60</v>
      </c>
      <c r="D30" s="55"/>
      <c r="E30" s="55"/>
      <c r="F30" s="55"/>
      <c r="G30" s="55"/>
      <c r="H30" s="56">
        <v>200</v>
      </c>
      <c r="I30" s="80"/>
      <c r="J30" s="55"/>
      <c r="K30" s="84"/>
      <c r="L30" s="83"/>
      <c r="M30" s="56">
        <f>H30*2</f>
        <v>400</v>
      </c>
      <c r="N30" s="79"/>
      <c r="O30" s="80"/>
      <c r="Q30" s="54"/>
      <c r="R30" s="55">
        <f t="shared" si="9"/>
        <v>7200</v>
      </c>
      <c r="S30" s="55"/>
      <c r="T30" s="55"/>
      <c r="U30" s="55"/>
      <c r="V30" s="55"/>
      <c r="W30" s="56"/>
      <c r="X30" s="80"/>
      <c r="Y30" s="55"/>
      <c r="Z30" s="84"/>
      <c r="AA30" s="83"/>
      <c r="AB30" s="56">
        <f t="shared" si="10"/>
        <v>7000</v>
      </c>
      <c r="AC30" s="79"/>
      <c r="AD30" s="80"/>
      <c r="AE30" s="116"/>
      <c r="AF30" s="121" t="s">
        <v>39</v>
      </c>
      <c r="AG30" s="128"/>
      <c r="AH30" s="129"/>
      <c r="AI30" s="128"/>
      <c r="AJ30" s="128"/>
      <c r="AK30" s="129"/>
      <c r="AL30" s="130"/>
      <c r="AM30" s="130"/>
      <c r="AN30" s="130"/>
      <c r="AO30" s="130"/>
      <c r="AP30" s="130"/>
      <c r="AQ30" s="55" t="str">
        <f t="shared" si="13"/>
        <v>ジャワカレー（フレーク</v>
      </c>
      <c r="AR30" s="55"/>
      <c r="AS30" s="55"/>
      <c r="AT30" s="55"/>
      <c r="AU30" s="55"/>
      <c r="AV30" s="79">
        <f t="shared" si="12"/>
        <v>17.92</v>
      </c>
      <c r="AW30" s="79"/>
      <c r="AX30" s="159" t="s">
        <v>34</v>
      </c>
      <c r="AY30" s="56">
        <f t="shared" si="11"/>
        <v>14</v>
      </c>
      <c r="AZ30" s="79"/>
      <c r="BA30" s="159" t="s">
        <v>34</v>
      </c>
      <c r="BB30" s="56">
        <v>1</v>
      </c>
      <c r="BC30" s="83"/>
      <c r="BD30" s="56">
        <v>120</v>
      </c>
      <c r="BE30" s="80"/>
      <c r="BF30" s="81"/>
      <c r="BG30" s="168">
        <f t="shared" si="1"/>
        <v>21.504</v>
      </c>
      <c r="BH30" s="168"/>
      <c r="BI30" s="168"/>
      <c r="BJ30" s="168"/>
      <c r="BK30" s="169"/>
      <c r="BL30" s="116"/>
      <c r="BM30" s="116"/>
      <c r="BN30" s="116"/>
      <c r="BO30" s="116"/>
      <c r="BP30" s="116"/>
      <c r="BQ30" s="116"/>
      <c r="BR30" s="116"/>
      <c r="BS30" s="54"/>
      <c r="BT30" s="55" t="str">
        <f t="shared" si="8"/>
        <v>ジャワカレー（フレーク</v>
      </c>
      <c r="BU30" s="55"/>
      <c r="BV30" s="55"/>
      <c r="BW30" s="55"/>
      <c r="BX30" s="55"/>
      <c r="BY30" s="56">
        <f t="shared" si="2"/>
        <v>17.92</v>
      </c>
      <c r="BZ30" s="80"/>
      <c r="CA30" s="81"/>
      <c r="CB30" s="84"/>
      <c r="CC30" s="90"/>
      <c r="CD30" s="90"/>
      <c r="CE30" s="90"/>
      <c r="CF30" s="83"/>
      <c r="CH30" s="54"/>
      <c r="CI30" s="55"/>
      <c r="CJ30" s="55"/>
      <c r="CK30" s="55"/>
      <c r="CL30" s="55"/>
      <c r="CM30" s="55"/>
      <c r="CN30" s="56"/>
      <c r="CO30" s="80"/>
      <c r="CP30" s="55"/>
      <c r="CQ30" s="84"/>
      <c r="CR30" s="83"/>
      <c r="CS30" s="56"/>
      <c r="CT30" s="79"/>
      <c r="CU30" s="80"/>
    </row>
    <row r="31" ht="16.5" customHeight="1" spans="2:108">
      <c r="B31" s="67" t="s">
        <v>61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105"/>
      <c r="T31" s="106"/>
      <c r="U31" s="106"/>
      <c r="V31" s="106"/>
      <c r="W31" s="106"/>
      <c r="X31" s="106"/>
      <c r="Y31" s="106"/>
      <c r="Z31" s="106"/>
      <c r="AA31" s="106"/>
      <c r="AB31" s="56">
        <f>SUM(AB7:AB30)</f>
        <v>69832</v>
      </c>
      <c r="AC31" s="79"/>
      <c r="AD31" s="80"/>
      <c r="AE31" s="116"/>
      <c r="AF31" s="121"/>
      <c r="AG31" s="128"/>
      <c r="AH31" s="129"/>
      <c r="AI31" s="128"/>
      <c r="AJ31" s="128"/>
      <c r="AK31" s="129"/>
      <c r="AL31" s="130"/>
      <c r="AM31" s="130"/>
      <c r="AN31" s="130"/>
      <c r="AO31" s="130"/>
      <c r="AP31" s="130"/>
      <c r="AQ31" s="55"/>
      <c r="AR31" s="55"/>
      <c r="AS31" s="55"/>
      <c r="AT31" s="55"/>
      <c r="AU31" s="55"/>
      <c r="AV31" s="79"/>
      <c r="AW31" s="79"/>
      <c r="AX31" s="159" t="s">
        <v>34</v>
      </c>
      <c r="AY31" s="79"/>
      <c r="AZ31" s="79"/>
      <c r="BA31" s="159" t="s">
        <v>34</v>
      </c>
      <c r="BB31" s="56">
        <v>1</v>
      </c>
      <c r="BC31" s="83"/>
      <c r="BD31" s="56"/>
      <c r="BE31" s="80"/>
      <c r="BF31" s="81"/>
      <c r="BG31" s="168">
        <f t="shared" si="0"/>
        <v>0</v>
      </c>
      <c r="BH31" s="168"/>
      <c r="BI31" s="168"/>
      <c r="BJ31" s="168"/>
      <c r="BK31" s="169"/>
      <c r="BL31" s="116"/>
      <c r="BM31" s="116"/>
      <c r="BN31" s="116"/>
      <c r="BO31" s="116"/>
      <c r="BP31" s="116"/>
      <c r="BQ31" s="116"/>
      <c r="BR31" s="116"/>
      <c r="BT31" s="55">
        <f t="shared" si="8"/>
        <v>0</v>
      </c>
      <c r="BU31" s="55"/>
      <c r="BV31" s="55"/>
      <c r="BW31" s="55"/>
      <c r="BX31" s="55"/>
      <c r="BY31" s="56"/>
      <c r="BZ31" s="80"/>
      <c r="CA31" s="81"/>
      <c r="CB31" s="84"/>
      <c r="CC31" s="90"/>
      <c r="CD31" s="90"/>
      <c r="CE31" s="90"/>
      <c r="CF31" s="83"/>
      <c r="DD31" s="178"/>
    </row>
    <row r="32" ht="16.5" customHeight="1" spans="2:108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105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22"/>
      <c r="AE32" s="116"/>
      <c r="AF32" s="121"/>
      <c r="AG32" s="128"/>
      <c r="AH32" s="129"/>
      <c r="AI32" s="128"/>
      <c r="AJ32" s="128"/>
      <c r="AK32" s="129"/>
      <c r="AL32" s="130"/>
      <c r="AM32" s="130"/>
      <c r="AN32" s="130"/>
      <c r="AO32" s="130"/>
      <c r="AP32" s="130"/>
      <c r="AQ32" s="55"/>
      <c r="AR32" s="55"/>
      <c r="AS32" s="55"/>
      <c r="AT32" s="55"/>
      <c r="AU32" s="55"/>
      <c r="AV32" s="79"/>
      <c r="AW32" s="79"/>
      <c r="AX32" s="159" t="s">
        <v>34</v>
      </c>
      <c r="AY32" s="79"/>
      <c r="AZ32" s="79"/>
      <c r="BA32" s="159" t="s">
        <v>34</v>
      </c>
      <c r="BB32" s="56">
        <v>1</v>
      </c>
      <c r="BC32" s="83"/>
      <c r="BD32" s="56"/>
      <c r="BE32" s="80"/>
      <c r="BF32" s="81"/>
      <c r="BG32" s="168">
        <f t="shared" si="0"/>
        <v>0</v>
      </c>
      <c r="BH32" s="168"/>
      <c r="BI32" s="168"/>
      <c r="BJ32" s="168"/>
      <c r="BK32" s="169"/>
      <c r="BL32" s="116"/>
      <c r="BM32" s="116"/>
      <c r="BN32" s="116"/>
      <c r="BO32" s="116"/>
      <c r="BP32" s="116"/>
      <c r="BQ32" s="116"/>
      <c r="BR32" s="116"/>
      <c r="BT32" s="55">
        <f t="shared" si="8"/>
        <v>0</v>
      </c>
      <c r="BU32" s="55"/>
      <c r="BV32" s="55"/>
      <c r="BW32" s="55"/>
      <c r="BX32" s="55"/>
      <c r="BY32" s="56"/>
      <c r="BZ32" s="80"/>
      <c r="CA32" s="81"/>
      <c r="CB32" s="84"/>
      <c r="CC32" s="90"/>
      <c r="CD32" s="90"/>
      <c r="CE32" s="90"/>
      <c r="CF32" s="83"/>
      <c r="DD32" s="178"/>
    </row>
    <row r="33" ht="16.5" customHeight="1" spans="2:108">
      <c r="B33" s="67" t="s">
        <v>62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107" t="s">
        <v>63</v>
      </c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23"/>
      <c r="AE33" s="116"/>
      <c r="AF33" s="121"/>
      <c r="AG33" s="128"/>
      <c r="AH33" s="129"/>
      <c r="AI33" s="128"/>
      <c r="AJ33" s="128"/>
      <c r="AK33" s="129"/>
      <c r="AL33" s="130"/>
      <c r="AM33" s="130"/>
      <c r="AN33" s="130"/>
      <c r="AO33" s="130"/>
      <c r="AP33" s="130"/>
      <c r="AQ33" s="55"/>
      <c r="AR33" s="55"/>
      <c r="AS33" s="55"/>
      <c r="AT33" s="55"/>
      <c r="AU33" s="55"/>
      <c r="AV33" s="79"/>
      <c r="AW33" s="79"/>
      <c r="AX33" s="159" t="s">
        <v>34</v>
      </c>
      <c r="AY33" s="79"/>
      <c r="AZ33" s="79"/>
      <c r="BA33" s="159" t="s">
        <v>34</v>
      </c>
      <c r="BB33" s="56">
        <v>1</v>
      </c>
      <c r="BC33" s="83"/>
      <c r="BD33" s="56"/>
      <c r="BE33" s="80"/>
      <c r="BF33" s="81"/>
      <c r="BG33" s="168">
        <f t="shared" si="0"/>
        <v>0</v>
      </c>
      <c r="BH33" s="168"/>
      <c r="BI33" s="168"/>
      <c r="BJ33" s="168"/>
      <c r="BK33" s="169"/>
      <c r="BL33" s="116"/>
      <c r="BM33" s="116"/>
      <c r="BN33" s="116"/>
      <c r="BO33" s="116"/>
      <c r="BP33" s="116"/>
      <c r="BQ33" s="116"/>
      <c r="BR33" s="116"/>
      <c r="BT33" s="55">
        <f t="shared" si="8"/>
        <v>0</v>
      </c>
      <c r="BU33" s="55"/>
      <c r="BV33" s="55"/>
      <c r="BW33" s="55"/>
      <c r="BX33" s="55"/>
      <c r="BY33" s="56"/>
      <c r="BZ33" s="80"/>
      <c r="CA33" s="81"/>
      <c r="CB33" s="84"/>
      <c r="CC33" s="90"/>
      <c r="CD33" s="90"/>
      <c r="CE33" s="90"/>
      <c r="CF33" s="83"/>
      <c r="DD33" s="178"/>
    </row>
    <row r="34" ht="16.5" customHeight="1" spans="2:108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107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23"/>
      <c r="AE34" s="116"/>
      <c r="AF34" s="121"/>
      <c r="AG34" s="128"/>
      <c r="AH34" s="129"/>
      <c r="AI34" s="128"/>
      <c r="AJ34" s="128"/>
      <c r="AK34" s="129"/>
      <c r="AL34" s="130"/>
      <c r="AM34" s="130"/>
      <c r="AN34" s="130"/>
      <c r="AO34" s="130"/>
      <c r="AP34" s="130"/>
      <c r="AQ34" s="55"/>
      <c r="AR34" s="55"/>
      <c r="AS34" s="55"/>
      <c r="AT34" s="55"/>
      <c r="AU34" s="55"/>
      <c r="AV34" s="79"/>
      <c r="AW34" s="79"/>
      <c r="AX34" s="159" t="s">
        <v>34</v>
      </c>
      <c r="AY34" s="79"/>
      <c r="AZ34" s="79"/>
      <c r="BA34" s="159" t="s">
        <v>34</v>
      </c>
      <c r="BB34" s="56">
        <v>1</v>
      </c>
      <c r="BC34" s="83"/>
      <c r="BD34" s="56"/>
      <c r="BE34" s="80"/>
      <c r="BF34" s="81"/>
      <c r="BG34" s="168">
        <f t="shared" si="0"/>
        <v>0</v>
      </c>
      <c r="BH34" s="168"/>
      <c r="BI34" s="168"/>
      <c r="BJ34" s="168"/>
      <c r="BK34" s="169"/>
      <c r="BL34" s="116"/>
      <c r="BM34" s="116"/>
      <c r="BN34" s="116"/>
      <c r="BO34" s="116"/>
      <c r="BP34" s="116"/>
      <c r="BQ34" s="116"/>
      <c r="BR34" s="116"/>
      <c r="BT34" s="55">
        <f t="shared" si="8"/>
        <v>0</v>
      </c>
      <c r="BU34" s="55"/>
      <c r="BV34" s="55"/>
      <c r="BW34" s="55"/>
      <c r="BX34" s="55"/>
      <c r="BY34" s="56"/>
      <c r="BZ34" s="80"/>
      <c r="CA34" s="81"/>
      <c r="CB34" s="84"/>
      <c r="CC34" s="90"/>
      <c r="CD34" s="90"/>
      <c r="CE34" s="90"/>
      <c r="CF34" s="83"/>
      <c r="DD34" s="178"/>
    </row>
    <row r="35" ht="16.5" customHeight="1" spans="2:108">
      <c r="B35" s="67" t="s">
        <v>64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107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23"/>
      <c r="AE35" s="116"/>
      <c r="AF35" s="121"/>
      <c r="AG35" s="128"/>
      <c r="AH35" s="129"/>
      <c r="AI35" s="128"/>
      <c r="AJ35" s="128"/>
      <c r="AK35" s="129"/>
      <c r="AL35" s="130"/>
      <c r="AM35" s="130"/>
      <c r="AN35" s="130"/>
      <c r="AO35" s="130"/>
      <c r="AP35" s="130"/>
      <c r="AQ35" s="55"/>
      <c r="AR35" s="55"/>
      <c r="AS35" s="55"/>
      <c r="AT35" s="55"/>
      <c r="AU35" s="55"/>
      <c r="AV35" s="79"/>
      <c r="AW35" s="79"/>
      <c r="AX35" s="159" t="s">
        <v>34</v>
      </c>
      <c r="AY35" s="79"/>
      <c r="AZ35" s="79"/>
      <c r="BA35" s="159" t="s">
        <v>34</v>
      </c>
      <c r="BB35" s="56">
        <v>1</v>
      </c>
      <c r="BC35" s="83"/>
      <c r="BD35" s="56"/>
      <c r="BE35" s="80"/>
      <c r="BF35" s="81"/>
      <c r="BG35" s="168">
        <f t="shared" si="0"/>
        <v>0</v>
      </c>
      <c r="BH35" s="168"/>
      <c r="BI35" s="168"/>
      <c r="BJ35" s="168"/>
      <c r="BK35" s="169"/>
      <c r="BL35" s="116"/>
      <c r="BM35" s="116"/>
      <c r="BN35" s="116"/>
      <c r="BO35" s="116"/>
      <c r="BP35" s="116"/>
      <c r="BQ35" s="116"/>
      <c r="BR35" s="116"/>
      <c r="BT35" s="55">
        <f t="shared" si="8"/>
        <v>0</v>
      </c>
      <c r="BU35" s="55"/>
      <c r="BV35" s="55"/>
      <c r="BW35" s="55"/>
      <c r="BX35" s="55"/>
      <c r="BY35" s="56"/>
      <c r="BZ35" s="80"/>
      <c r="CA35" s="81"/>
      <c r="CB35" s="84"/>
      <c r="CC35" s="90"/>
      <c r="CD35" s="90"/>
      <c r="CE35" s="90"/>
      <c r="CF35" s="83"/>
      <c r="DD35" s="178"/>
    </row>
    <row r="36" ht="16.5" customHeight="1" spans="2:108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107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23"/>
      <c r="AE36" s="116"/>
      <c r="AF36" s="121"/>
      <c r="AG36" s="128"/>
      <c r="AH36" s="129"/>
      <c r="AI36" s="128"/>
      <c r="AJ36" s="128"/>
      <c r="AK36" s="129"/>
      <c r="AL36" s="130"/>
      <c r="AM36" s="130"/>
      <c r="AN36" s="130"/>
      <c r="AO36" s="130"/>
      <c r="AP36" s="130"/>
      <c r="AQ36" s="55"/>
      <c r="AR36" s="55"/>
      <c r="AS36" s="55"/>
      <c r="AT36" s="55"/>
      <c r="AU36" s="55"/>
      <c r="AV36" s="79"/>
      <c r="AW36" s="79"/>
      <c r="AX36" s="159" t="s">
        <v>34</v>
      </c>
      <c r="AY36" s="79"/>
      <c r="AZ36" s="79"/>
      <c r="BA36" s="159" t="s">
        <v>34</v>
      </c>
      <c r="BB36" s="56">
        <v>1</v>
      </c>
      <c r="BC36" s="83"/>
      <c r="BD36" s="56"/>
      <c r="BE36" s="80"/>
      <c r="BF36" s="81"/>
      <c r="BG36" s="168">
        <f t="shared" si="0"/>
        <v>0</v>
      </c>
      <c r="BH36" s="168"/>
      <c r="BI36" s="168"/>
      <c r="BJ36" s="168"/>
      <c r="BK36" s="169"/>
      <c r="BL36" s="116"/>
      <c r="BM36" s="116"/>
      <c r="BN36" s="116"/>
      <c r="BO36" s="116"/>
      <c r="BP36" s="116"/>
      <c r="BQ36" s="116"/>
      <c r="BR36" s="116"/>
      <c r="BT36" s="55">
        <f t="shared" si="8"/>
        <v>0</v>
      </c>
      <c r="BU36" s="55"/>
      <c r="BV36" s="55"/>
      <c r="BW36" s="55"/>
      <c r="BX36" s="55"/>
      <c r="BY36" s="56"/>
      <c r="BZ36" s="80"/>
      <c r="CA36" s="81"/>
      <c r="CB36" s="84"/>
      <c r="CC36" s="90"/>
      <c r="CD36" s="90"/>
      <c r="CE36" s="90"/>
      <c r="CF36" s="83"/>
      <c r="DD36" s="178"/>
    </row>
    <row r="37" ht="16.5" customHeight="1" spans="2:108">
      <c r="B37" s="67" t="s">
        <v>65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107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23"/>
      <c r="AE37" s="116"/>
      <c r="AF37" s="121"/>
      <c r="AG37" s="128"/>
      <c r="AH37" s="129"/>
      <c r="AI37" s="128"/>
      <c r="AJ37" s="128"/>
      <c r="AK37" s="129"/>
      <c r="AL37" s="130"/>
      <c r="AM37" s="130"/>
      <c r="AN37" s="130"/>
      <c r="AO37" s="130"/>
      <c r="AP37" s="130"/>
      <c r="AQ37" s="55"/>
      <c r="AR37" s="55"/>
      <c r="AS37" s="55"/>
      <c r="AT37" s="55"/>
      <c r="AU37" s="55"/>
      <c r="AV37" s="79"/>
      <c r="AW37" s="79"/>
      <c r="AX37" s="159" t="s">
        <v>34</v>
      </c>
      <c r="AY37" s="79"/>
      <c r="AZ37" s="79"/>
      <c r="BA37" s="159" t="s">
        <v>34</v>
      </c>
      <c r="BB37" s="56">
        <v>1</v>
      </c>
      <c r="BC37" s="83"/>
      <c r="BD37" s="56"/>
      <c r="BE37" s="80"/>
      <c r="BF37" s="81"/>
      <c r="BG37" s="168">
        <f t="shared" si="0"/>
        <v>0</v>
      </c>
      <c r="BH37" s="168"/>
      <c r="BI37" s="168"/>
      <c r="BJ37" s="168"/>
      <c r="BK37" s="169"/>
      <c r="BL37" s="116"/>
      <c r="BM37" s="116"/>
      <c r="BN37" s="116"/>
      <c r="BO37" s="116"/>
      <c r="BP37" s="116"/>
      <c r="BQ37" s="116"/>
      <c r="BR37" s="116"/>
      <c r="BT37" s="55">
        <f t="shared" si="8"/>
        <v>0</v>
      </c>
      <c r="BU37" s="55"/>
      <c r="BV37" s="55"/>
      <c r="BW37" s="55"/>
      <c r="BX37" s="55"/>
      <c r="BY37" s="56"/>
      <c r="BZ37" s="80"/>
      <c r="CA37" s="81"/>
      <c r="CB37" s="84"/>
      <c r="CC37" s="90"/>
      <c r="CD37" s="90"/>
      <c r="CE37" s="90"/>
      <c r="CF37" s="83"/>
      <c r="DD37" s="178"/>
    </row>
    <row r="38" ht="16.5" customHeight="1" spans="2:108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107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23"/>
      <c r="AE38" s="116"/>
      <c r="AF38" s="121"/>
      <c r="AG38" s="128"/>
      <c r="AH38" s="129"/>
      <c r="AI38" s="128"/>
      <c r="AJ38" s="128"/>
      <c r="AK38" s="129"/>
      <c r="AL38" s="130"/>
      <c r="AM38" s="130"/>
      <c r="AN38" s="130"/>
      <c r="AO38" s="130"/>
      <c r="AP38" s="130"/>
      <c r="AQ38" s="55"/>
      <c r="AR38" s="55"/>
      <c r="AS38" s="55"/>
      <c r="AT38" s="55"/>
      <c r="AU38" s="55"/>
      <c r="AV38" s="79"/>
      <c r="AW38" s="79"/>
      <c r="AX38" s="159" t="s">
        <v>34</v>
      </c>
      <c r="AY38" s="79"/>
      <c r="AZ38" s="79"/>
      <c r="BA38" s="159" t="s">
        <v>34</v>
      </c>
      <c r="BB38" s="56">
        <v>1</v>
      </c>
      <c r="BC38" s="83"/>
      <c r="BD38" s="56"/>
      <c r="BE38" s="80"/>
      <c r="BF38" s="81"/>
      <c r="BG38" s="168">
        <f t="shared" si="0"/>
        <v>0</v>
      </c>
      <c r="BH38" s="168"/>
      <c r="BI38" s="168"/>
      <c r="BJ38" s="168"/>
      <c r="BK38" s="169"/>
      <c r="BL38" s="116"/>
      <c r="BM38" s="116"/>
      <c r="BN38" s="116"/>
      <c r="BO38" s="116"/>
      <c r="BP38" s="116"/>
      <c r="BQ38" s="116"/>
      <c r="BR38" s="116"/>
      <c r="BT38" s="55">
        <f t="shared" si="8"/>
        <v>0</v>
      </c>
      <c r="BU38" s="55"/>
      <c r="BV38" s="55"/>
      <c r="BW38" s="55"/>
      <c r="BX38" s="55"/>
      <c r="BY38" s="56"/>
      <c r="BZ38" s="80"/>
      <c r="CA38" s="81"/>
      <c r="CB38" s="84"/>
      <c r="CC38" s="90"/>
      <c r="CD38" s="90"/>
      <c r="CE38" s="90"/>
      <c r="CF38" s="83"/>
      <c r="DD38" s="178"/>
    </row>
    <row r="39" ht="16.5" customHeight="1" spans="2:108">
      <c r="B39" s="67" t="s">
        <v>66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107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23"/>
      <c r="AE39" s="116"/>
      <c r="AF39" s="121"/>
      <c r="AG39" s="128"/>
      <c r="AH39" s="129"/>
      <c r="AI39" s="128"/>
      <c r="AJ39" s="128"/>
      <c r="AK39" s="129"/>
      <c r="AL39" s="130"/>
      <c r="AM39" s="130"/>
      <c r="AN39" s="130"/>
      <c r="AO39" s="130"/>
      <c r="AP39" s="130"/>
      <c r="AQ39" s="55"/>
      <c r="AR39" s="55"/>
      <c r="AS39" s="55"/>
      <c r="AT39" s="55"/>
      <c r="AU39" s="55"/>
      <c r="AV39" s="79"/>
      <c r="AW39" s="79"/>
      <c r="AX39" s="159" t="s">
        <v>34</v>
      </c>
      <c r="AY39" s="79"/>
      <c r="AZ39" s="79"/>
      <c r="BA39" s="159" t="s">
        <v>34</v>
      </c>
      <c r="BB39" s="56">
        <v>1</v>
      </c>
      <c r="BC39" s="83"/>
      <c r="BD39" s="56"/>
      <c r="BE39" s="80"/>
      <c r="BF39" s="81"/>
      <c r="BG39" s="168">
        <f t="shared" si="0"/>
        <v>0</v>
      </c>
      <c r="BH39" s="168"/>
      <c r="BI39" s="168"/>
      <c r="BJ39" s="168"/>
      <c r="BK39" s="169"/>
      <c r="BL39" s="116"/>
      <c r="BM39" s="116"/>
      <c r="BN39" s="116"/>
      <c r="BO39" s="116"/>
      <c r="BP39" s="116"/>
      <c r="BQ39" s="116"/>
      <c r="BR39" s="116"/>
      <c r="BT39" s="55">
        <f t="shared" si="8"/>
        <v>0</v>
      </c>
      <c r="BU39" s="55"/>
      <c r="BV39" s="55"/>
      <c r="BW39" s="55"/>
      <c r="BX39" s="55"/>
      <c r="BY39" s="56"/>
      <c r="BZ39" s="80"/>
      <c r="CA39" s="81"/>
      <c r="CB39" s="84"/>
      <c r="CC39" s="90"/>
      <c r="CD39" s="90"/>
      <c r="CE39" s="90"/>
      <c r="CF39" s="83"/>
      <c r="DD39" s="178"/>
    </row>
    <row r="40" ht="16.5" customHeight="1" spans="2:108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107" t="s">
        <v>67</v>
      </c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23"/>
      <c r="AE40" s="116"/>
      <c r="AF40" s="121"/>
      <c r="AG40" s="128"/>
      <c r="AH40" s="129"/>
      <c r="AI40" s="128"/>
      <c r="AJ40" s="128"/>
      <c r="AK40" s="129"/>
      <c r="AL40" s="130"/>
      <c r="AM40" s="130"/>
      <c r="AN40" s="130"/>
      <c r="AO40" s="130"/>
      <c r="AP40" s="130"/>
      <c r="AQ40" s="55"/>
      <c r="AR40" s="55"/>
      <c r="AS40" s="55"/>
      <c r="AT40" s="55"/>
      <c r="AU40" s="55"/>
      <c r="AV40" s="79"/>
      <c r="AW40" s="79"/>
      <c r="AX40" s="159" t="s">
        <v>34</v>
      </c>
      <c r="AY40" s="79"/>
      <c r="AZ40" s="79"/>
      <c r="BA40" s="159" t="s">
        <v>34</v>
      </c>
      <c r="BB40" s="56">
        <v>1</v>
      </c>
      <c r="BC40" s="83"/>
      <c r="BD40" s="56"/>
      <c r="BE40" s="80"/>
      <c r="BF40" s="81"/>
      <c r="BG40" s="168">
        <f t="shared" si="0"/>
        <v>0</v>
      </c>
      <c r="BH40" s="168"/>
      <c r="BI40" s="168"/>
      <c r="BJ40" s="168"/>
      <c r="BK40" s="169"/>
      <c r="BL40" s="116"/>
      <c r="BM40" s="116"/>
      <c r="BN40" s="116"/>
      <c r="BO40" s="116"/>
      <c r="BP40" s="116"/>
      <c r="BQ40" s="116"/>
      <c r="BR40" s="116"/>
      <c r="BT40" s="55">
        <f t="shared" si="8"/>
        <v>0</v>
      </c>
      <c r="BU40" s="55"/>
      <c r="BV40" s="55"/>
      <c r="BW40" s="55"/>
      <c r="BX40" s="55"/>
      <c r="BY40" s="56"/>
      <c r="BZ40" s="80"/>
      <c r="CA40" s="81"/>
      <c r="CB40" s="84"/>
      <c r="CC40" s="90"/>
      <c r="CD40" s="90"/>
      <c r="CE40" s="90"/>
      <c r="CF40" s="83"/>
      <c r="DD40" s="178"/>
    </row>
    <row r="41" ht="16.5" customHeight="1" spans="2:108">
      <c r="B41" s="67" t="s">
        <v>68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107" t="s">
        <v>69</v>
      </c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23"/>
      <c r="AE41" s="116"/>
      <c r="AF41" s="121"/>
      <c r="AG41" s="128"/>
      <c r="AH41" s="129"/>
      <c r="AI41" s="128"/>
      <c r="AJ41" s="128"/>
      <c r="AK41" s="129"/>
      <c r="AL41" s="130"/>
      <c r="AM41" s="130"/>
      <c r="AN41" s="130"/>
      <c r="AO41" s="130"/>
      <c r="AP41" s="130"/>
      <c r="AQ41" s="55"/>
      <c r="AR41" s="55"/>
      <c r="AS41" s="55"/>
      <c r="AT41" s="55"/>
      <c r="AU41" s="55"/>
      <c r="AV41" s="79"/>
      <c r="AW41" s="79"/>
      <c r="AX41" s="159" t="s">
        <v>34</v>
      </c>
      <c r="AY41" s="79"/>
      <c r="AZ41" s="79"/>
      <c r="BA41" s="159" t="s">
        <v>34</v>
      </c>
      <c r="BB41" s="56">
        <v>1</v>
      </c>
      <c r="BC41" s="83"/>
      <c r="BD41" s="56"/>
      <c r="BE41" s="80"/>
      <c r="BF41" s="81"/>
      <c r="BG41" s="168">
        <f t="shared" si="0"/>
        <v>0</v>
      </c>
      <c r="BH41" s="168"/>
      <c r="BI41" s="168"/>
      <c r="BJ41" s="168"/>
      <c r="BK41" s="169"/>
      <c r="BL41" s="116"/>
      <c r="BM41" s="116"/>
      <c r="BN41" s="116"/>
      <c r="BO41" s="116"/>
      <c r="BP41" s="116"/>
      <c r="BQ41" s="116"/>
      <c r="BR41" s="116"/>
      <c r="BT41" s="55">
        <f t="shared" si="8"/>
        <v>0</v>
      </c>
      <c r="BU41" s="55"/>
      <c r="BV41" s="55"/>
      <c r="BW41" s="55"/>
      <c r="BX41" s="55"/>
      <c r="BY41" s="56"/>
      <c r="BZ41" s="80"/>
      <c r="CA41" s="81"/>
      <c r="CB41" s="84"/>
      <c r="CC41" s="90"/>
      <c r="CD41" s="90"/>
      <c r="CE41" s="90"/>
      <c r="CF41" s="83"/>
      <c r="DD41" s="178"/>
    </row>
    <row r="42" ht="16.5" customHeight="1" spans="2:108"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107" t="s">
        <v>70</v>
      </c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23"/>
      <c r="AE42" s="116"/>
      <c r="AF42" s="121"/>
      <c r="AG42" s="128"/>
      <c r="AH42" s="129"/>
      <c r="AI42" s="128"/>
      <c r="AJ42" s="128"/>
      <c r="AK42" s="129"/>
      <c r="AL42" s="130"/>
      <c r="AM42" s="130"/>
      <c r="AN42" s="130"/>
      <c r="AO42" s="130"/>
      <c r="AP42" s="130"/>
      <c r="AQ42" s="55"/>
      <c r="AR42" s="55"/>
      <c r="AS42" s="55"/>
      <c r="AT42" s="55"/>
      <c r="AU42" s="55"/>
      <c r="AV42" s="79"/>
      <c r="AW42" s="79"/>
      <c r="AX42" s="159" t="s">
        <v>34</v>
      </c>
      <c r="AY42" s="79"/>
      <c r="AZ42" s="79"/>
      <c r="BA42" s="159" t="s">
        <v>34</v>
      </c>
      <c r="BB42" s="56">
        <v>1</v>
      </c>
      <c r="BC42" s="83"/>
      <c r="BD42" s="56"/>
      <c r="BE42" s="80"/>
      <c r="BF42" s="81"/>
      <c r="BG42" s="168">
        <f t="shared" si="0"/>
        <v>0</v>
      </c>
      <c r="BH42" s="168"/>
      <c r="BI42" s="168"/>
      <c r="BJ42" s="168"/>
      <c r="BK42" s="169"/>
      <c r="BL42" s="116"/>
      <c r="BM42" s="116"/>
      <c r="BN42" s="116"/>
      <c r="BO42" s="116"/>
      <c r="BP42" s="116"/>
      <c r="BQ42" s="116"/>
      <c r="BR42" s="116"/>
      <c r="BT42" s="55">
        <f t="shared" si="8"/>
        <v>0</v>
      </c>
      <c r="BU42" s="55"/>
      <c r="BV42" s="55"/>
      <c r="BW42" s="55"/>
      <c r="BX42" s="55"/>
      <c r="BY42" s="56"/>
      <c r="BZ42" s="80"/>
      <c r="CA42" s="81"/>
      <c r="CB42" s="84"/>
      <c r="CC42" s="90"/>
      <c r="CD42" s="90"/>
      <c r="CE42" s="90"/>
      <c r="CF42" s="83"/>
      <c r="DD42" s="178"/>
    </row>
    <row r="43" ht="16.5" customHeight="1" spans="2:108">
      <c r="B43" s="67" t="s">
        <v>71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107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23"/>
      <c r="AE43" s="116"/>
      <c r="AF43" s="121"/>
      <c r="AG43" s="128"/>
      <c r="AH43" s="129"/>
      <c r="AI43" s="128"/>
      <c r="AJ43" s="128"/>
      <c r="AK43" s="129"/>
      <c r="AL43" s="130"/>
      <c r="AM43" s="130"/>
      <c r="AN43" s="130"/>
      <c r="AO43" s="130"/>
      <c r="AP43" s="130"/>
      <c r="AQ43" s="55"/>
      <c r="AR43" s="55"/>
      <c r="AS43" s="55"/>
      <c r="AT43" s="55"/>
      <c r="AU43" s="55"/>
      <c r="AV43" s="79"/>
      <c r="AW43" s="79"/>
      <c r="AX43" s="159" t="s">
        <v>34</v>
      </c>
      <c r="AY43" s="79"/>
      <c r="AZ43" s="79"/>
      <c r="BA43" s="159" t="s">
        <v>34</v>
      </c>
      <c r="BB43" s="56">
        <v>1</v>
      </c>
      <c r="BC43" s="83"/>
      <c r="BD43" s="56"/>
      <c r="BE43" s="80"/>
      <c r="BF43" s="81"/>
      <c r="BG43" s="168">
        <f t="shared" si="0"/>
        <v>0</v>
      </c>
      <c r="BH43" s="168"/>
      <c r="BI43" s="168"/>
      <c r="BJ43" s="168"/>
      <c r="BK43" s="169"/>
      <c r="BL43" s="116"/>
      <c r="BM43" s="116"/>
      <c r="BN43" s="116"/>
      <c r="BO43" s="116"/>
      <c r="BP43" s="116"/>
      <c r="BQ43" s="116"/>
      <c r="BR43" s="116"/>
      <c r="BT43" s="55">
        <f t="shared" si="8"/>
        <v>0</v>
      </c>
      <c r="BU43" s="55"/>
      <c r="BV43" s="55"/>
      <c r="BW43" s="55"/>
      <c r="BX43" s="55"/>
      <c r="BY43" s="56"/>
      <c r="BZ43" s="80"/>
      <c r="CA43" s="81"/>
      <c r="CB43" s="84"/>
      <c r="CC43" s="90"/>
      <c r="CD43" s="90"/>
      <c r="CE43" s="90"/>
      <c r="CF43" s="83"/>
      <c r="DD43" s="178"/>
    </row>
    <row r="44" ht="16.5" customHeight="1" spans="2:108"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107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23"/>
      <c r="AE44" s="116"/>
      <c r="AF44" s="121"/>
      <c r="AG44" s="128"/>
      <c r="AH44" s="129"/>
      <c r="AI44" s="128"/>
      <c r="AJ44" s="128"/>
      <c r="AK44" s="129"/>
      <c r="AL44" s="130"/>
      <c r="AM44" s="130"/>
      <c r="AN44" s="130"/>
      <c r="AO44" s="130"/>
      <c r="AP44" s="130"/>
      <c r="AQ44" s="55"/>
      <c r="AR44" s="55"/>
      <c r="AS44" s="55"/>
      <c r="AT44" s="55"/>
      <c r="AU44" s="55"/>
      <c r="AV44" s="79"/>
      <c r="AW44" s="79"/>
      <c r="AX44" s="159" t="s">
        <v>34</v>
      </c>
      <c r="AY44" s="79"/>
      <c r="AZ44" s="79"/>
      <c r="BA44" s="159" t="s">
        <v>34</v>
      </c>
      <c r="BB44" s="56">
        <v>1</v>
      </c>
      <c r="BC44" s="83"/>
      <c r="BD44" s="56"/>
      <c r="BE44" s="80"/>
      <c r="BF44" s="81"/>
      <c r="BG44" s="168">
        <f t="shared" si="0"/>
        <v>0</v>
      </c>
      <c r="BH44" s="168"/>
      <c r="BI44" s="168"/>
      <c r="BJ44" s="168"/>
      <c r="BK44" s="169"/>
      <c r="BL44" s="116"/>
      <c r="BM44" s="116"/>
      <c r="BN44" s="116"/>
      <c r="BO44" s="116"/>
      <c r="BP44" s="116"/>
      <c r="BQ44" s="116"/>
      <c r="BR44" s="116"/>
      <c r="BT44" s="55">
        <f t="shared" si="8"/>
        <v>0</v>
      </c>
      <c r="BU44" s="55"/>
      <c r="BV44" s="55"/>
      <c r="BW44" s="55"/>
      <c r="BX44" s="55"/>
      <c r="BY44" s="56"/>
      <c r="BZ44" s="80"/>
      <c r="CA44" s="81"/>
      <c r="CB44" s="84"/>
      <c r="CC44" s="90"/>
      <c r="CD44" s="90"/>
      <c r="CE44" s="90"/>
      <c r="CF44" s="83"/>
      <c r="DD44" s="178"/>
    </row>
    <row r="45" ht="16.5" customHeight="1" spans="2:108">
      <c r="B45" s="67" t="s">
        <v>72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107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23"/>
      <c r="AE45" s="116"/>
      <c r="AF45" s="121"/>
      <c r="AG45" s="128"/>
      <c r="AH45" s="129"/>
      <c r="AI45" s="128"/>
      <c r="AJ45" s="128"/>
      <c r="AK45" s="129"/>
      <c r="AL45" s="130"/>
      <c r="AM45" s="130"/>
      <c r="AN45" s="130"/>
      <c r="AO45" s="130"/>
      <c r="AP45" s="130"/>
      <c r="AQ45" s="55"/>
      <c r="AR45" s="55"/>
      <c r="AS45" s="55"/>
      <c r="AT45" s="55"/>
      <c r="AU45" s="55"/>
      <c r="AV45" s="79"/>
      <c r="AW45" s="79"/>
      <c r="AX45" s="159" t="s">
        <v>34</v>
      </c>
      <c r="AY45" s="79"/>
      <c r="AZ45" s="79"/>
      <c r="BA45" s="159" t="s">
        <v>34</v>
      </c>
      <c r="BB45" s="56">
        <v>1</v>
      </c>
      <c r="BC45" s="83"/>
      <c r="BD45" s="56"/>
      <c r="BE45" s="80"/>
      <c r="BF45" s="81"/>
      <c r="BG45" s="168">
        <f t="shared" si="0"/>
        <v>0</v>
      </c>
      <c r="BH45" s="168"/>
      <c r="BI45" s="168"/>
      <c r="BJ45" s="168"/>
      <c r="BK45" s="169"/>
      <c r="BL45" s="116"/>
      <c r="BM45" s="116"/>
      <c r="BN45" s="116"/>
      <c r="BO45" s="116"/>
      <c r="BP45" s="116"/>
      <c r="BQ45" s="116"/>
      <c r="BR45" s="116"/>
      <c r="DD45" s="178"/>
    </row>
    <row r="46" ht="16.5" customHeight="1" spans="2:108">
      <c r="B46" s="68"/>
      <c r="C46" s="68"/>
      <c r="D46" s="68"/>
      <c r="E46" s="68"/>
      <c r="F46" s="68"/>
      <c r="G46" s="68"/>
      <c r="H46" s="68"/>
      <c r="I46" s="68"/>
      <c r="J46" s="68"/>
      <c r="K46" s="67"/>
      <c r="L46" s="67"/>
      <c r="M46" s="67"/>
      <c r="N46" s="67"/>
      <c r="O46" s="67"/>
      <c r="P46" s="68"/>
      <c r="Q46" s="68"/>
      <c r="R46" s="68"/>
      <c r="S46" s="107"/>
      <c r="T46" s="108"/>
      <c r="U46" s="108"/>
      <c r="V46" s="109"/>
      <c r="W46" s="109"/>
      <c r="X46" s="109"/>
      <c r="Y46" s="109"/>
      <c r="Z46" s="108"/>
      <c r="AA46" s="108"/>
      <c r="AB46" s="108"/>
      <c r="AC46" s="108"/>
      <c r="AD46" s="123"/>
      <c r="AE46" s="116"/>
      <c r="AF46" s="121"/>
      <c r="AG46" s="128"/>
      <c r="AH46" s="129"/>
      <c r="AI46" s="128"/>
      <c r="AJ46" s="128"/>
      <c r="AK46" s="129"/>
      <c r="AL46" s="130"/>
      <c r="AM46" s="130"/>
      <c r="AN46" s="130"/>
      <c r="AO46" s="130"/>
      <c r="AP46" s="130"/>
      <c r="AQ46" s="55"/>
      <c r="AR46" s="55"/>
      <c r="AS46" s="55"/>
      <c r="AT46" s="55"/>
      <c r="AU46" s="55"/>
      <c r="AV46" s="79"/>
      <c r="AW46" s="79"/>
      <c r="AX46" s="159" t="s">
        <v>34</v>
      </c>
      <c r="AY46" s="79"/>
      <c r="AZ46" s="79"/>
      <c r="BA46" s="159" t="s">
        <v>34</v>
      </c>
      <c r="BB46" s="56">
        <v>1</v>
      </c>
      <c r="BC46" s="83"/>
      <c r="BD46" s="56"/>
      <c r="BE46" s="80"/>
      <c r="BF46" s="81"/>
      <c r="BG46" s="168">
        <f t="shared" si="0"/>
        <v>0</v>
      </c>
      <c r="BH46" s="168"/>
      <c r="BI46" s="168"/>
      <c r="BJ46" s="168"/>
      <c r="BK46" s="169"/>
      <c r="BL46" s="116"/>
      <c r="BM46" s="116"/>
      <c r="BN46" s="116"/>
      <c r="BO46" s="116"/>
      <c r="BP46" s="116"/>
      <c r="BQ46" s="116"/>
      <c r="BR46" s="116"/>
      <c r="BS46" s="171"/>
      <c r="BT46" s="171"/>
      <c r="BU46" s="171"/>
      <c r="BV46" s="171"/>
      <c r="BW46" s="171"/>
      <c r="BX46" s="171"/>
      <c r="BY46" s="171"/>
      <c r="BZ46" s="171"/>
      <c r="CA46" s="171"/>
      <c r="CB46" s="171"/>
      <c r="CC46" s="171"/>
      <c r="CD46" s="171"/>
      <c r="CE46" s="171"/>
      <c r="CF46" s="171"/>
      <c r="CG46" s="171"/>
      <c r="CH46" s="171"/>
      <c r="CI46" s="171"/>
      <c r="CJ46" s="171"/>
      <c r="CK46" s="171"/>
      <c r="CL46" s="171"/>
      <c r="CM46" s="171"/>
      <c r="CN46" s="171"/>
      <c r="CO46" s="171"/>
      <c r="CP46" s="171"/>
      <c r="CQ46" s="171"/>
      <c r="CR46" s="171"/>
      <c r="CS46" s="171"/>
      <c r="CT46" s="171"/>
      <c r="CU46" s="171"/>
      <c r="CV46" s="171"/>
      <c r="CW46" s="171"/>
      <c r="CX46" s="171"/>
      <c r="CY46" s="171"/>
      <c r="CZ46" s="171"/>
      <c r="DA46" s="171"/>
      <c r="DB46" s="171"/>
      <c r="DC46" s="171"/>
      <c r="DD46" s="179"/>
    </row>
    <row r="47" ht="16.5" customHeight="1" spans="2:70">
      <c r="B47" s="42" t="s">
        <v>0</v>
      </c>
      <c r="C47" s="43"/>
      <c r="D47" s="43"/>
      <c r="E47" s="43"/>
      <c r="F47" s="44"/>
      <c r="G47" s="42" t="s">
        <v>1</v>
      </c>
      <c r="H47" s="43"/>
      <c r="I47" s="43"/>
      <c r="J47" s="44"/>
      <c r="L47" s="92" t="s">
        <v>73</v>
      </c>
      <c r="M47" s="92"/>
      <c r="N47" s="92"/>
      <c r="O47" s="93"/>
      <c r="P47" s="93"/>
      <c r="Q47" s="110"/>
      <c r="R47" s="110"/>
      <c r="S47" s="110"/>
      <c r="T47" s="110"/>
      <c r="U47" s="111" t="s">
        <v>74</v>
      </c>
      <c r="V47" s="112" t="s">
        <v>75</v>
      </c>
      <c r="W47" s="92"/>
      <c r="X47" s="92"/>
      <c r="Y47" s="92"/>
      <c r="Z47" s="93"/>
      <c r="AA47" s="110"/>
      <c r="AB47" s="110"/>
      <c r="AC47" s="110"/>
      <c r="AD47" s="124" t="s">
        <v>76</v>
      </c>
      <c r="AE47" s="116"/>
      <c r="AF47" s="121"/>
      <c r="AG47" s="128"/>
      <c r="AH47" s="129"/>
      <c r="AI47" s="128"/>
      <c r="AJ47" s="128"/>
      <c r="AK47" s="129"/>
      <c r="AL47" s="130"/>
      <c r="AM47" s="130"/>
      <c r="AN47" s="130"/>
      <c r="AO47" s="130"/>
      <c r="AP47" s="130"/>
      <c r="AQ47" s="55"/>
      <c r="AR47" s="55"/>
      <c r="AS47" s="55"/>
      <c r="AT47" s="55"/>
      <c r="AU47" s="55"/>
      <c r="AV47" s="79"/>
      <c r="AW47" s="79"/>
      <c r="AX47" s="159" t="s">
        <v>34</v>
      </c>
      <c r="AY47" s="79"/>
      <c r="AZ47" s="79"/>
      <c r="BA47" s="159" t="s">
        <v>34</v>
      </c>
      <c r="BB47" s="56">
        <v>1</v>
      </c>
      <c r="BC47" s="83"/>
      <c r="BD47" s="56"/>
      <c r="BE47" s="80"/>
      <c r="BF47" s="81"/>
      <c r="BG47" s="168">
        <f t="shared" si="0"/>
        <v>0</v>
      </c>
      <c r="BH47" s="168"/>
      <c r="BI47" s="168"/>
      <c r="BJ47" s="168"/>
      <c r="BK47" s="169"/>
      <c r="BL47" s="116"/>
      <c r="BM47" s="116"/>
      <c r="BN47" s="116"/>
      <c r="BO47" s="116"/>
      <c r="BP47" s="116"/>
      <c r="BQ47" s="116"/>
      <c r="BR47" s="116"/>
    </row>
    <row r="48" ht="16.5" customHeight="1" spans="2:70">
      <c r="B48" s="42" t="str">
        <f ca="1">MID(CELL("filename",B48),FIND("]",CELL("filename",B48))+1,31)</f>
        <v>牛スジカレー本製造</v>
      </c>
      <c r="C48" s="43"/>
      <c r="D48" s="43"/>
      <c r="E48" s="43"/>
      <c r="F48" s="44"/>
      <c r="G48" s="45">
        <f>G2</f>
        <v>0</v>
      </c>
      <c r="H48" s="46"/>
      <c r="I48" s="46"/>
      <c r="J48" s="71"/>
      <c r="L48" s="92" t="s">
        <v>77</v>
      </c>
      <c r="M48" s="92"/>
      <c r="N48" s="92"/>
      <c r="O48" s="93"/>
      <c r="P48" s="93"/>
      <c r="Q48" s="110"/>
      <c r="R48" s="110"/>
      <c r="S48" s="110"/>
      <c r="T48" s="110"/>
      <c r="U48" s="113" t="s">
        <v>78</v>
      </c>
      <c r="V48" s="112" t="s">
        <v>79</v>
      </c>
      <c r="W48" s="92"/>
      <c r="X48" s="92"/>
      <c r="Y48" s="92"/>
      <c r="Z48" s="92"/>
      <c r="AA48" s="92"/>
      <c r="AB48" s="92"/>
      <c r="AC48" s="92"/>
      <c r="AD48" s="92"/>
      <c r="AE48" s="116"/>
      <c r="AF48" s="121"/>
      <c r="AG48" s="128"/>
      <c r="AH48" s="129"/>
      <c r="AI48" s="128"/>
      <c r="AJ48" s="128"/>
      <c r="AK48" s="129"/>
      <c r="AL48" s="130"/>
      <c r="AM48" s="130"/>
      <c r="AN48" s="130"/>
      <c r="AO48" s="130"/>
      <c r="AP48" s="130"/>
      <c r="AQ48" s="55"/>
      <c r="AR48" s="55"/>
      <c r="AS48" s="55"/>
      <c r="AT48" s="55"/>
      <c r="AU48" s="55"/>
      <c r="AV48" s="79"/>
      <c r="AW48" s="79"/>
      <c r="AX48" s="159" t="s">
        <v>34</v>
      </c>
      <c r="AY48" s="79"/>
      <c r="AZ48" s="79"/>
      <c r="BA48" s="159" t="s">
        <v>34</v>
      </c>
      <c r="BB48" s="56">
        <v>1</v>
      </c>
      <c r="BC48" s="83"/>
      <c r="BD48" s="56"/>
      <c r="BE48" s="80"/>
      <c r="BF48" s="81"/>
      <c r="BG48" s="168">
        <f t="shared" si="0"/>
        <v>0</v>
      </c>
      <c r="BH48" s="168"/>
      <c r="BI48" s="168"/>
      <c r="BJ48" s="168"/>
      <c r="BK48" s="169"/>
      <c r="BL48" s="116"/>
      <c r="BM48" s="116"/>
      <c r="BN48" s="116"/>
      <c r="BO48" s="116"/>
      <c r="BP48" s="116"/>
      <c r="BQ48" s="116"/>
      <c r="BR48" s="116"/>
    </row>
    <row r="49" ht="16.5" customHeight="1" spans="2:70">
      <c r="B49" s="47"/>
      <c r="C49" s="48"/>
      <c r="D49" s="48"/>
      <c r="E49" s="48"/>
      <c r="F49" s="49"/>
      <c r="G49" s="50"/>
      <c r="H49" s="51"/>
      <c r="I49" s="51"/>
      <c r="J49" s="74"/>
      <c r="L49" s="92" t="s">
        <v>80</v>
      </c>
      <c r="M49" s="92"/>
      <c r="N49" s="92"/>
      <c r="O49" s="93"/>
      <c r="P49" s="94"/>
      <c r="Q49" s="114"/>
      <c r="R49" s="114"/>
      <c r="S49" s="114"/>
      <c r="T49" s="114"/>
      <c r="U49" s="115"/>
      <c r="V49" s="112" t="s">
        <v>81</v>
      </c>
      <c r="W49" s="92"/>
      <c r="X49" s="92"/>
      <c r="Y49" s="92"/>
      <c r="Z49" s="92"/>
      <c r="AA49" s="92"/>
      <c r="AB49" s="92"/>
      <c r="AC49" s="92"/>
      <c r="AD49" s="92"/>
      <c r="AE49" s="116"/>
      <c r="AF49" s="121"/>
      <c r="AG49" s="128"/>
      <c r="AH49" s="129"/>
      <c r="AI49" s="128"/>
      <c r="AJ49" s="128"/>
      <c r="AK49" s="129"/>
      <c r="AL49" s="130"/>
      <c r="AM49" s="130"/>
      <c r="AN49" s="130"/>
      <c r="AO49" s="130"/>
      <c r="AP49" s="130"/>
      <c r="AQ49" s="55"/>
      <c r="AR49" s="55"/>
      <c r="AS49" s="55"/>
      <c r="AT49" s="55"/>
      <c r="AU49" s="55"/>
      <c r="AV49" s="79"/>
      <c r="AW49" s="79"/>
      <c r="AX49" s="159" t="s">
        <v>34</v>
      </c>
      <c r="AY49" s="79"/>
      <c r="AZ49" s="79"/>
      <c r="BA49" s="159" t="s">
        <v>34</v>
      </c>
      <c r="BB49" s="56">
        <v>1</v>
      </c>
      <c r="BC49" s="83"/>
      <c r="BD49" s="56"/>
      <c r="BE49" s="80"/>
      <c r="BF49" s="81"/>
      <c r="BG49" s="168">
        <f t="shared" si="0"/>
        <v>0</v>
      </c>
      <c r="BH49" s="168"/>
      <c r="BI49" s="168"/>
      <c r="BJ49" s="168"/>
      <c r="BK49" s="169"/>
      <c r="BL49" s="116"/>
      <c r="BM49" s="116"/>
      <c r="BN49" s="116"/>
      <c r="BO49" s="116"/>
      <c r="BP49" s="116"/>
      <c r="BQ49" s="116"/>
      <c r="BR49" s="116"/>
    </row>
    <row r="50" ht="16.5" customHeight="1" spans="2:70">
      <c r="B50" s="52"/>
      <c r="C50" s="53" t="s">
        <v>18</v>
      </c>
      <c r="D50" s="53"/>
      <c r="E50" s="53"/>
      <c r="F50" s="53"/>
      <c r="G50" s="53"/>
      <c r="H50" s="64" t="s">
        <v>19</v>
      </c>
      <c r="I50" s="89"/>
      <c r="J50" s="52"/>
      <c r="K50" s="77" t="s">
        <v>82</v>
      </c>
      <c r="L50" s="95"/>
      <c r="M50" s="95"/>
      <c r="N50" s="95"/>
      <c r="O50" s="96"/>
      <c r="Q50" s="52"/>
      <c r="R50" s="53" t="s">
        <v>18</v>
      </c>
      <c r="S50" s="53"/>
      <c r="T50" s="53"/>
      <c r="U50" s="53"/>
      <c r="V50" s="55"/>
      <c r="W50" s="81" t="s">
        <v>19</v>
      </c>
      <c r="X50" s="81"/>
      <c r="Y50" s="81"/>
      <c r="Z50" s="77" t="s">
        <v>82</v>
      </c>
      <c r="AA50" s="95"/>
      <c r="AB50" s="95"/>
      <c r="AC50" s="95"/>
      <c r="AD50" s="96"/>
      <c r="AE50" s="116"/>
      <c r="AF50" s="121"/>
      <c r="AG50" s="128"/>
      <c r="AH50" s="129"/>
      <c r="AI50" s="128"/>
      <c r="AJ50" s="128"/>
      <c r="AK50" s="129"/>
      <c r="AL50" s="130"/>
      <c r="AM50" s="130"/>
      <c r="AN50" s="130"/>
      <c r="AO50" s="130"/>
      <c r="AP50" s="130"/>
      <c r="AQ50" s="55"/>
      <c r="AR50" s="55"/>
      <c r="AS50" s="55"/>
      <c r="AT50" s="55"/>
      <c r="AU50" s="55"/>
      <c r="AV50" s="79"/>
      <c r="AW50" s="79"/>
      <c r="AX50" s="159" t="s">
        <v>34</v>
      </c>
      <c r="AY50" s="79"/>
      <c r="AZ50" s="79"/>
      <c r="BA50" s="159" t="s">
        <v>34</v>
      </c>
      <c r="BB50" s="56">
        <v>1</v>
      </c>
      <c r="BC50" s="83"/>
      <c r="BD50" s="56"/>
      <c r="BE50" s="80"/>
      <c r="BF50" s="81"/>
      <c r="BG50" s="168">
        <f t="shared" si="0"/>
        <v>0</v>
      </c>
      <c r="BH50" s="168"/>
      <c r="BI50" s="168"/>
      <c r="BJ50" s="168"/>
      <c r="BK50" s="169"/>
      <c r="BL50" s="116"/>
      <c r="BM50" s="116"/>
      <c r="BN50" s="116"/>
      <c r="BO50" s="116"/>
      <c r="BP50" s="116"/>
      <c r="BQ50" s="116"/>
      <c r="BR50" s="116"/>
    </row>
    <row r="51" ht="16.5" customHeight="1" spans="2:70">
      <c r="B51" s="54"/>
      <c r="C51" s="55" t="str">
        <f t="shared" ref="C51:C69" si="14">AQ5</f>
        <v>牛肩、腕ブロック</v>
      </c>
      <c r="D51" s="55"/>
      <c r="E51" s="55"/>
      <c r="F51" s="55"/>
      <c r="G51" s="55"/>
      <c r="H51" s="55">
        <f t="shared" ref="H51:H69" si="15">AV5</f>
        <v>22.95</v>
      </c>
      <c r="I51" s="55"/>
      <c r="J51" s="81"/>
      <c r="K51" s="77">
        <f t="shared" ref="K51:K69" si="16">AV5*P47*BB5</f>
        <v>0</v>
      </c>
      <c r="L51" s="97"/>
      <c r="M51" s="97"/>
      <c r="N51" s="97"/>
      <c r="O51" s="78"/>
      <c r="Q51" s="54"/>
      <c r="R51" s="55">
        <f t="shared" ref="R51:R75" si="17">AQ31</f>
        <v>0</v>
      </c>
      <c r="S51" s="55"/>
      <c r="T51" s="55"/>
      <c r="U51" s="55"/>
      <c r="V51" s="55"/>
      <c r="W51" s="55">
        <f t="shared" ref="W51:W75" si="18">AV31</f>
        <v>0</v>
      </c>
      <c r="X51" s="55"/>
      <c r="Y51" s="81"/>
      <c r="Z51" s="77">
        <f t="shared" ref="Z51:Z76" si="19">AV31*P47*BB31</f>
        <v>0</v>
      </c>
      <c r="AA51" s="97"/>
      <c r="AB51" s="97"/>
      <c r="AC51" s="97"/>
      <c r="AD51" s="78"/>
      <c r="AE51" s="116"/>
      <c r="AF51" s="121"/>
      <c r="AG51" s="128"/>
      <c r="AH51" s="129"/>
      <c r="AI51" s="128"/>
      <c r="AJ51" s="128"/>
      <c r="AK51" s="129"/>
      <c r="AL51" s="130"/>
      <c r="AM51" s="130"/>
      <c r="AN51" s="130"/>
      <c r="AO51" s="130"/>
      <c r="AP51" s="130"/>
      <c r="AQ51" s="55"/>
      <c r="AR51" s="55"/>
      <c r="AS51" s="55"/>
      <c r="AT51" s="55"/>
      <c r="AU51" s="55"/>
      <c r="AV51" s="79"/>
      <c r="AW51" s="79"/>
      <c r="AX51" s="159" t="s">
        <v>34</v>
      </c>
      <c r="AY51" s="79"/>
      <c r="AZ51" s="79"/>
      <c r="BA51" s="159" t="s">
        <v>34</v>
      </c>
      <c r="BB51" s="56">
        <v>1</v>
      </c>
      <c r="BC51" s="83"/>
      <c r="BD51" s="56"/>
      <c r="BE51" s="80"/>
      <c r="BF51" s="81"/>
      <c r="BG51" s="168">
        <f t="shared" si="0"/>
        <v>0</v>
      </c>
      <c r="BH51" s="168"/>
      <c r="BI51" s="168"/>
      <c r="BJ51" s="168"/>
      <c r="BK51" s="169"/>
      <c r="BL51" s="116"/>
      <c r="BM51" s="116"/>
      <c r="BN51" s="116"/>
      <c r="BO51" s="116"/>
      <c r="BP51" s="116"/>
      <c r="BQ51" s="116"/>
      <c r="BR51" s="116"/>
    </row>
    <row r="52" ht="16.5" customHeight="1" spans="2:70">
      <c r="B52" s="54"/>
      <c r="C52" s="55" t="str">
        <f t="shared" si="14"/>
        <v>牛すじ</v>
      </c>
      <c r="D52" s="55"/>
      <c r="E52" s="55"/>
      <c r="F52" s="55"/>
      <c r="G52" s="55"/>
      <c r="H52" s="55">
        <f t="shared" si="15"/>
        <v>20.25</v>
      </c>
      <c r="I52" s="55"/>
      <c r="J52" s="55"/>
      <c r="K52" s="77">
        <f t="shared" si="16"/>
        <v>0</v>
      </c>
      <c r="L52" s="97"/>
      <c r="M52" s="97"/>
      <c r="N52" s="97"/>
      <c r="O52" s="78"/>
      <c r="Q52" s="54"/>
      <c r="R52" s="55">
        <f t="shared" si="17"/>
        <v>0</v>
      </c>
      <c r="S52" s="55"/>
      <c r="T52" s="55"/>
      <c r="U52" s="55"/>
      <c r="V52" s="55"/>
      <c r="W52" s="55">
        <f t="shared" si="18"/>
        <v>0</v>
      </c>
      <c r="X52" s="55"/>
      <c r="Y52" s="55"/>
      <c r="Z52" s="77">
        <f t="shared" si="19"/>
        <v>0</v>
      </c>
      <c r="AA52" s="97"/>
      <c r="AB52" s="97"/>
      <c r="AC52" s="97"/>
      <c r="AD52" s="78"/>
      <c r="AE52" s="116"/>
      <c r="AF52" s="121"/>
      <c r="AG52" s="128"/>
      <c r="AH52" s="129"/>
      <c r="AI52" s="128"/>
      <c r="AJ52" s="128"/>
      <c r="AK52" s="129"/>
      <c r="AL52" s="130"/>
      <c r="AM52" s="130"/>
      <c r="AN52" s="130"/>
      <c r="AO52" s="130"/>
      <c r="AP52" s="130"/>
      <c r="AQ52" s="55"/>
      <c r="AR52" s="55"/>
      <c r="AS52" s="55"/>
      <c r="AT52" s="55"/>
      <c r="AU52" s="55"/>
      <c r="AV52" s="79"/>
      <c r="AW52" s="79"/>
      <c r="AX52" s="159" t="s">
        <v>34</v>
      </c>
      <c r="AY52" s="79"/>
      <c r="AZ52" s="79"/>
      <c r="BA52" s="159" t="s">
        <v>34</v>
      </c>
      <c r="BB52" s="56">
        <v>1</v>
      </c>
      <c r="BC52" s="83"/>
      <c r="BD52" s="56"/>
      <c r="BE52" s="80"/>
      <c r="BF52" s="81"/>
      <c r="BG52" s="168">
        <f t="shared" si="0"/>
        <v>0</v>
      </c>
      <c r="BH52" s="168"/>
      <c r="BI52" s="168"/>
      <c r="BJ52" s="168"/>
      <c r="BK52" s="169"/>
      <c r="BL52" s="116"/>
      <c r="BM52" s="116"/>
      <c r="BN52" s="116"/>
      <c r="BO52" s="116"/>
      <c r="BP52" s="116"/>
      <c r="BQ52" s="116"/>
      <c r="BR52" s="116"/>
    </row>
    <row r="53" ht="16.5" customHeight="1" spans="2:70">
      <c r="B53" s="54"/>
      <c r="C53" s="55" t="str">
        <f t="shared" si="14"/>
        <v>キャノーラ油</v>
      </c>
      <c r="D53" s="55"/>
      <c r="E53" s="55"/>
      <c r="F53" s="55"/>
      <c r="G53" s="55"/>
      <c r="H53" s="55">
        <f t="shared" si="15"/>
        <v>2.24</v>
      </c>
      <c r="I53" s="55"/>
      <c r="J53" s="55"/>
      <c r="K53" s="77">
        <f t="shared" si="16"/>
        <v>0</v>
      </c>
      <c r="L53" s="97"/>
      <c r="M53" s="97"/>
      <c r="N53" s="97"/>
      <c r="O53" s="78"/>
      <c r="Q53" s="54"/>
      <c r="R53" s="55">
        <f t="shared" si="17"/>
        <v>0</v>
      </c>
      <c r="S53" s="55"/>
      <c r="T53" s="55"/>
      <c r="U53" s="55"/>
      <c r="V53" s="55"/>
      <c r="W53" s="55">
        <f t="shared" si="18"/>
        <v>0</v>
      </c>
      <c r="X53" s="55"/>
      <c r="Y53" s="55"/>
      <c r="Z53" s="77">
        <f t="shared" si="19"/>
        <v>0</v>
      </c>
      <c r="AA53" s="97"/>
      <c r="AB53" s="97"/>
      <c r="AC53" s="97"/>
      <c r="AD53" s="78"/>
      <c r="AE53" s="116"/>
      <c r="AF53" s="121"/>
      <c r="AG53" s="128"/>
      <c r="AH53" s="129"/>
      <c r="AI53" s="128"/>
      <c r="AJ53" s="128"/>
      <c r="AK53" s="129"/>
      <c r="AL53" s="130"/>
      <c r="AM53" s="130"/>
      <c r="AN53" s="130"/>
      <c r="AO53" s="130"/>
      <c r="AP53" s="130"/>
      <c r="AQ53" s="55"/>
      <c r="AR53" s="55"/>
      <c r="AS53" s="55"/>
      <c r="AT53" s="55"/>
      <c r="AU53" s="55"/>
      <c r="AV53" s="79"/>
      <c r="AW53" s="79"/>
      <c r="AX53" s="159" t="s">
        <v>34</v>
      </c>
      <c r="AY53" s="79"/>
      <c r="AZ53" s="79"/>
      <c r="BA53" s="159" t="s">
        <v>34</v>
      </c>
      <c r="BB53" s="56">
        <v>1</v>
      </c>
      <c r="BC53" s="83"/>
      <c r="BD53" s="56"/>
      <c r="BE53" s="80"/>
      <c r="BF53" s="81"/>
      <c r="BG53" s="168">
        <f t="shared" si="0"/>
        <v>0</v>
      </c>
      <c r="BH53" s="168"/>
      <c r="BI53" s="168"/>
      <c r="BJ53" s="168"/>
      <c r="BK53" s="169"/>
      <c r="BL53" s="116"/>
      <c r="BM53" s="116"/>
      <c r="BN53" s="116"/>
      <c r="BO53" s="116"/>
      <c r="BP53" s="116"/>
      <c r="BQ53" s="116"/>
      <c r="BR53" s="116"/>
    </row>
    <row r="54" ht="16.5" customHeight="1" spans="2:70">
      <c r="B54" s="54"/>
      <c r="C54" s="55" t="str">
        <f t="shared" si="14"/>
        <v>クミン（ホール）</v>
      </c>
      <c r="D54" s="55"/>
      <c r="E54" s="55"/>
      <c r="F54" s="55"/>
      <c r="G54" s="55"/>
      <c r="H54" s="55">
        <f t="shared" si="15"/>
        <v>0.2688</v>
      </c>
      <c r="I54" s="55"/>
      <c r="J54" s="55"/>
      <c r="K54" s="77">
        <f t="shared" si="16"/>
        <v>0</v>
      </c>
      <c r="L54" s="97"/>
      <c r="M54" s="97"/>
      <c r="N54" s="97"/>
      <c r="O54" s="78"/>
      <c r="Q54" s="54"/>
      <c r="R54" s="55">
        <f t="shared" si="17"/>
        <v>0</v>
      </c>
      <c r="S54" s="55"/>
      <c r="T54" s="55"/>
      <c r="U54" s="55"/>
      <c r="V54" s="55"/>
      <c r="W54" s="55">
        <f t="shared" si="18"/>
        <v>0</v>
      </c>
      <c r="X54" s="55"/>
      <c r="Y54" s="55"/>
      <c r="Z54" s="77">
        <f t="shared" si="19"/>
        <v>0</v>
      </c>
      <c r="AA54" s="97"/>
      <c r="AB54" s="97"/>
      <c r="AC54" s="97"/>
      <c r="AD54" s="78"/>
      <c r="AE54" s="116"/>
      <c r="AF54" s="121"/>
      <c r="AG54" s="128"/>
      <c r="AH54" s="129"/>
      <c r="AI54" s="128"/>
      <c r="AJ54" s="128"/>
      <c r="AK54" s="129"/>
      <c r="AL54" s="130"/>
      <c r="AM54" s="130"/>
      <c r="AN54" s="130"/>
      <c r="AO54" s="130"/>
      <c r="AP54" s="130"/>
      <c r="AQ54" s="55"/>
      <c r="AR54" s="55"/>
      <c r="AS54" s="55"/>
      <c r="AT54" s="55"/>
      <c r="AU54" s="55"/>
      <c r="AV54" s="79"/>
      <c r="AW54" s="79"/>
      <c r="AX54" s="159" t="s">
        <v>34</v>
      </c>
      <c r="AY54" s="79"/>
      <c r="AZ54" s="79"/>
      <c r="BA54" s="159" t="s">
        <v>34</v>
      </c>
      <c r="BB54" s="56">
        <v>1</v>
      </c>
      <c r="BC54" s="83"/>
      <c r="BD54" s="56"/>
      <c r="BE54" s="80"/>
      <c r="BF54" s="81"/>
      <c r="BG54" s="168">
        <f t="shared" si="0"/>
        <v>0</v>
      </c>
      <c r="BH54" s="168"/>
      <c r="BI54" s="168"/>
      <c r="BJ54" s="168"/>
      <c r="BK54" s="169"/>
      <c r="BL54" s="116"/>
      <c r="BM54" s="116"/>
      <c r="BN54" s="116"/>
      <c r="BO54" s="116"/>
      <c r="BP54" s="116"/>
      <c r="BQ54" s="116"/>
      <c r="BR54" s="116"/>
    </row>
    <row r="55" ht="16.5" customHeight="1" spans="2:70">
      <c r="B55" s="54"/>
      <c r="C55" s="55" t="str">
        <f t="shared" si="14"/>
        <v>ローリエ</v>
      </c>
      <c r="D55" s="55"/>
      <c r="E55" s="55"/>
      <c r="F55" s="55"/>
      <c r="G55" s="55"/>
      <c r="H55" s="55">
        <f t="shared" si="15"/>
        <v>0.01792</v>
      </c>
      <c r="I55" s="55"/>
      <c r="J55" s="55"/>
      <c r="K55" s="77">
        <f t="shared" si="16"/>
        <v>0</v>
      </c>
      <c r="L55" s="97"/>
      <c r="M55" s="97"/>
      <c r="N55" s="97"/>
      <c r="O55" s="78"/>
      <c r="Q55" s="54"/>
      <c r="R55" s="55">
        <f t="shared" si="17"/>
        <v>0</v>
      </c>
      <c r="S55" s="55"/>
      <c r="T55" s="55"/>
      <c r="U55" s="55"/>
      <c r="V55" s="55"/>
      <c r="W55" s="55">
        <f t="shared" si="18"/>
        <v>0</v>
      </c>
      <c r="X55" s="55"/>
      <c r="Y55" s="55"/>
      <c r="Z55" s="77">
        <f t="shared" si="19"/>
        <v>0</v>
      </c>
      <c r="AA55" s="97"/>
      <c r="AB55" s="97"/>
      <c r="AC55" s="97"/>
      <c r="AD55" s="78"/>
      <c r="AE55" s="116"/>
      <c r="AF55" s="121"/>
      <c r="AG55" s="128"/>
      <c r="AH55" s="129"/>
      <c r="AI55" s="128"/>
      <c r="AJ55" s="128"/>
      <c r="AK55" s="129"/>
      <c r="AL55" s="130"/>
      <c r="AM55" s="130"/>
      <c r="AN55" s="130"/>
      <c r="AO55" s="130"/>
      <c r="AP55" s="130"/>
      <c r="AQ55" s="55"/>
      <c r="AR55" s="55"/>
      <c r="AS55" s="55"/>
      <c r="AT55" s="55"/>
      <c r="AU55" s="55"/>
      <c r="AV55" s="79"/>
      <c r="AW55" s="79"/>
      <c r="AX55" s="159" t="s">
        <v>34</v>
      </c>
      <c r="AY55" s="79"/>
      <c r="AZ55" s="79"/>
      <c r="BA55" s="159" t="s">
        <v>34</v>
      </c>
      <c r="BB55" s="56">
        <v>1</v>
      </c>
      <c r="BC55" s="83"/>
      <c r="BD55" s="56"/>
      <c r="BE55" s="80"/>
      <c r="BF55" s="81"/>
      <c r="BG55" s="168">
        <f t="shared" si="0"/>
        <v>0</v>
      </c>
      <c r="BH55" s="168"/>
      <c r="BI55" s="168"/>
      <c r="BJ55" s="168"/>
      <c r="BK55" s="169"/>
      <c r="BL55" s="116"/>
      <c r="BM55" s="116"/>
      <c r="BN55" s="116"/>
      <c r="BO55" s="116"/>
      <c r="BP55" s="116"/>
      <c r="BQ55" s="116"/>
      <c r="BR55" s="116"/>
    </row>
    <row r="56" ht="16.5" customHeight="1" spans="2:70">
      <c r="B56" s="54"/>
      <c r="C56" s="55">
        <f t="shared" si="14"/>
        <v>0</v>
      </c>
      <c r="D56" s="55"/>
      <c r="E56" s="55"/>
      <c r="F56" s="55"/>
      <c r="G56" s="55"/>
      <c r="H56" s="55">
        <f t="shared" si="15"/>
        <v>0</v>
      </c>
      <c r="I56" s="55"/>
      <c r="J56" s="55"/>
      <c r="K56" s="77">
        <f t="shared" si="16"/>
        <v>0</v>
      </c>
      <c r="L56" s="97"/>
      <c r="M56" s="97"/>
      <c r="N56" s="97"/>
      <c r="O56" s="78"/>
      <c r="Q56" s="54"/>
      <c r="R56" s="55">
        <f t="shared" si="17"/>
        <v>0</v>
      </c>
      <c r="S56" s="55"/>
      <c r="T56" s="55"/>
      <c r="U56" s="55"/>
      <c r="V56" s="55"/>
      <c r="W56" s="55">
        <f t="shared" si="18"/>
        <v>0</v>
      </c>
      <c r="X56" s="55"/>
      <c r="Y56" s="55"/>
      <c r="Z56" s="77">
        <f t="shared" si="19"/>
        <v>0</v>
      </c>
      <c r="AA56" s="97"/>
      <c r="AB56" s="97"/>
      <c r="AC56" s="97"/>
      <c r="AD56" s="78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50" t="s">
        <v>83</v>
      </c>
      <c r="AT56" s="151"/>
      <c r="AU56" s="152"/>
      <c r="AV56" s="151">
        <f>SUM(AV5:AV55)</f>
        <v>221.92512</v>
      </c>
      <c r="AW56" s="151"/>
      <c r="AX56" s="160"/>
      <c r="AY56" s="151">
        <f>SUM(AY5:AY55)</f>
        <v>171.629</v>
      </c>
      <c r="AZ56" s="151"/>
      <c r="BA56" s="160"/>
      <c r="BB56" s="116"/>
      <c r="BC56" s="116"/>
      <c r="BD56" s="150"/>
      <c r="BE56" s="151"/>
      <c r="BF56" s="152"/>
      <c r="BG56" s="151">
        <f>SUM(BG5:BG44)</f>
        <v>148.393536</v>
      </c>
      <c r="BH56" s="151"/>
      <c r="BI56" s="151"/>
      <c r="BJ56" s="151"/>
      <c r="BK56" s="152"/>
      <c r="BL56" s="116"/>
      <c r="BM56" s="116"/>
      <c r="BN56" s="116"/>
      <c r="BO56" s="116"/>
      <c r="BP56" s="116"/>
      <c r="BQ56" s="116"/>
      <c r="BR56" s="116"/>
    </row>
    <row r="57" ht="16.5" customHeight="1" spans="2:70">
      <c r="B57" s="54"/>
      <c r="C57" s="55" t="str">
        <f t="shared" si="14"/>
        <v>おろし生姜</v>
      </c>
      <c r="D57" s="55"/>
      <c r="E57" s="55"/>
      <c r="F57" s="55"/>
      <c r="G57" s="55"/>
      <c r="H57" s="55">
        <f t="shared" si="15"/>
        <v>8.96</v>
      </c>
      <c r="I57" s="55"/>
      <c r="J57" s="55"/>
      <c r="K57" s="77">
        <f t="shared" si="16"/>
        <v>0</v>
      </c>
      <c r="L57" s="97"/>
      <c r="M57" s="97"/>
      <c r="N57" s="97"/>
      <c r="O57" s="78"/>
      <c r="Q57" s="54"/>
      <c r="R57" s="55">
        <f t="shared" si="17"/>
        <v>0</v>
      </c>
      <c r="S57" s="55"/>
      <c r="T57" s="55"/>
      <c r="U57" s="55"/>
      <c r="V57" s="55"/>
      <c r="W57" s="55">
        <f t="shared" si="18"/>
        <v>0</v>
      </c>
      <c r="X57" s="55"/>
      <c r="Y57" s="55"/>
      <c r="Z57" s="77">
        <f t="shared" si="19"/>
        <v>0</v>
      </c>
      <c r="AA57" s="97"/>
      <c r="AB57" s="97"/>
      <c r="AC57" s="97"/>
      <c r="AD57" s="78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</row>
    <row r="58" ht="16.5" customHeight="1" spans="2:30">
      <c r="B58" s="54"/>
      <c r="C58" s="55" t="str">
        <f t="shared" si="14"/>
        <v>おろしにんにく</v>
      </c>
      <c r="D58" s="55"/>
      <c r="E58" s="55"/>
      <c r="F58" s="55"/>
      <c r="G58" s="55"/>
      <c r="H58" s="55">
        <f t="shared" si="15"/>
        <v>0.896</v>
      </c>
      <c r="I58" s="55"/>
      <c r="J58" s="55"/>
      <c r="K58" s="77">
        <f t="shared" si="16"/>
        <v>0</v>
      </c>
      <c r="L58" s="97"/>
      <c r="M58" s="97"/>
      <c r="N58" s="97"/>
      <c r="O58" s="78"/>
      <c r="Q58" s="54"/>
      <c r="R58" s="55">
        <f t="shared" si="17"/>
        <v>0</v>
      </c>
      <c r="S58" s="55"/>
      <c r="T58" s="55"/>
      <c r="U58" s="55"/>
      <c r="V58" s="55"/>
      <c r="W58" s="55">
        <f t="shared" si="18"/>
        <v>0</v>
      </c>
      <c r="X58" s="55"/>
      <c r="Y58" s="55"/>
      <c r="Z58" s="77">
        <f t="shared" si="19"/>
        <v>0</v>
      </c>
      <c r="AA58" s="97"/>
      <c r="AB58" s="97"/>
      <c r="AC58" s="97"/>
      <c r="AD58" s="78"/>
    </row>
    <row r="59" ht="16.5" customHeight="1" spans="2:30">
      <c r="B59" s="54"/>
      <c r="C59" s="55">
        <f t="shared" si="14"/>
        <v>0</v>
      </c>
      <c r="D59" s="55"/>
      <c r="E59" s="55"/>
      <c r="F59" s="55"/>
      <c r="G59" s="55"/>
      <c r="H59" s="55">
        <f t="shared" si="15"/>
        <v>0</v>
      </c>
      <c r="I59" s="55"/>
      <c r="J59" s="55"/>
      <c r="K59" s="77">
        <f t="shared" si="16"/>
        <v>0</v>
      </c>
      <c r="L59" s="97"/>
      <c r="M59" s="97"/>
      <c r="N59" s="97"/>
      <c r="O59" s="78"/>
      <c r="Q59" s="54"/>
      <c r="R59" s="55">
        <f t="shared" si="17"/>
        <v>0</v>
      </c>
      <c r="S59" s="55"/>
      <c r="T59" s="55"/>
      <c r="U59" s="55"/>
      <c r="V59" s="55"/>
      <c r="W59" s="55">
        <f t="shared" si="18"/>
        <v>0</v>
      </c>
      <c r="X59" s="55"/>
      <c r="Y59" s="55"/>
      <c r="Z59" s="77">
        <f t="shared" si="19"/>
        <v>0</v>
      </c>
      <c r="AA59" s="97"/>
      <c r="AB59" s="97"/>
      <c r="AC59" s="97"/>
      <c r="AD59" s="78"/>
    </row>
    <row r="60" ht="16.5" customHeight="1" spans="2:30">
      <c r="B60" s="54"/>
      <c r="C60" s="55" t="str">
        <f t="shared" si="14"/>
        <v>冷凍人参乱切り</v>
      </c>
      <c r="D60" s="55"/>
      <c r="E60" s="55"/>
      <c r="F60" s="55"/>
      <c r="G60" s="55"/>
      <c r="H60" s="55">
        <f t="shared" si="15"/>
        <v>8.96</v>
      </c>
      <c r="I60" s="55"/>
      <c r="J60" s="55"/>
      <c r="K60" s="77">
        <f t="shared" si="16"/>
        <v>0</v>
      </c>
      <c r="L60" s="97"/>
      <c r="M60" s="97"/>
      <c r="N60" s="97"/>
      <c r="O60" s="78"/>
      <c r="Q60" s="54"/>
      <c r="R60" s="55">
        <f t="shared" si="17"/>
        <v>0</v>
      </c>
      <c r="S60" s="55"/>
      <c r="T60" s="55"/>
      <c r="U60" s="55"/>
      <c r="V60" s="55"/>
      <c r="W60" s="55">
        <f t="shared" si="18"/>
        <v>0</v>
      </c>
      <c r="X60" s="55"/>
      <c r="Y60" s="55"/>
      <c r="Z60" s="77">
        <f t="shared" si="19"/>
        <v>0</v>
      </c>
      <c r="AA60" s="97"/>
      <c r="AB60" s="97"/>
      <c r="AC60" s="97"/>
      <c r="AD60" s="78"/>
    </row>
    <row r="61" ht="16.5" customHeight="1" spans="2:30">
      <c r="B61" s="54"/>
      <c r="C61" s="55" t="str">
        <f t="shared" si="14"/>
        <v>水</v>
      </c>
      <c r="D61" s="55"/>
      <c r="E61" s="55"/>
      <c r="F61" s="55"/>
      <c r="G61" s="55"/>
      <c r="H61" s="55">
        <f t="shared" si="15"/>
        <v>8.96</v>
      </c>
      <c r="I61" s="55"/>
      <c r="J61" s="55"/>
      <c r="K61" s="77">
        <f t="shared" si="16"/>
        <v>0</v>
      </c>
      <c r="L61" s="97"/>
      <c r="M61" s="97"/>
      <c r="N61" s="97"/>
      <c r="O61" s="78"/>
      <c r="Q61" s="54"/>
      <c r="R61" s="55">
        <f t="shared" si="17"/>
        <v>0</v>
      </c>
      <c r="S61" s="55"/>
      <c r="T61" s="55"/>
      <c r="U61" s="55"/>
      <c r="V61" s="55"/>
      <c r="W61" s="55">
        <f t="shared" si="18"/>
        <v>0</v>
      </c>
      <c r="X61" s="55"/>
      <c r="Y61" s="55"/>
      <c r="Z61" s="77">
        <f t="shared" si="19"/>
        <v>0</v>
      </c>
      <c r="AA61" s="97"/>
      <c r="AB61" s="97"/>
      <c r="AC61" s="97"/>
      <c r="AD61" s="78"/>
    </row>
    <row r="62" ht="16.5" customHeight="1" spans="2:30">
      <c r="B62" s="54"/>
      <c r="C62" s="55" t="str">
        <f t="shared" si="14"/>
        <v>ソテーオニオン30</v>
      </c>
      <c r="D62" s="55"/>
      <c r="E62" s="55"/>
      <c r="F62" s="55"/>
      <c r="G62" s="55"/>
      <c r="H62" s="55">
        <f t="shared" si="15"/>
        <v>26.88</v>
      </c>
      <c r="I62" s="55"/>
      <c r="J62" s="55"/>
      <c r="K62" s="77">
        <f t="shared" si="16"/>
        <v>0</v>
      </c>
      <c r="L62" s="97"/>
      <c r="M62" s="97"/>
      <c r="N62" s="97"/>
      <c r="O62" s="78"/>
      <c r="Q62" s="54"/>
      <c r="R62" s="55">
        <f t="shared" si="17"/>
        <v>0</v>
      </c>
      <c r="S62" s="55"/>
      <c r="T62" s="55"/>
      <c r="U62" s="55"/>
      <c r="V62" s="55"/>
      <c r="W62" s="55">
        <f t="shared" si="18"/>
        <v>0</v>
      </c>
      <c r="X62" s="55"/>
      <c r="Y62" s="55"/>
      <c r="Z62" s="77">
        <f t="shared" si="19"/>
        <v>0</v>
      </c>
      <c r="AA62" s="97"/>
      <c r="AB62" s="97"/>
      <c r="AC62" s="97"/>
      <c r="AD62" s="78"/>
    </row>
    <row r="63" ht="16.5" customHeight="1" spans="2:30">
      <c r="B63" s="54"/>
      <c r="C63" s="55" t="e">
        <f>#REF!</f>
        <v>#REF!</v>
      </c>
      <c r="D63" s="55"/>
      <c r="E63" s="55"/>
      <c r="F63" s="55"/>
      <c r="G63" s="55"/>
      <c r="H63" s="55" t="e">
        <f>#REF!</f>
        <v>#REF!</v>
      </c>
      <c r="I63" s="55"/>
      <c r="J63" s="55"/>
      <c r="K63" s="77" t="e">
        <f>#REF!*P59*BB17</f>
        <v>#REF!</v>
      </c>
      <c r="L63" s="97"/>
      <c r="M63" s="97"/>
      <c r="N63" s="97"/>
      <c r="O63" s="78"/>
      <c r="Q63" s="54"/>
      <c r="R63" s="55">
        <f t="shared" si="17"/>
        <v>0</v>
      </c>
      <c r="S63" s="55"/>
      <c r="T63" s="55"/>
      <c r="U63" s="55"/>
      <c r="V63" s="55"/>
      <c r="W63" s="55">
        <f t="shared" si="18"/>
        <v>0</v>
      </c>
      <c r="X63" s="55"/>
      <c r="Y63" s="55"/>
      <c r="Z63" s="77">
        <f t="shared" si="19"/>
        <v>0</v>
      </c>
      <c r="AA63" s="97"/>
      <c r="AB63" s="97"/>
      <c r="AC63" s="97"/>
      <c r="AD63" s="78"/>
    </row>
    <row r="64" ht="16.5" customHeight="1" spans="2:30">
      <c r="B64" s="54"/>
      <c r="C64" s="55" t="str">
        <f>AQ17</f>
        <v>ビーフコンソメ</v>
      </c>
      <c r="D64" s="55"/>
      <c r="E64" s="55"/>
      <c r="F64" s="55"/>
      <c r="G64" s="55"/>
      <c r="H64" s="55">
        <f>AV17</f>
        <v>1.344</v>
      </c>
      <c r="I64" s="55"/>
      <c r="J64" s="55"/>
      <c r="K64" s="77">
        <f>AV17*P60*BB18</f>
        <v>0</v>
      </c>
      <c r="L64" s="97"/>
      <c r="M64" s="97"/>
      <c r="N64" s="97"/>
      <c r="O64" s="78"/>
      <c r="P64" s="98"/>
      <c r="Q64" s="54"/>
      <c r="R64" s="55">
        <f t="shared" si="17"/>
        <v>0</v>
      </c>
      <c r="S64" s="55"/>
      <c r="T64" s="55"/>
      <c r="U64" s="55"/>
      <c r="V64" s="55"/>
      <c r="W64" s="55">
        <f t="shared" si="18"/>
        <v>0</v>
      </c>
      <c r="X64" s="55"/>
      <c r="Y64" s="55"/>
      <c r="Z64" s="77">
        <f t="shared" si="19"/>
        <v>0</v>
      </c>
      <c r="AA64" s="97"/>
      <c r="AB64" s="97"/>
      <c r="AC64" s="97"/>
      <c r="AD64" s="78"/>
    </row>
    <row r="65" ht="16.5" customHeight="1" spans="2:30">
      <c r="B65" s="54"/>
      <c r="C65" s="55" t="str">
        <f t="shared" si="14"/>
        <v>ガラムマサラ（ギャ</v>
      </c>
      <c r="D65" s="55"/>
      <c r="E65" s="55"/>
      <c r="F65" s="55"/>
      <c r="G65" s="55"/>
      <c r="H65" s="55">
        <f t="shared" si="15"/>
        <v>0.1344</v>
      </c>
      <c r="I65" s="55"/>
      <c r="J65" s="55"/>
      <c r="K65" s="77">
        <f t="shared" si="16"/>
        <v>0</v>
      </c>
      <c r="L65" s="97"/>
      <c r="M65" s="97"/>
      <c r="N65" s="97"/>
      <c r="O65" s="78"/>
      <c r="Q65" s="54"/>
      <c r="R65" s="55">
        <f t="shared" si="17"/>
        <v>0</v>
      </c>
      <c r="S65" s="55"/>
      <c r="T65" s="55"/>
      <c r="U65" s="55"/>
      <c r="V65" s="55"/>
      <c r="W65" s="55">
        <f t="shared" si="18"/>
        <v>0</v>
      </c>
      <c r="X65" s="55"/>
      <c r="Y65" s="55"/>
      <c r="Z65" s="77">
        <f t="shared" si="19"/>
        <v>0</v>
      </c>
      <c r="AA65" s="97"/>
      <c r="AB65" s="97"/>
      <c r="AC65" s="97"/>
      <c r="AD65" s="78"/>
    </row>
    <row r="66" ht="16.5" customHeight="1" spans="2:30">
      <c r="B66" s="54"/>
      <c r="C66" s="55" t="str">
        <f t="shared" si="14"/>
        <v>ターメリック</v>
      </c>
      <c r="D66" s="55"/>
      <c r="E66" s="55"/>
      <c r="F66" s="55"/>
      <c r="G66" s="55"/>
      <c r="H66" s="55">
        <f t="shared" si="15"/>
        <v>0.224</v>
      </c>
      <c r="I66" s="55"/>
      <c r="J66" s="55"/>
      <c r="K66" s="77">
        <f t="shared" si="16"/>
        <v>0</v>
      </c>
      <c r="L66" s="97"/>
      <c r="M66" s="97"/>
      <c r="N66" s="97"/>
      <c r="O66" s="78"/>
      <c r="Q66" s="54"/>
      <c r="R66" s="55">
        <f t="shared" si="17"/>
        <v>0</v>
      </c>
      <c r="S66" s="55"/>
      <c r="T66" s="55"/>
      <c r="U66" s="55"/>
      <c r="V66" s="55"/>
      <c r="W66" s="55">
        <f t="shared" si="18"/>
        <v>0</v>
      </c>
      <c r="X66" s="55"/>
      <c r="Y66" s="55"/>
      <c r="Z66" s="77">
        <f t="shared" si="19"/>
        <v>0</v>
      </c>
      <c r="AA66" s="97"/>
      <c r="AB66" s="97"/>
      <c r="AC66" s="97"/>
      <c r="AD66" s="78"/>
    </row>
    <row r="67" ht="16.5" customHeight="1" spans="2:30">
      <c r="B67" s="54"/>
      <c r="C67" s="55" t="str">
        <f t="shared" si="14"/>
        <v>チリパウダー（ギャ</v>
      </c>
      <c r="D67" s="55"/>
      <c r="E67" s="55"/>
      <c r="F67" s="55"/>
      <c r="G67" s="55"/>
      <c r="H67" s="55">
        <f t="shared" si="15"/>
        <v>0.224</v>
      </c>
      <c r="I67" s="55"/>
      <c r="J67" s="55"/>
      <c r="K67" s="77">
        <f t="shared" si="16"/>
        <v>0</v>
      </c>
      <c r="L67" s="97"/>
      <c r="M67" s="97"/>
      <c r="N67" s="97"/>
      <c r="O67" s="78"/>
      <c r="Q67" s="54"/>
      <c r="R67" s="55">
        <f t="shared" si="17"/>
        <v>0</v>
      </c>
      <c r="S67" s="55"/>
      <c r="T67" s="55"/>
      <c r="U67" s="55"/>
      <c r="V67" s="55"/>
      <c r="W67" s="55">
        <f t="shared" si="18"/>
        <v>0</v>
      </c>
      <c r="X67" s="55"/>
      <c r="Y67" s="55"/>
      <c r="Z67" s="77">
        <f t="shared" si="19"/>
        <v>0</v>
      </c>
      <c r="AA67" s="97"/>
      <c r="AB67" s="97"/>
      <c r="AC67" s="97"/>
      <c r="AD67" s="78"/>
    </row>
    <row r="68" ht="16.5" customHeight="1" spans="2:30">
      <c r="B68" s="54"/>
      <c r="C68" s="55" t="str">
        <f t="shared" si="14"/>
        <v>コリアンダー</v>
      </c>
      <c r="D68" s="55"/>
      <c r="E68" s="55"/>
      <c r="F68" s="55"/>
      <c r="G68" s="55"/>
      <c r="H68" s="55">
        <f t="shared" si="15"/>
        <v>0.1792</v>
      </c>
      <c r="I68" s="55"/>
      <c r="J68" s="55"/>
      <c r="K68" s="77">
        <f t="shared" si="16"/>
        <v>0</v>
      </c>
      <c r="L68" s="97"/>
      <c r="M68" s="97"/>
      <c r="N68" s="97"/>
      <c r="O68" s="78"/>
      <c r="Q68" s="54"/>
      <c r="R68" s="55">
        <f t="shared" si="17"/>
        <v>0</v>
      </c>
      <c r="S68" s="55"/>
      <c r="T68" s="55"/>
      <c r="U68" s="55"/>
      <c r="V68" s="55"/>
      <c r="W68" s="55">
        <f t="shared" si="18"/>
        <v>0</v>
      </c>
      <c r="X68" s="55"/>
      <c r="Y68" s="55"/>
      <c r="Z68" s="77">
        <f t="shared" si="19"/>
        <v>0</v>
      </c>
      <c r="AA68" s="97"/>
      <c r="AB68" s="97"/>
      <c r="AC68" s="97"/>
      <c r="AD68" s="78"/>
    </row>
    <row r="69" ht="16.5" customHeight="1" spans="2:30">
      <c r="B69" s="54"/>
      <c r="C69" s="55" t="str">
        <f t="shared" si="14"/>
        <v>カイエンペッパー</v>
      </c>
      <c r="D69" s="55"/>
      <c r="E69" s="55"/>
      <c r="F69" s="55"/>
      <c r="G69" s="55"/>
      <c r="H69" s="55">
        <f t="shared" si="15"/>
        <v>0.1792</v>
      </c>
      <c r="I69" s="55"/>
      <c r="J69" s="55"/>
      <c r="K69" s="77">
        <f t="shared" si="16"/>
        <v>0</v>
      </c>
      <c r="L69" s="97"/>
      <c r="M69" s="97"/>
      <c r="N69" s="97"/>
      <c r="O69" s="78"/>
      <c r="Q69" s="54"/>
      <c r="R69" s="55">
        <f t="shared" si="17"/>
        <v>0</v>
      </c>
      <c r="S69" s="55"/>
      <c r="T69" s="55"/>
      <c r="U69" s="55"/>
      <c r="V69" s="55"/>
      <c r="W69" s="55">
        <f t="shared" si="18"/>
        <v>0</v>
      </c>
      <c r="X69" s="55"/>
      <c r="Y69" s="55"/>
      <c r="Z69" s="77">
        <f t="shared" si="19"/>
        <v>0</v>
      </c>
      <c r="AA69" s="97"/>
      <c r="AB69" s="97"/>
      <c r="AC69" s="97"/>
      <c r="AD69" s="78"/>
    </row>
    <row r="70" ht="16.5" customHeight="1" spans="2:30">
      <c r="B70" s="54"/>
      <c r="C70" s="55" t="str">
        <f>AQ26</f>
        <v>三温糖</v>
      </c>
      <c r="D70" s="55"/>
      <c r="E70" s="55"/>
      <c r="F70" s="55"/>
      <c r="G70" s="55"/>
      <c r="H70" s="55">
        <f>AV26</f>
        <v>1.792</v>
      </c>
      <c r="I70" s="55"/>
      <c r="J70" s="55"/>
      <c r="K70" s="77">
        <f>AV26*P66*BB24</f>
        <v>0</v>
      </c>
      <c r="L70" s="97"/>
      <c r="M70" s="97"/>
      <c r="N70" s="97"/>
      <c r="O70" s="78"/>
      <c r="Q70" s="54"/>
      <c r="R70" s="55">
        <f t="shared" si="17"/>
        <v>0</v>
      </c>
      <c r="S70" s="55"/>
      <c r="T70" s="55"/>
      <c r="U70" s="55"/>
      <c r="V70" s="55"/>
      <c r="W70" s="55">
        <f t="shared" si="18"/>
        <v>0</v>
      </c>
      <c r="X70" s="55"/>
      <c r="Y70" s="55"/>
      <c r="Z70" s="77">
        <f t="shared" si="19"/>
        <v>0</v>
      </c>
      <c r="AA70" s="97"/>
      <c r="AB70" s="97"/>
      <c r="AC70" s="97"/>
      <c r="AD70" s="78"/>
    </row>
    <row r="71" ht="16.5" customHeight="1" spans="2:30">
      <c r="B71" s="54"/>
      <c r="C71" s="55" t="str">
        <f>AQ27</f>
        <v>食塩</v>
      </c>
      <c r="D71" s="55"/>
      <c r="E71" s="55"/>
      <c r="F71" s="55"/>
      <c r="G71" s="55"/>
      <c r="H71" s="55">
        <f>AV27</f>
        <v>0.896</v>
      </c>
      <c r="I71" s="55"/>
      <c r="J71" s="55"/>
      <c r="K71" s="77">
        <f>AV27*P67*BB25</f>
        <v>0</v>
      </c>
      <c r="L71" s="97"/>
      <c r="M71" s="97"/>
      <c r="N71" s="97"/>
      <c r="O71" s="78"/>
      <c r="Q71" s="54"/>
      <c r="R71" s="55">
        <f t="shared" si="17"/>
        <v>0</v>
      </c>
      <c r="S71" s="55"/>
      <c r="T71" s="55"/>
      <c r="U71" s="55"/>
      <c r="V71" s="55"/>
      <c r="W71" s="55">
        <f t="shared" si="18"/>
        <v>0</v>
      </c>
      <c r="X71" s="55"/>
      <c r="Y71" s="55"/>
      <c r="Z71" s="77">
        <f t="shared" si="19"/>
        <v>0</v>
      </c>
      <c r="AA71" s="97"/>
      <c r="AB71" s="97"/>
      <c r="AC71" s="97"/>
      <c r="AD71" s="78"/>
    </row>
    <row r="72" ht="16.5" customHeight="1" spans="2:30">
      <c r="B72" s="54"/>
      <c r="C72" s="55" t="str">
        <f>AQ28</f>
        <v>ブラックペッパー</v>
      </c>
      <c r="D72" s="55"/>
      <c r="E72" s="55"/>
      <c r="F72" s="55"/>
      <c r="G72" s="55"/>
      <c r="H72" s="55">
        <f>AV28</f>
        <v>0.0896</v>
      </c>
      <c r="I72" s="55"/>
      <c r="J72" s="55"/>
      <c r="K72" s="77">
        <f>AV28*P68*BB26</f>
        <v>0</v>
      </c>
      <c r="L72" s="97"/>
      <c r="M72" s="97"/>
      <c r="N72" s="97"/>
      <c r="O72" s="78"/>
      <c r="Q72" s="54"/>
      <c r="R72" s="55">
        <f t="shared" si="17"/>
        <v>0</v>
      </c>
      <c r="S72" s="55"/>
      <c r="T72" s="55"/>
      <c r="U72" s="55"/>
      <c r="V72" s="55"/>
      <c r="W72" s="55">
        <f t="shared" si="18"/>
        <v>0</v>
      </c>
      <c r="X72" s="55"/>
      <c r="Y72" s="55"/>
      <c r="Z72" s="77">
        <f t="shared" si="19"/>
        <v>0</v>
      </c>
      <c r="AA72" s="97"/>
      <c r="AB72" s="97"/>
      <c r="AC72" s="97"/>
      <c r="AD72" s="78"/>
    </row>
    <row r="73" ht="16.5" customHeight="1" spans="2:30">
      <c r="B73" s="54"/>
      <c r="C73" s="55" t="str">
        <f>AQ29</f>
        <v>水</v>
      </c>
      <c r="D73" s="55"/>
      <c r="E73" s="55"/>
      <c r="F73" s="55"/>
      <c r="G73" s="55"/>
      <c r="H73" s="55">
        <f>AV29</f>
        <v>98.56</v>
      </c>
      <c r="I73" s="55"/>
      <c r="J73" s="55"/>
      <c r="K73" s="77">
        <f>AV29*P69*BB27</f>
        <v>0</v>
      </c>
      <c r="L73" s="97"/>
      <c r="M73" s="97"/>
      <c r="N73" s="97"/>
      <c r="O73" s="78"/>
      <c r="Q73" s="54"/>
      <c r="R73" s="55">
        <f t="shared" si="17"/>
        <v>0</v>
      </c>
      <c r="S73" s="55"/>
      <c r="T73" s="55"/>
      <c r="U73" s="55"/>
      <c r="V73" s="55"/>
      <c r="W73" s="55">
        <f t="shared" si="18"/>
        <v>0</v>
      </c>
      <c r="X73" s="55"/>
      <c r="Y73" s="55"/>
      <c r="Z73" s="77">
        <f t="shared" si="19"/>
        <v>0</v>
      </c>
      <c r="AA73" s="97"/>
      <c r="AB73" s="97"/>
      <c r="AC73" s="97"/>
      <c r="AD73" s="78"/>
    </row>
    <row r="74" ht="16.5" customHeight="1" spans="2:30">
      <c r="B74" s="54"/>
      <c r="C74" s="55" t="str">
        <f>AQ30</f>
        <v>ジャワカレー（フレーク</v>
      </c>
      <c r="D74" s="55"/>
      <c r="E74" s="55"/>
      <c r="F74" s="55"/>
      <c r="G74" s="55"/>
      <c r="H74" s="55">
        <f>AV30</f>
        <v>17.92</v>
      </c>
      <c r="I74" s="55"/>
      <c r="J74" s="55"/>
      <c r="K74" s="77">
        <f>AV30*P70*BB28</f>
        <v>0</v>
      </c>
      <c r="L74" s="97"/>
      <c r="M74" s="97"/>
      <c r="N74" s="97"/>
      <c r="O74" s="78"/>
      <c r="Q74" s="54"/>
      <c r="R74" s="55">
        <f t="shared" si="17"/>
        <v>0</v>
      </c>
      <c r="S74" s="55"/>
      <c r="T74" s="55"/>
      <c r="U74" s="55"/>
      <c r="V74" s="55"/>
      <c r="W74" s="55">
        <f t="shared" si="18"/>
        <v>0</v>
      </c>
      <c r="X74" s="55"/>
      <c r="Y74" s="55"/>
      <c r="Z74" s="77">
        <f t="shared" si="19"/>
        <v>0</v>
      </c>
      <c r="AA74" s="97"/>
      <c r="AB74" s="97"/>
      <c r="AC74" s="97"/>
      <c r="AD74" s="78"/>
    </row>
    <row r="75" ht="16.5" customHeight="1" spans="2:30">
      <c r="B75" s="54"/>
      <c r="C75" s="55" t="e">
        <f>#REF!</f>
        <v>#REF!</v>
      </c>
      <c r="D75" s="55"/>
      <c r="E75" s="55"/>
      <c r="F75" s="55"/>
      <c r="G75" s="55"/>
      <c r="H75" s="55" t="e">
        <f>#REF!</f>
        <v>#REF!</v>
      </c>
      <c r="I75" s="55"/>
      <c r="J75" s="55"/>
      <c r="K75" s="77" t="e">
        <f>#REF!*P71*BB29</f>
        <v>#REF!</v>
      </c>
      <c r="L75" s="97"/>
      <c r="M75" s="97"/>
      <c r="N75" s="97"/>
      <c r="O75" s="78"/>
      <c r="Q75" s="54"/>
      <c r="R75" s="55">
        <f t="shared" si="17"/>
        <v>0</v>
      </c>
      <c r="S75" s="55"/>
      <c r="T75" s="55"/>
      <c r="U75" s="55"/>
      <c r="V75" s="55"/>
      <c r="W75" s="55">
        <f t="shared" si="18"/>
        <v>0</v>
      </c>
      <c r="X75" s="55"/>
      <c r="Y75" s="55"/>
      <c r="Z75" s="77">
        <f t="shared" si="19"/>
        <v>0</v>
      </c>
      <c r="AA75" s="97"/>
      <c r="AB75" s="97"/>
      <c r="AC75" s="97"/>
      <c r="AD75" s="78"/>
    </row>
    <row r="76" ht="16.5" customHeight="1" spans="2:30">
      <c r="B76" s="54"/>
      <c r="C76" s="55" t="e">
        <f>#REF!</f>
        <v>#REF!</v>
      </c>
      <c r="D76" s="55"/>
      <c r="E76" s="55"/>
      <c r="F76" s="55"/>
      <c r="G76" s="55"/>
      <c r="H76" s="55" t="e">
        <f>#REF!</f>
        <v>#REF!</v>
      </c>
      <c r="I76" s="55"/>
      <c r="J76" s="55"/>
      <c r="K76" s="77" t="e">
        <f>#REF!*P72*BB30</f>
        <v>#REF!</v>
      </c>
      <c r="L76" s="97"/>
      <c r="M76" s="97"/>
      <c r="N76" s="97"/>
      <c r="O76" s="78"/>
      <c r="Q76" s="54"/>
      <c r="R76" s="55"/>
      <c r="S76" s="55"/>
      <c r="T76" s="55"/>
      <c r="U76" s="55"/>
      <c r="V76" s="55"/>
      <c r="W76" s="55"/>
      <c r="X76" s="55"/>
      <c r="Y76" s="55"/>
      <c r="Z76" s="77">
        <f t="shared" si="19"/>
        <v>0</v>
      </c>
      <c r="AA76" s="97"/>
      <c r="AB76" s="97"/>
      <c r="AC76" s="97"/>
      <c r="AD76" s="78"/>
    </row>
    <row r="77" ht="16.5" customHeight="1" spans="2:30">
      <c r="B77" s="67" t="s">
        <v>84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184"/>
      <c r="S77" s="55" t="s">
        <v>85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ht="16.5" customHeight="1" spans="2:30"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184"/>
      <c r="S78" s="172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7"/>
    </row>
    <row r="79" ht="16.5" customHeight="1" spans="2:30">
      <c r="B79" s="67" t="s">
        <v>84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184"/>
      <c r="S79" s="172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7"/>
    </row>
    <row r="80" ht="16.5" customHeight="1" spans="2:30"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184"/>
      <c r="S80" s="172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7"/>
    </row>
    <row r="81" ht="16.5" customHeight="1" spans="2:30">
      <c r="B81" s="67" t="s">
        <v>84</v>
      </c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184"/>
      <c r="S81" s="172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7"/>
    </row>
    <row r="82" ht="16.5" customHeight="1" spans="2:30"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184"/>
      <c r="S82" s="172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7"/>
    </row>
    <row r="83" ht="16.5" customHeight="1" spans="2:30">
      <c r="B83" s="67" t="s">
        <v>84</v>
      </c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184"/>
      <c r="S83" s="172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7"/>
    </row>
    <row r="84" ht="16.5" customHeight="1" spans="2:30"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184"/>
      <c r="S84" s="172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7"/>
    </row>
    <row r="85" ht="16.5" customHeight="1" spans="2:30">
      <c r="B85" s="67" t="s">
        <v>84</v>
      </c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184"/>
      <c r="S85" s="172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7"/>
    </row>
    <row r="86" ht="16.5" customHeight="1" spans="2:30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184"/>
      <c r="S86" s="172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7"/>
    </row>
    <row r="87" ht="16.5" customHeight="1" spans="2:30">
      <c r="B87" s="67" t="s">
        <v>84</v>
      </c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184"/>
      <c r="S87" s="172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7"/>
    </row>
    <row r="88" ht="16.5" customHeight="1" spans="2:30"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184"/>
      <c r="S88" s="172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7"/>
    </row>
    <row r="89" ht="16.5" customHeight="1" spans="2:30">
      <c r="B89" s="67" t="s">
        <v>84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184"/>
      <c r="S89" s="172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7"/>
    </row>
    <row r="90" ht="16.5" customHeight="1" spans="2:30"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184"/>
      <c r="S90" s="172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7"/>
    </row>
    <row r="91" ht="16.5" customHeight="1" spans="2:30">
      <c r="B91" s="67" t="s">
        <v>84</v>
      </c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184"/>
      <c r="S91" s="172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7"/>
    </row>
    <row r="92" ht="16.5" customHeight="1" spans="2:30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185"/>
      <c r="S92" s="6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89"/>
    </row>
    <row r="93" ht="16.5" customHeight="1" spans="2:30">
      <c r="B93" s="55" t="s">
        <v>86</v>
      </c>
      <c r="C93" s="55"/>
      <c r="D93" s="55"/>
      <c r="E93" s="55"/>
      <c r="F93" s="55"/>
      <c r="G93" s="55"/>
      <c r="H93" s="55" t="s">
        <v>87</v>
      </c>
      <c r="I93" s="55"/>
      <c r="J93" s="55"/>
      <c r="K93" s="55"/>
      <c r="L93" s="55"/>
      <c r="M93" s="55" t="s">
        <v>88</v>
      </c>
      <c r="N93" s="55"/>
      <c r="O93" s="55"/>
      <c r="P93" s="55"/>
      <c r="Q93" s="55"/>
      <c r="R93" s="55"/>
      <c r="S93" s="55"/>
      <c r="T93" s="55"/>
      <c r="U93" s="55" t="s">
        <v>87</v>
      </c>
      <c r="V93" s="55"/>
      <c r="W93" s="55"/>
      <c r="X93" s="55"/>
      <c r="Y93" s="55" t="s">
        <v>89</v>
      </c>
      <c r="Z93" s="55"/>
      <c r="AA93" s="55"/>
      <c r="AB93" s="55"/>
      <c r="AC93" s="55"/>
      <c r="AD93" s="55"/>
    </row>
    <row r="94" ht="16.5" customHeight="1" spans="2:30">
      <c r="B94" s="55"/>
      <c r="C94" s="55"/>
      <c r="D94" s="55"/>
      <c r="E94" s="55"/>
      <c r="F94" s="55"/>
      <c r="G94" s="55"/>
      <c r="H94" s="55" t="s">
        <v>90</v>
      </c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 t="s">
        <v>90</v>
      </c>
      <c r="V94" s="55"/>
      <c r="W94" s="55"/>
      <c r="X94" s="55"/>
      <c r="Y94" s="55"/>
      <c r="Z94" s="55"/>
      <c r="AA94" s="55"/>
      <c r="AB94" s="55"/>
      <c r="AC94" s="55"/>
      <c r="AD94" s="55"/>
    </row>
    <row r="95" ht="16.5" customHeight="1" spans="2:30">
      <c r="B95" s="55" t="s">
        <v>12</v>
      </c>
      <c r="C95" s="55"/>
      <c r="D95" s="55"/>
      <c r="E95" s="55"/>
      <c r="F95" s="55"/>
      <c r="G95" s="55"/>
      <c r="H95" s="55" t="s">
        <v>87</v>
      </c>
      <c r="I95" s="55"/>
      <c r="J95" s="55"/>
      <c r="K95" s="55"/>
      <c r="L95" s="55"/>
      <c r="M95" s="55" t="s">
        <v>91</v>
      </c>
      <c r="N95" s="55"/>
      <c r="O95" s="55"/>
      <c r="P95" s="55"/>
      <c r="Q95" s="55" t="s">
        <v>92</v>
      </c>
      <c r="R95" s="55"/>
      <c r="S95" s="55"/>
      <c r="T95" s="55"/>
      <c r="U95" s="55" t="s">
        <v>87</v>
      </c>
      <c r="V95" s="55"/>
      <c r="W95" s="55"/>
      <c r="X95" s="55"/>
      <c r="Y95" s="55" t="s">
        <v>93</v>
      </c>
      <c r="Z95" s="55"/>
      <c r="AA95" s="55"/>
      <c r="AB95" s="55"/>
      <c r="AC95" s="55"/>
      <c r="AD95" s="55"/>
    </row>
    <row r="96" ht="16.5" customHeight="1" spans="2:30">
      <c r="B96" s="55"/>
      <c r="C96" s="55"/>
      <c r="D96" s="55"/>
      <c r="E96" s="55"/>
      <c r="F96" s="55"/>
      <c r="G96" s="55"/>
      <c r="H96" s="55" t="s">
        <v>90</v>
      </c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 t="s">
        <v>90</v>
      </c>
      <c r="V96" s="55"/>
      <c r="W96" s="55"/>
      <c r="X96" s="55"/>
      <c r="Y96" s="55"/>
      <c r="Z96" s="55"/>
      <c r="AA96" s="55"/>
      <c r="AB96" s="55"/>
      <c r="AC96" s="55"/>
      <c r="AD96" s="55"/>
    </row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 spans="2:30">
      <c r="B104" s="55" t="s">
        <v>1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ht="16.5" customHeight="1" spans="2:30"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ht="16.5" customHeight="1" spans="2:30">
      <c r="B106" s="55" t="s">
        <v>0</v>
      </c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ht="16.5" customHeight="1" spans="2:30"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ht="16.5" customHeight="1" spans="2:30">
      <c r="B108" s="170" t="s">
        <v>94</v>
      </c>
      <c r="C108" s="170"/>
      <c r="D108" s="170"/>
      <c r="E108" s="170"/>
      <c r="F108" s="170"/>
      <c r="G108" s="170"/>
      <c r="H108" s="170"/>
      <c r="I108" s="170"/>
      <c r="J108" s="170"/>
      <c r="K108" s="66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91"/>
    </row>
    <row r="109" ht="16.5" customHeight="1" spans="2:30">
      <c r="B109" s="170"/>
      <c r="C109" s="170"/>
      <c r="D109" s="170"/>
      <c r="E109" s="170"/>
      <c r="F109" s="170"/>
      <c r="G109" s="170"/>
      <c r="H109" s="170"/>
      <c r="I109" s="170"/>
      <c r="J109" s="170"/>
      <c r="K109" s="6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89"/>
    </row>
    <row r="110" ht="16.5" customHeight="1" spans="2:30">
      <c r="B110" s="66" t="s">
        <v>3</v>
      </c>
      <c r="C110" s="104"/>
      <c r="D110" s="104"/>
      <c r="E110" s="104"/>
      <c r="F110" s="104"/>
      <c r="G110" s="104"/>
      <c r="H110" s="104"/>
      <c r="I110" s="104"/>
      <c r="J110" s="91"/>
      <c r="K110" s="180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6"/>
    </row>
    <row r="111" ht="16.5" customHeight="1" spans="2:30">
      <c r="B111" s="64"/>
      <c r="C111" s="174"/>
      <c r="D111" s="174"/>
      <c r="E111" s="174"/>
      <c r="F111" s="174"/>
      <c r="G111" s="174"/>
      <c r="H111" s="174"/>
      <c r="I111" s="174"/>
      <c r="J111" s="89"/>
      <c r="K111" s="182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9"/>
    </row>
    <row r="112" ht="16.5" customHeight="1" spans="2:30">
      <c r="B112" s="55" t="s">
        <v>95</v>
      </c>
      <c r="C112" s="55"/>
      <c r="D112" s="55"/>
      <c r="E112" s="55"/>
      <c r="F112" s="55"/>
      <c r="G112" s="55"/>
      <c r="H112" s="55"/>
      <c r="I112" s="55"/>
      <c r="J112" s="55"/>
      <c r="K112" s="56" t="s">
        <v>96</v>
      </c>
      <c r="L112" s="79"/>
      <c r="M112" s="79"/>
      <c r="N112" s="79"/>
      <c r="O112" s="79"/>
      <c r="P112" s="80"/>
      <c r="Q112" s="56" t="s">
        <v>97</v>
      </c>
      <c r="R112" s="79"/>
      <c r="S112" s="79"/>
      <c r="T112" s="79"/>
      <c r="U112" s="79"/>
      <c r="V112" s="80"/>
      <c r="W112" s="56" t="s">
        <v>98</v>
      </c>
      <c r="X112" s="79"/>
      <c r="Y112" s="79"/>
      <c r="Z112" s="79"/>
      <c r="AA112" s="79"/>
      <c r="AB112" s="80"/>
      <c r="AC112" s="66"/>
      <c r="AD112" s="91"/>
    </row>
    <row r="113" ht="16.5" customHeight="1" spans="2:30">
      <c r="B113" s="55"/>
      <c r="C113" s="55"/>
      <c r="D113" s="55"/>
      <c r="E113" s="55"/>
      <c r="F113" s="55"/>
      <c r="G113" s="55"/>
      <c r="H113" s="55"/>
      <c r="I113" s="55"/>
      <c r="J113" s="55"/>
      <c r="K113" s="56"/>
      <c r="L113" s="79"/>
      <c r="M113" s="79"/>
      <c r="N113" s="79"/>
      <c r="O113" s="79"/>
      <c r="P113" s="80"/>
      <c r="Q113" s="66"/>
      <c r="R113" s="104"/>
      <c r="S113" s="104"/>
      <c r="T113" s="104"/>
      <c r="U113" s="104"/>
      <c r="V113" s="91"/>
      <c r="W113" s="66"/>
      <c r="X113" s="104"/>
      <c r="Y113" s="104"/>
      <c r="Z113" s="104"/>
      <c r="AA113" s="104"/>
      <c r="AB113" s="91"/>
      <c r="AC113" s="172"/>
      <c r="AD113" s="177"/>
    </row>
    <row r="114" ht="16.5" customHeight="1" spans="2:30">
      <c r="B114" s="55" t="s">
        <v>16</v>
      </c>
      <c r="C114" s="55"/>
      <c r="D114" s="55"/>
      <c r="E114" s="55"/>
      <c r="F114" s="55"/>
      <c r="G114" s="55"/>
      <c r="H114" s="55"/>
      <c r="I114" s="55"/>
      <c r="J114" s="55"/>
      <c r="K114" s="66"/>
      <c r="L114" s="104"/>
      <c r="M114" s="104"/>
      <c r="N114" s="104"/>
      <c r="O114" s="104"/>
      <c r="P114" s="91"/>
      <c r="Q114" s="66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91"/>
    </row>
    <row r="115" ht="16.5" customHeight="1" spans="2:30">
      <c r="B115" s="55"/>
      <c r="C115" s="55"/>
      <c r="D115" s="55"/>
      <c r="E115" s="55"/>
      <c r="F115" s="55"/>
      <c r="G115" s="55"/>
      <c r="H115" s="55"/>
      <c r="I115" s="55"/>
      <c r="J115" s="55"/>
      <c r="K115" s="64"/>
      <c r="L115" s="174"/>
      <c r="M115" s="174"/>
      <c r="N115" s="174"/>
      <c r="O115" s="174"/>
      <c r="P115" s="89"/>
      <c r="Q115" s="6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89"/>
    </row>
    <row r="116" ht="16.5" customHeight="1" spans="2:30">
      <c r="B116" s="104" t="s">
        <v>99</v>
      </c>
      <c r="C116" s="104"/>
      <c r="D116" s="104"/>
      <c r="E116" s="104"/>
      <c r="F116" s="104"/>
      <c r="G116" s="104"/>
      <c r="H116" s="104"/>
      <c r="I116" s="104"/>
      <c r="J116" s="104"/>
      <c r="K116" s="183"/>
      <c r="AD116" s="178"/>
    </row>
    <row r="117" ht="16.5" customHeight="1" spans="2:30">
      <c r="B117" s="170"/>
      <c r="C117" s="170"/>
      <c r="D117" s="170"/>
      <c r="E117" s="170"/>
      <c r="F117" s="170"/>
      <c r="G117" s="170"/>
      <c r="H117" s="170"/>
      <c r="I117" s="170"/>
      <c r="J117" s="170"/>
      <c r="K117" s="183"/>
      <c r="AD117" s="178"/>
    </row>
    <row r="118" ht="16.5" customHeight="1" spans="2:30">
      <c r="B118" s="170"/>
      <c r="C118" s="170"/>
      <c r="D118" s="170"/>
      <c r="E118" s="170"/>
      <c r="F118" s="170"/>
      <c r="G118" s="170"/>
      <c r="H118" s="170"/>
      <c r="I118" s="170"/>
      <c r="J118" s="170"/>
      <c r="K118" s="183"/>
      <c r="AD118" s="178"/>
    </row>
    <row r="119" ht="16.5" customHeight="1" spans="2:30">
      <c r="B119" s="170"/>
      <c r="C119" s="170"/>
      <c r="D119" s="170"/>
      <c r="E119" s="170"/>
      <c r="F119" s="170"/>
      <c r="G119" s="170"/>
      <c r="H119" s="170"/>
      <c r="I119" s="170"/>
      <c r="J119" s="170"/>
      <c r="K119" s="183"/>
      <c r="AD119" s="178"/>
    </row>
    <row r="120" ht="16.5" customHeight="1" spans="2:30">
      <c r="B120" s="170"/>
      <c r="C120" s="170"/>
      <c r="D120" s="170"/>
      <c r="E120" s="170"/>
      <c r="F120" s="170"/>
      <c r="G120" s="170"/>
      <c r="H120" s="170"/>
      <c r="I120" s="170"/>
      <c r="J120" s="170"/>
      <c r="K120" s="183"/>
      <c r="AD120" s="178"/>
    </row>
    <row r="121" ht="16.5" customHeight="1" spans="2:30">
      <c r="B121" s="170"/>
      <c r="C121" s="170"/>
      <c r="D121" s="170"/>
      <c r="E121" s="170"/>
      <c r="F121" s="170"/>
      <c r="G121" s="170"/>
      <c r="H121" s="170"/>
      <c r="I121" s="170"/>
      <c r="J121" s="170"/>
      <c r="K121" s="183"/>
      <c r="AD121" s="178"/>
    </row>
    <row r="122" ht="16.5" customHeight="1" spans="2:30">
      <c r="B122" s="170"/>
      <c r="C122" s="170"/>
      <c r="D122" s="170"/>
      <c r="E122" s="170"/>
      <c r="F122" s="170"/>
      <c r="G122" s="170"/>
      <c r="H122" s="170"/>
      <c r="I122" s="170"/>
      <c r="J122" s="170"/>
      <c r="K122" s="183"/>
      <c r="AD122" s="178"/>
    </row>
    <row r="123" ht="16.5" customHeight="1" spans="2:30">
      <c r="B123" s="170"/>
      <c r="C123" s="170"/>
      <c r="D123" s="170"/>
      <c r="E123" s="170"/>
      <c r="F123" s="170"/>
      <c r="G123" s="170"/>
      <c r="H123" s="170"/>
      <c r="I123" s="170"/>
      <c r="J123" s="170"/>
      <c r="K123" s="183"/>
      <c r="AD123" s="178"/>
    </row>
    <row r="124" ht="16.5" customHeight="1" spans="2:30">
      <c r="B124" s="170"/>
      <c r="C124" s="170"/>
      <c r="D124" s="170"/>
      <c r="E124" s="170"/>
      <c r="F124" s="170"/>
      <c r="G124" s="170"/>
      <c r="H124" s="170"/>
      <c r="I124" s="170"/>
      <c r="J124" s="170"/>
      <c r="K124" s="183"/>
      <c r="AD124" s="178"/>
    </row>
    <row r="125" ht="16.5" customHeight="1" spans="2:30">
      <c r="B125" s="170"/>
      <c r="C125" s="170"/>
      <c r="D125" s="170"/>
      <c r="E125" s="170"/>
      <c r="F125" s="170"/>
      <c r="G125" s="170"/>
      <c r="H125" s="170"/>
      <c r="I125" s="170"/>
      <c r="J125" s="170"/>
      <c r="K125" s="183"/>
      <c r="AD125" s="178"/>
    </row>
    <row r="126" ht="16.5" customHeight="1" spans="2:30">
      <c r="B126" s="170"/>
      <c r="C126" s="170"/>
      <c r="D126" s="170"/>
      <c r="E126" s="170"/>
      <c r="F126" s="170"/>
      <c r="G126" s="170"/>
      <c r="H126" s="170"/>
      <c r="I126" s="170"/>
      <c r="J126" s="170"/>
      <c r="K126" s="183"/>
      <c r="AD126" s="178"/>
    </row>
    <row r="127" ht="16.5" customHeight="1" spans="2:30">
      <c r="B127" s="170"/>
      <c r="C127" s="170"/>
      <c r="D127" s="170"/>
      <c r="E127" s="170"/>
      <c r="F127" s="170"/>
      <c r="G127" s="170"/>
      <c r="H127" s="170"/>
      <c r="I127" s="170"/>
      <c r="J127" s="170"/>
      <c r="K127" s="183"/>
      <c r="AD127" s="178"/>
    </row>
    <row r="128" ht="16.5" customHeight="1" spans="2:30">
      <c r="B128" s="170"/>
      <c r="C128" s="170"/>
      <c r="D128" s="170"/>
      <c r="E128" s="170"/>
      <c r="F128" s="170"/>
      <c r="G128" s="170"/>
      <c r="H128" s="170"/>
      <c r="I128" s="170"/>
      <c r="J128" s="170"/>
      <c r="K128" s="183"/>
      <c r="AD128" s="178"/>
    </row>
    <row r="129" ht="16.5" customHeight="1" spans="2:30">
      <c r="B129" s="170"/>
      <c r="C129" s="170"/>
      <c r="D129" s="170"/>
      <c r="E129" s="170"/>
      <c r="F129" s="170"/>
      <c r="G129" s="170"/>
      <c r="H129" s="170"/>
      <c r="I129" s="170"/>
      <c r="J129" s="170"/>
      <c r="K129" s="183"/>
      <c r="AD129" s="178"/>
    </row>
    <row r="130" ht="16.5" customHeight="1" spans="2:30">
      <c r="B130" s="170"/>
      <c r="C130" s="170"/>
      <c r="D130" s="170"/>
      <c r="E130" s="170"/>
      <c r="F130" s="170"/>
      <c r="G130" s="170"/>
      <c r="H130" s="170"/>
      <c r="I130" s="170"/>
      <c r="J130" s="170"/>
      <c r="K130" s="183"/>
      <c r="AD130" s="178"/>
    </row>
    <row r="131" ht="16.5" customHeight="1" spans="2:30">
      <c r="B131" s="170"/>
      <c r="C131" s="170"/>
      <c r="D131" s="170"/>
      <c r="E131" s="170"/>
      <c r="F131" s="170"/>
      <c r="G131" s="170"/>
      <c r="H131" s="170"/>
      <c r="I131" s="170"/>
      <c r="J131" s="170"/>
      <c r="K131" s="183"/>
      <c r="AD131" s="178"/>
    </row>
    <row r="132" ht="16.5" customHeight="1" spans="2:30">
      <c r="B132" s="170"/>
      <c r="C132" s="170"/>
      <c r="D132" s="170"/>
      <c r="E132" s="170"/>
      <c r="F132" s="170"/>
      <c r="G132" s="170"/>
      <c r="H132" s="170"/>
      <c r="I132" s="170"/>
      <c r="J132" s="170"/>
      <c r="K132" s="183"/>
      <c r="AD132" s="178"/>
    </row>
    <row r="133" ht="16.5" customHeight="1" spans="2:30">
      <c r="B133" s="170"/>
      <c r="C133" s="170"/>
      <c r="D133" s="170"/>
      <c r="E133" s="170"/>
      <c r="F133" s="170"/>
      <c r="G133" s="170"/>
      <c r="H133" s="170"/>
      <c r="I133" s="170"/>
      <c r="J133" s="170"/>
      <c r="K133" s="183"/>
      <c r="AD133" s="178"/>
    </row>
    <row r="134" ht="16.5" customHeight="1" spans="2:30">
      <c r="B134" s="170"/>
      <c r="C134" s="170"/>
      <c r="D134" s="170"/>
      <c r="E134" s="170"/>
      <c r="F134" s="170"/>
      <c r="G134" s="170"/>
      <c r="H134" s="170"/>
      <c r="I134" s="170"/>
      <c r="J134" s="170"/>
      <c r="K134" s="182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9"/>
    </row>
    <row r="135" ht="16.5" customHeight="1" spans="2:30">
      <c r="B135" s="187" t="s">
        <v>100</v>
      </c>
      <c r="C135" s="187"/>
      <c r="D135" s="187"/>
      <c r="E135" s="187"/>
      <c r="F135" s="187"/>
      <c r="G135" s="187"/>
      <c r="H135" s="187"/>
      <c r="I135" s="187"/>
      <c r="J135" s="187"/>
      <c r="K135" s="180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6"/>
    </row>
    <row r="136" ht="16.5" customHeight="1" spans="2:30">
      <c r="B136" s="187"/>
      <c r="C136" s="187"/>
      <c r="D136" s="187"/>
      <c r="E136" s="187"/>
      <c r="F136" s="187"/>
      <c r="G136" s="187"/>
      <c r="H136" s="187"/>
      <c r="I136" s="187"/>
      <c r="J136" s="187"/>
      <c r="K136" s="182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9"/>
    </row>
    <row r="137" ht="16.5" customHeight="1" spans="2:30">
      <c r="B137" s="187" t="s">
        <v>101</v>
      </c>
      <c r="C137" s="187"/>
      <c r="D137" s="187"/>
      <c r="E137" s="187"/>
      <c r="F137" s="187"/>
      <c r="G137" s="187"/>
      <c r="H137" s="187"/>
      <c r="I137" s="187"/>
      <c r="J137" s="187"/>
      <c r="K137" s="180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6"/>
    </row>
    <row r="138" ht="16.5" customHeight="1" spans="2:30">
      <c r="B138" s="187"/>
      <c r="C138" s="187"/>
      <c r="D138" s="187"/>
      <c r="E138" s="187"/>
      <c r="F138" s="187"/>
      <c r="G138" s="187"/>
      <c r="H138" s="187"/>
      <c r="I138" s="187"/>
      <c r="J138" s="187"/>
      <c r="K138" s="182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9"/>
    </row>
    <row r="139" ht="16.5" customHeight="1" spans="2:30">
      <c r="B139" s="188" t="s">
        <v>102</v>
      </c>
      <c r="C139" s="189"/>
      <c r="D139" s="189"/>
      <c r="E139" s="189"/>
      <c r="F139" s="189"/>
      <c r="G139" s="189"/>
      <c r="H139" s="189"/>
      <c r="I139" s="189"/>
      <c r="J139" s="194"/>
      <c r="K139" s="180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6"/>
    </row>
    <row r="140" ht="16.5" customHeight="1" spans="2:30">
      <c r="B140" s="190"/>
      <c r="C140" s="191"/>
      <c r="D140" s="191"/>
      <c r="E140" s="191"/>
      <c r="F140" s="191"/>
      <c r="G140" s="191"/>
      <c r="H140" s="191"/>
      <c r="I140" s="191"/>
      <c r="J140" s="195"/>
      <c r="K140" s="183"/>
      <c r="AD140" s="178"/>
    </row>
    <row r="141" ht="16.5" customHeight="1" spans="2:30">
      <c r="B141" s="190"/>
      <c r="C141" s="191"/>
      <c r="D141" s="191"/>
      <c r="E141" s="191"/>
      <c r="F141" s="191"/>
      <c r="G141" s="191"/>
      <c r="H141" s="191"/>
      <c r="I141" s="191"/>
      <c r="J141" s="195"/>
      <c r="K141" s="183"/>
      <c r="AD141" s="178"/>
    </row>
    <row r="142" ht="16.5" customHeight="1" spans="2:30">
      <c r="B142" s="190"/>
      <c r="C142" s="191"/>
      <c r="D142" s="191"/>
      <c r="E142" s="191"/>
      <c r="F142" s="191"/>
      <c r="G142" s="191"/>
      <c r="H142" s="191"/>
      <c r="I142" s="191"/>
      <c r="J142" s="195"/>
      <c r="K142" s="183"/>
      <c r="AD142" s="178"/>
    </row>
    <row r="143" ht="16.5" customHeight="1" spans="2:30">
      <c r="B143" s="192"/>
      <c r="C143" s="193"/>
      <c r="D143" s="193"/>
      <c r="E143" s="193"/>
      <c r="F143" s="193"/>
      <c r="G143" s="193"/>
      <c r="H143" s="193"/>
      <c r="I143" s="193"/>
      <c r="J143" s="196"/>
      <c r="K143" s="182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9"/>
    </row>
    <row r="144" ht="16.5" customHeight="1" spans="2:30">
      <c r="B144" s="188" t="s">
        <v>103</v>
      </c>
      <c r="C144" s="189"/>
      <c r="D144" s="189"/>
      <c r="E144" s="189"/>
      <c r="F144" s="189"/>
      <c r="G144" s="189"/>
      <c r="H144" s="189"/>
      <c r="I144" s="189"/>
      <c r="J144" s="194"/>
      <c r="K144" s="180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6"/>
    </row>
    <row r="145" ht="16.5" customHeight="1" spans="2:30">
      <c r="B145" s="190"/>
      <c r="C145" s="191"/>
      <c r="D145" s="191"/>
      <c r="E145" s="191"/>
      <c r="F145" s="191"/>
      <c r="G145" s="191"/>
      <c r="H145" s="191"/>
      <c r="I145" s="191"/>
      <c r="J145" s="195"/>
      <c r="K145" s="183"/>
      <c r="AD145" s="178"/>
    </row>
    <row r="146" ht="16.5" customHeight="1" spans="2:30">
      <c r="B146" s="192"/>
      <c r="C146" s="193"/>
      <c r="D146" s="193"/>
      <c r="E146" s="193"/>
      <c r="F146" s="193"/>
      <c r="G146" s="193"/>
      <c r="H146" s="193"/>
      <c r="I146" s="193"/>
      <c r="J146" s="196"/>
      <c r="K146" s="182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9"/>
    </row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</sheetData>
  <mergeCells count="1255">
    <mergeCell ref="B1:F1"/>
    <mergeCell ref="G1:J1"/>
    <mergeCell ref="L1:T1"/>
    <mergeCell ref="W1:AD1"/>
    <mergeCell ref="AF1:AO1"/>
    <mergeCell ref="AP1:AS1"/>
    <mergeCell ref="AT1:BA1"/>
    <mergeCell ref="BB1:BC1"/>
    <mergeCell ref="BD1:BF1"/>
    <mergeCell ref="BH1:BJ1"/>
    <mergeCell ref="BL1:BN1"/>
    <mergeCell ref="BO1:BQ1"/>
    <mergeCell ref="CB1:CD1"/>
    <mergeCell ref="L2:T2"/>
    <mergeCell ref="W2:AD2"/>
    <mergeCell ref="BB2:BC2"/>
    <mergeCell ref="BD2:BF2"/>
    <mergeCell ref="BL2:BN2"/>
    <mergeCell ref="BO2:BQ2"/>
    <mergeCell ref="L3:T3"/>
    <mergeCell ref="W3:AD3"/>
    <mergeCell ref="BB3:BC3"/>
    <mergeCell ref="BD3:BF3"/>
    <mergeCell ref="C4:G4"/>
    <mergeCell ref="K4:L4"/>
    <mergeCell ref="M4:O4"/>
    <mergeCell ref="R4:V4"/>
    <mergeCell ref="Z4:AA4"/>
    <mergeCell ref="AB4:AD4"/>
    <mergeCell ref="AF4:AH4"/>
    <mergeCell ref="AI4:AK4"/>
    <mergeCell ref="AL4:AM4"/>
    <mergeCell ref="AN4:AP4"/>
    <mergeCell ref="AV4:AX4"/>
    <mergeCell ref="AY4:BA4"/>
    <mergeCell ref="BB4:BC4"/>
    <mergeCell ref="BD4:BE4"/>
    <mergeCell ref="BT4:BX4"/>
    <mergeCell ref="CB4:CF4"/>
    <mergeCell ref="CI4:CM4"/>
    <mergeCell ref="CQ4:CR4"/>
    <mergeCell ref="CS4:CU4"/>
    <mergeCell ref="C5:G5"/>
    <mergeCell ref="H5:I5"/>
    <mergeCell ref="K5:L5"/>
    <mergeCell ref="M5:O5"/>
    <mergeCell ref="R5:V5"/>
    <mergeCell ref="W5:X5"/>
    <mergeCell ref="Z5:AA5"/>
    <mergeCell ref="AB5:AD5"/>
    <mergeCell ref="AF5:AH5"/>
    <mergeCell ref="AI5:AK5"/>
    <mergeCell ref="AL5:AM5"/>
    <mergeCell ref="AN5:AP5"/>
    <mergeCell ref="AQ5:AU5"/>
    <mergeCell ref="AV5:AW5"/>
    <mergeCell ref="AY5:AZ5"/>
    <mergeCell ref="BB5:BC5"/>
    <mergeCell ref="BD5:BE5"/>
    <mergeCell ref="BG5:BK5"/>
    <mergeCell ref="BY5:BZ5"/>
    <mergeCell ref="CB5:CF5"/>
    <mergeCell ref="CI5:CM5"/>
    <mergeCell ref="CN5:CO5"/>
    <mergeCell ref="CQ5:CR5"/>
    <mergeCell ref="CS5:CU5"/>
    <mergeCell ref="C6:G6"/>
    <mergeCell ref="H6:I6"/>
    <mergeCell ref="K6:L6"/>
    <mergeCell ref="M6:O6"/>
    <mergeCell ref="R6:V6"/>
    <mergeCell ref="W6:X6"/>
    <mergeCell ref="Z6:AA6"/>
    <mergeCell ref="AB6:AD6"/>
    <mergeCell ref="AF6:AH6"/>
    <mergeCell ref="AI6:AK6"/>
    <mergeCell ref="AL6:AM6"/>
    <mergeCell ref="AN6:AP6"/>
    <mergeCell ref="AQ6:AU6"/>
    <mergeCell ref="AV6:AW6"/>
    <mergeCell ref="AY6:AZ6"/>
    <mergeCell ref="BB6:BC6"/>
    <mergeCell ref="BD6:BE6"/>
    <mergeCell ref="BG6:BK6"/>
    <mergeCell ref="BY6:BZ6"/>
    <mergeCell ref="CB6:CF6"/>
    <mergeCell ref="CI6:CM6"/>
    <mergeCell ref="CN6:CO6"/>
    <mergeCell ref="CQ6:CR6"/>
    <mergeCell ref="CS6:CU6"/>
    <mergeCell ref="C7:G7"/>
    <mergeCell ref="H7:I7"/>
    <mergeCell ref="K7:L7"/>
    <mergeCell ref="M7:O7"/>
    <mergeCell ref="R7:V7"/>
    <mergeCell ref="W7:X7"/>
    <mergeCell ref="Z7:AA7"/>
    <mergeCell ref="AB7:AD7"/>
    <mergeCell ref="AF7:AH7"/>
    <mergeCell ref="AI7:AK7"/>
    <mergeCell ref="AL7:AM7"/>
    <mergeCell ref="AN7:AP7"/>
    <mergeCell ref="AQ7:AU7"/>
    <mergeCell ref="AV7:AW7"/>
    <mergeCell ref="AY7:AZ7"/>
    <mergeCell ref="BB7:BC7"/>
    <mergeCell ref="BD7:BE7"/>
    <mergeCell ref="BG7:BK7"/>
    <mergeCell ref="BT7:BX7"/>
    <mergeCell ref="BY7:BZ7"/>
    <mergeCell ref="CB7:CF7"/>
    <mergeCell ref="CI7:CM7"/>
    <mergeCell ref="CN7:CO7"/>
    <mergeCell ref="CQ7:CR7"/>
    <mergeCell ref="CS7:CU7"/>
    <mergeCell ref="C8:G8"/>
    <mergeCell ref="H8:I8"/>
    <mergeCell ref="K8:L8"/>
    <mergeCell ref="M8:O8"/>
    <mergeCell ref="R8:V8"/>
    <mergeCell ref="W8:X8"/>
    <mergeCell ref="Z8:AA8"/>
    <mergeCell ref="AB8:AD8"/>
    <mergeCell ref="AF8:AH8"/>
    <mergeCell ref="AI8:AK8"/>
    <mergeCell ref="AL8:AM8"/>
    <mergeCell ref="AN8:AP8"/>
    <mergeCell ref="AQ8:AU8"/>
    <mergeCell ref="AV8:AW8"/>
    <mergeCell ref="AY8:AZ8"/>
    <mergeCell ref="BB8:BC8"/>
    <mergeCell ref="BD8:BE8"/>
    <mergeCell ref="BG8:BK8"/>
    <mergeCell ref="BT8:BX8"/>
    <mergeCell ref="BY8:BZ8"/>
    <mergeCell ref="CB8:CF8"/>
    <mergeCell ref="CI8:CM8"/>
    <mergeCell ref="CN8:CO8"/>
    <mergeCell ref="CQ8:CR8"/>
    <mergeCell ref="CS8:CU8"/>
    <mergeCell ref="C9:G9"/>
    <mergeCell ref="H9:I9"/>
    <mergeCell ref="K9:L9"/>
    <mergeCell ref="M9:O9"/>
    <mergeCell ref="R9:V9"/>
    <mergeCell ref="W9:X9"/>
    <mergeCell ref="Z9:AA9"/>
    <mergeCell ref="AB9:AD9"/>
    <mergeCell ref="AF9:AH9"/>
    <mergeCell ref="AI9:AK9"/>
    <mergeCell ref="AL9:AM9"/>
    <mergeCell ref="AN9:AP9"/>
    <mergeCell ref="AQ9:AU9"/>
    <mergeCell ref="AV9:AW9"/>
    <mergeCell ref="AY9:AZ9"/>
    <mergeCell ref="BB9:BC9"/>
    <mergeCell ref="BD9:BE9"/>
    <mergeCell ref="BG9:BK9"/>
    <mergeCell ref="BT9:BX9"/>
    <mergeCell ref="BY9:BZ9"/>
    <mergeCell ref="CB9:CF9"/>
    <mergeCell ref="CI9:CM9"/>
    <mergeCell ref="CN9:CO9"/>
    <mergeCell ref="CQ9:CR9"/>
    <mergeCell ref="CS9:CU9"/>
    <mergeCell ref="C10:G10"/>
    <mergeCell ref="H10:I10"/>
    <mergeCell ref="K10:L10"/>
    <mergeCell ref="M10:O10"/>
    <mergeCell ref="R10:V10"/>
    <mergeCell ref="W10:X10"/>
    <mergeCell ref="Z10:AA10"/>
    <mergeCell ref="AB10:AD10"/>
    <mergeCell ref="AF10:AH10"/>
    <mergeCell ref="AI10:AK10"/>
    <mergeCell ref="AL10:AM10"/>
    <mergeCell ref="AN10:AP10"/>
    <mergeCell ref="AQ10:AU10"/>
    <mergeCell ref="AV10:AW10"/>
    <mergeCell ref="AY10:AZ10"/>
    <mergeCell ref="BB10:BC10"/>
    <mergeCell ref="BD10:BE10"/>
    <mergeCell ref="BG10:BK10"/>
    <mergeCell ref="BT10:BX10"/>
    <mergeCell ref="BY10:BZ10"/>
    <mergeCell ref="CB10:CF10"/>
    <mergeCell ref="CI10:CM10"/>
    <mergeCell ref="CN10:CO10"/>
    <mergeCell ref="CQ10:CR10"/>
    <mergeCell ref="CS10:CU10"/>
    <mergeCell ref="C11:G11"/>
    <mergeCell ref="H11:I11"/>
    <mergeCell ref="K11:L11"/>
    <mergeCell ref="M11:O11"/>
    <mergeCell ref="R11:V11"/>
    <mergeCell ref="W11:X11"/>
    <mergeCell ref="Z11:AA11"/>
    <mergeCell ref="AB11:AD11"/>
    <mergeCell ref="AF11:AH11"/>
    <mergeCell ref="AI11:AK11"/>
    <mergeCell ref="AL11:AM11"/>
    <mergeCell ref="AN11:AP11"/>
    <mergeCell ref="AQ11:AU11"/>
    <mergeCell ref="AV11:AW11"/>
    <mergeCell ref="AY11:AZ11"/>
    <mergeCell ref="BB11:BC11"/>
    <mergeCell ref="BD11:BE11"/>
    <mergeCell ref="BG11:BK11"/>
    <mergeCell ref="BT11:BX11"/>
    <mergeCell ref="BY11:BZ11"/>
    <mergeCell ref="CB11:CF11"/>
    <mergeCell ref="CI11:CM11"/>
    <mergeCell ref="CN11:CO11"/>
    <mergeCell ref="CQ11:CR11"/>
    <mergeCell ref="CS11:CU11"/>
    <mergeCell ref="C12:G12"/>
    <mergeCell ref="H12:I12"/>
    <mergeCell ref="K12:L12"/>
    <mergeCell ref="M12:O12"/>
    <mergeCell ref="R12:V12"/>
    <mergeCell ref="W12:X12"/>
    <mergeCell ref="Z12:AA12"/>
    <mergeCell ref="AB12:AD12"/>
    <mergeCell ref="AF12:AH12"/>
    <mergeCell ref="AI12:AK12"/>
    <mergeCell ref="AL12:AM12"/>
    <mergeCell ref="AN12:AP12"/>
    <mergeCell ref="AQ12:AU12"/>
    <mergeCell ref="AV12:AW12"/>
    <mergeCell ref="AY12:AZ12"/>
    <mergeCell ref="BB12:BC12"/>
    <mergeCell ref="BD12:BE12"/>
    <mergeCell ref="BG12:BK12"/>
    <mergeCell ref="BT12:BX12"/>
    <mergeCell ref="BY12:BZ12"/>
    <mergeCell ref="CB12:CF12"/>
    <mergeCell ref="CI12:CM12"/>
    <mergeCell ref="CN12:CO12"/>
    <mergeCell ref="CQ12:CR12"/>
    <mergeCell ref="CS12:CU12"/>
    <mergeCell ref="C13:G13"/>
    <mergeCell ref="H13:I13"/>
    <mergeCell ref="K13:L13"/>
    <mergeCell ref="M13:O13"/>
    <mergeCell ref="R13:V13"/>
    <mergeCell ref="W13:X13"/>
    <mergeCell ref="Z13:AA13"/>
    <mergeCell ref="AB13:AD13"/>
    <mergeCell ref="AF13:AH13"/>
    <mergeCell ref="AI13:AK13"/>
    <mergeCell ref="AL13:AM13"/>
    <mergeCell ref="AN13:AP13"/>
    <mergeCell ref="AQ13:AU13"/>
    <mergeCell ref="AV13:AW13"/>
    <mergeCell ref="AY13:AZ13"/>
    <mergeCell ref="BB13:BC13"/>
    <mergeCell ref="BD13:BE13"/>
    <mergeCell ref="BG13:BK13"/>
    <mergeCell ref="BT13:BX13"/>
    <mergeCell ref="BY13:BZ13"/>
    <mergeCell ref="CB13:CF13"/>
    <mergeCell ref="CI13:CM13"/>
    <mergeCell ref="CN13:CO13"/>
    <mergeCell ref="CQ13:CR13"/>
    <mergeCell ref="CS13:CU13"/>
    <mergeCell ref="C14:G14"/>
    <mergeCell ref="H14:I14"/>
    <mergeCell ref="K14:L14"/>
    <mergeCell ref="M14:O14"/>
    <mergeCell ref="R14:V14"/>
    <mergeCell ref="W14:X14"/>
    <mergeCell ref="Z14:AA14"/>
    <mergeCell ref="AB14:AD14"/>
    <mergeCell ref="AF14:AH14"/>
    <mergeCell ref="AI14:AK14"/>
    <mergeCell ref="AL14:AM14"/>
    <mergeCell ref="AN14:AP14"/>
    <mergeCell ref="AQ14:AU14"/>
    <mergeCell ref="AV14:AW14"/>
    <mergeCell ref="AY14:AZ14"/>
    <mergeCell ref="BB14:BC14"/>
    <mergeCell ref="BD14:BE14"/>
    <mergeCell ref="BG14:BK14"/>
    <mergeCell ref="BT14:BX14"/>
    <mergeCell ref="BY14:BZ14"/>
    <mergeCell ref="CB14:CF14"/>
    <mergeCell ref="CI14:CM14"/>
    <mergeCell ref="CN14:CO14"/>
    <mergeCell ref="CQ14:CR14"/>
    <mergeCell ref="CS14:CU14"/>
    <mergeCell ref="C15:G15"/>
    <mergeCell ref="H15:I15"/>
    <mergeCell ref="K15:L15"/>
    <mergeCell ref="M15:O15"/>
    <mergeCell ref="R15:V15"/>
    <mergeCell ref="W15:X15"/>
    <mergeCell ref="Z15:AA15"/>
    <mergeCell ref="AB15:AD15"/>
    <mergeCell ref="AF15:AH15"/>
    <mergeCell ref="AI15:AK15"/>
    <mergeCell ref="AL15:AM15"/>
    <mergeCell ref="AN15:AP15"/>
    <mergeCell ref="AQ15:AU15"/>
    <mergeCell ref="AV15:AW15"/>
    <mergeCell ref="AY15:AZ15"/>
    <mergeCell ref="BB15:BC15"/>
    <mergeCell ref="BD15:BE15"/>
    <mergeCell ref="BG15:BK15"/>
    <mergeCell ref="BT15:BX15"/>
    <mergeCell ref="BY15:BZ15"/>
    <mergeCell ref="CB15:CF15"/>
    <mergeCell ref="CI15:CM15"/>
    <mergeCell ref="CN15:CO15"/>
    <mergeCell ref="CQ15:CR15"/>
    <mergeCell ref="CS15:CU15"/>
    <mergeCell ref="C16:G16"/>
    <mergeCell ref="H16:I16"/>
    <mergeCell ref="K16:L16"/>
    <mergeCell ref="M16:O16"/>
    <mergeCell ref="R16:V16"/>
    <mergeCell ref="W16:X16"/>
    <mergeCell ref="Z16:AA16"/>
    <mergeCell ref="AB16:AD16"/>
    <mergeCell ref="AF16:AH16"/>
    <mergeCell ref="AI16:AK16"/>
    <mergeCell ref="AL16:AM16"/>
    <mergeCell ref="AN16:AP16"/>
    <mergeCell ref="AQ16:AU16"/>
    <mergeCell ref="AV16:AW16"/>
    <mergeCell ref="AY16:AZ16"/>
    <mergeCell ref="BB16:BC16"/>
    <mergeCell ref="BD16:BE16"/>
    <mergeCell ref="BG16:BK16"/>
    <mergeCell ref="BT16:BX16"/>
    <mergeCell ref="BY16:BZ16"/>
    <mergeCell ref="CB16:CF16"/>
    <mergeCell ref="CI16:CM16"/>
    <mergeCell ref="CN16:CO16"/>
    <mergeCell ref="CQ16:CR16"/>
    <mergeCell ref="CS16:CU16"/>
    <mergeCell ref="C17:G17"/>
    <mergeCell ref="H17:I17"/>
    <mergeCell ref="K17:L17"/>
    <mergeCell ref="M17:O17"/>
    <mergeCell ref="R17:V17"/>
    <mergeCell ref="W17:X17"/>
    <mergeCell ref="Z17:AA17"/>
    <mergeCell ref="AB17:AD17"/>
    <mergeCell ref="AF17:AH17"/>
    <mergeCell ref="AI17:AK17"/>
    <mergeCell ref="AL17:AM17"/>
    <mergeCell ref="AN17:AP17"/>
    <mergeCell ref="AQ17:AU17"/>
    <mergeCell ref="AV17:AW17"/>
    <mergeCell ref="AY17:AZ17"/>
    <mergeCell ref="BB17:BC17"/>
    <mergeCell ref="BD17:BE17"/>
    <mergeCell ref="BG17:BK17"/>
    <mergeCell ref="BT17:BX17"/>
    <mergeCell ref="BY17:BZ17"/>
    <mergeCell ref="CB17:CF17"/>
    <mergeCell ref="CI17:CM17"/>
    <mergeCell ref="CN17:CO17"/>
    <mergeCell ref="CQ17:CR17"/>
    <mergeCell ref="CS17:CU17"/>
    <mergeCell ref="C18:G18"/>
    <mergeCell ref="H18:I18"/>
    <mergeCell ref="K18:L18"/>
    <mergeCell ref="M18:O18"/>
    <mergeCell ref="R18:V18"/>
    <mergeCell ref="W18:X18"/>
    <mergeCell ref="Z18:AA18"/>
    <mergeCell ref="AB18:AD18"/>
    <mergeCell ref="AF18:AH18"/>
    <mergeCell ref="AI18:AK18"/>
    <mergeCell ref="AL18:AM18"/>
    <mergeCell ref="AN18:AP18"/>
    <mergeCell ref="AQ18:AU18"/>
    <mergeCell ref="AV18:AW18"/>
    <mergeCell ref="AY18:AZ18"/>
    <mergeCell ref="BB18:BC18"/>
    <mergeCell ref="BD18:BE18"/>
    <mergeCell ref="BG18:BK18"/>
    <mergeCell ref="BT18:BX18"/>
    <mergeCell ref="BY18:BZ18"/>
    <mergeCell ref="CB18:CF18"/>
    <mergeCell ref="CI18:CM18"/>
    <mergeCell ref="CN18:CO18"/>
    <mergeCell ref="CQ18:CR18"/>
    <mergeCell ref="CS18:CU18"/>
    <mergeCell ref="C19:G19"/>
    <mergeCell ref="H19:I19"/>
    <mergeCell ref="K19:L19"/>
    <mergeCell ref="M19:O19"/>
    <mergeCell ref="R19:V19"/>
    <mergeCell ref="W19:X19"/>
    <mergeCell ref="Z19:AA19"/>
    <mergeCell ref="AB19:AD19"/>
    <mergeCell ref="AF19:AH19"/>
    <mergeCell ref="AI19:AK19"/>
    <mergeCell ref="AL19:AM19"/>
    <mergeCell ref="AN19:AP19"/>
    <mergeCell ref="AQ19:AU19"/>
    <mergeCell ref="AV19:AW19"/>
    <mergeCell ref="AY19:AZ19"/>
    <mergeCell ref="BB19:BC19"/>
    <mergeCell ref="BD19:BE19"/>
    <mergeCell ref="BG19:BK19"/>
    <mergeCell ref="BT19:BX19"/>
    <mergeCell ref="BY19:BZ19"/>
    <mergeCell ref="CB19:CF19"/>
    <mergeCell ref="CI19:CM19"/>
    <mergeCell ref="CN19:CO19"/>
    <mergeCell ref="CQ19:CR19"/>
    <mergeCell ref="CS19:CU19"/>
    <mergeCell ref="C20:G20"/>
    <mergeCell ref="H20:I20"/>
    <mergeCell ref="K20:L20"/>
    <mergeCell ref="M20:O20"/>
    <mergeCell ref="R20:V20"/>
    <mergeCell ref="W20:X20"/>
    <mergeCell ref="Z20:AA20"/>
    <mergeCell ref="AB20:AD20"/>
    <mergeCell ref="AF20:AH20"/>
    <mergeCell ref="AI20:AK20"/>
    <mergeCell ref="AL20:AM20"/>
    <mergeCell ref="AN20:AP20"/>
    <mergeCell ref="AQ20:AU20"/>
    <mergeCell ref="AV20:AW20"/>
    <mergeCell ref="AY20:AZ20"/>
    <mergeCell ref="BB20:BC20"/>
    <mergeCell ref="BD20:BE20"/>
    <mergeCell ref="BG20:BK20"/>
    <mergeCell ref="BT20:BX20"/>
    <mergeCell ref="BY20:BZ20"/>
    <mergeCell ref="CB20:CF20"/>
    <mergeCell ref="CI20:CM20"/>
    <mergeCell ref="CN20:CO20"/>
    <mergeCell ref="CQ20:CR20"/>
    <mergeCell ref="CS20:CU20"/>
    <mergeCell ref="C21:G21"/>
    <mergeCell ref="H21:I21"/>
    <mergeCell ref="K21:L21"/>
    <mergeCell ref="M21:O21"/>
    <mergeCell ref="R21:V21"/>
    <mergeCell ref="W21:X21"/>
    <mergeCell ref="Z21:AA21"/>
    <mergeCell ref="AB21:AD21"/>
    <mergeCell ref="AF21:AH21"/>
    <mergeCell ref="AI21:AK21"/>
    <mergeCell ref="AL21:AM21"/>
    <mergeCell ref="AN21:AP21"/>
    <mergeCell ref="AQ21:AU21"/>
    <mergeCell ref="AV21:AW21"/>
    <mergeCell ref="AY21:AZ21"/>
    <mergeCell ref="BB21:BC21"/>
    <mergeCell ref="BD21:BE21"/>
    <mergeCell ref="BG21:BK21"/>
    <mergeCell ref="BT21:BX21"/>
    <mergeCell ref="BY21:BZ21"/>
    <mergeCell ref="CB21:CF21"/>
    <mergeCell ref="CI21:CM21"/>
    <mergeCell ref="CN21:CO21"/>
    <mergeCell ref="CQ21:CR21"/>
    <mergeCell ref="CS21:CU21"/>
    <mergeCell ref="C22:G22"/>
    <mergeCell ref="H22:I22"/>
    <mergeCell ref="K22:L22"/>
    <mergeCell ref="M22:O22"/>
    <mergeCell ref="R22:V22"/>
    <mergeCell ref="W22:X22"/>
    <mergeCell ref="Z22:AA22"/>
    <mergeCell ref="AB22:AD22"/>
    <mergeCell ref="AF22:AH22"/>
    <mergeCell ref="AI22:AK22"/>
    <mergeCell ref="AL22:AM22"/>
    <mergeCell ref="AN22:AP22"/>
    <mergeCell ref="AQ22:AU22"/>
    <mergeCell ref="AV22:AW22"/>
    <mergeCell ref="AY22:AZ22"/>
    <mergeCell ref="BB22:BC22"/>
    <mergeCell ref="BD22:BE22"/>
    <mergeCell ref="BG22:BK22"/>
    <mergeCell ref="BT22:BX22"/>
    <mergeCell ref="BY22:BZ22"/>
    <mergeCell ref="CB22:CF22"/>
    <mergeCell ref="CI22:CM22"/>
    <mergeCell ref="CN22:CO22"/>
    <mergeCell ref="CQ22:CR22"/>
    <mergeCell ref="CS22:CU22"/>
    <mergeCell ref="C23:G23"/>
    <mergeCell ref="H23:I23"/>
    <mergeCell ref="K23:L23"/>
    <mergeCell ref="M23:O23"/>
    <mergeCell ref="R23:V23"/>
    <mergeCell ref="W23:X23"/>
    <mergeCell ref="Z23:AA23"/>
    <mergeCell ref="AB23:AD23"/>
    <mergeCell ref="AF23:AH23"/>
    <mergeCell ref="AI23:AK23"/>
    <mergeCell ref="AL23:AM23"/>
    <mergeCell ref="AN23:AP23"/>
    <mergeCell ref="AQ23:AU23"/>
    <mergeCell ref="AV23:AW23"/>
    <mergeCell ref="AY23:AZ23"/>
    <mergeCell ref="BB23:BC23"/>
    <mergeCell ref="BD23:BE23"/>
    <mergeCell ref="BG23:BK23"/>
    <mergeCell ref="BT23:BX23"/>
    <mergeCell ref="BY23:BZ23"/>
    <mergeCell ref="CB23:CF23"/>
    <mergeCell ref="CI23:CM23"/>
    <mergeCell ref="CN23:CO23"/>
    <mergeCell ref="CQ23:CR23"/>
    <mergeCell ref="CS23:CU23"/>
    <mergeCell ref="C24:G24"/>
    <mergeCell ref="H24:I24"/>
    <mergeCell ref="K24:L24"/>
    <mergeCell ref="M24:O24"/>
    <mergeCell ref="R24:V24"/>
    <mergeCell ref="W24:X24"/>
    <mergeCell ref="Z24:AA24"/>
    <mergeCell ref="AB24:AD24"/>
    <mergeCell ref="AF24:AH24"/>
    <mergeCell ref="AI24:AK24"/>
    <mergeCell ref="AL24:AM24"/>
    <mergeCell ref="AN24:AP24"/>
    <mergeCell ref="AQ24:AU24"/>
    <mergeCell ref="AV24:AW24"/>
    <mergeCell ref="AY24:AZ24"/>
    <mergeCell ref="BB24:BC24"/>
    <mergeCell ref="BD24:BE24"/>
    <mergeCell ref="BG24:BK24"/>
    <mergeCell ref="BT24:BX24"/>
    <mergeCell ref="BY24:BZ24"/>
    <mergeCell ref="CB24:CF24"/>
    <mergeCell ref="CI24:CM24"/>
    <mergeCell ref="CN24:CO24"/>
    <mergeCell ref="CQ24:CR24"/>
    <mergeCell ref="CS24:CU24"/>
    <mergeCell ref="C25:G25"/>
    <mergeCell ref="H25:I25"/>
    <mergeCell ref="K25:L25"/>
    <mergeCell ref="M25:O25"/>
    <mergeCell ref="R25:V25"/>
    <mergeCell ref="W25:X25"/>
    <mergeCell ref="Z25:AA25"/>
    <mergeCell ref="AB25:AD25"/>
    <mergeCell ref="AF25:AH25"/>
    <mergeCell ref="AI25:AK25"/>
    <mergeCell ref="AL25:AM25"/>
    <mergeCell ref="AN25:AP25"/>
    <mergeCell ref="AQ25:AU25"/>
    <mergeCell ref="AV25:AW25"/>
    <mergeCell ref="AY25:AZ25"/>
    <mergeCell ref="BB25:BC25"/>
    <mergeCell ref="BD25:BE25"/>
    <mergeCell ref="BG25:BK25"/>
    <mergeCell ref="BT25:BX25"/>
    <mergeCell ref="BY25:BZ25"/>
    <mergeCell ref="CB25:CF25"/>
    <mergeCell ref="CI25:CM25"/>
    <mergeCell ref="CN25:CO25"/>
    <mergeCell ref="CQ25:CR25"/>
    <mergeCell ref="CS25:CU25"/>
    <mergeCell ref="C26:G26"/>
    <mergeCell ref="H26:I26"/>
    <mergeCell ref="K26:L26"/>
    <mergeCell ref="M26:O26"/>
    <mergeCell ref="R26:V26"/>
    <mergeCell ref="W26:X26"/>
    <mergeCell ref="Z26:AA26"/>
    <mergeCell ref="AB26:AD26"/>
    <mergeCell ref="AF26:AH26"/>
    <mergeCell ref="AI26:AK26"/>
    <mergeCell ref="AL26:AM26"/>
    <mergeCell ref="AN26:AP26"/>
    <mergeCell ref="AQ26:AU26"/>
    <mergeCell ref="AV26:AW26"/>
    <mergeCell ref="AY26:AZ26"/>
    <mergeCell ref="BB26:BC26"/>
    <mergeCell ref="BD26:BE26"/>
    <mergeCell ref="BG26:BK26"/>
    <mergeCell ref="BT26:BX26"/>
    <mergeCell ref="BY26:BZ26"/>
    <mergeCell ref="CB26:CF26"/>
    <mergeCell ref="CI26:CM26"/>
    <mergeCell ref="CN26:CO26"/>
    <mergeCell ref="CQ26:CR26"/>
    <mergeCell ref="CS26:CU26"/>
    <mergeCell ref="C27:G27"/>
    <mergeCell ref="H27:I27"/>
    <mergeCell ref="K27:L27"/>
    <mergeCell ref="M27:O27"/>
    <mergeCell ref="R27:V27"/>
    <mergeCell ref="W27:X27"/>
    <mergeCell ref="Z27:AA27"/>
    <mergeCell ref="AB27:AD27"/>
    <mergeCell ref="AF27:AH27"/>
    <mergeCell ref="AI27:AK27"/>
    <mergeCell ref="AL27:AM27"/>
    <mergeCell ref="AN27:AP27"/>
    <mergeCell ref="AQ27:AU27"/>
    <mergeCell ref="AV27:AW27"/>
    <mergeCell ref="AY27:AZ27"/>
    <mergeCell ref="BB27:BC27"/>
    <mergeCell ref="BD27:BE27"/>
    <mergeCell ref="BG27:BK27"/>
    <mergeCell ref="BT27:BX27"/>
    <mergeCell ref="BY27:BZ27"/>
    <mergeCell ref="CB27:CF27"/>
    <mergeCell ref="CI27:CM27"/>
    <mergeCell ref="CN27:CO27"/>
    <mergeCell ref="CQ27:CR27"/>
    <mergeCell ref="CS27:CU27"/>
    <mergeCell ref="C28:G28"/>
    <mergeCell ref="H28:I28"/>
    <mergeCell ref="K28:L28"/>
    <mergeCell ref="M28:O28"/>
    <mergeCell ref="R28:V28"/>
    <mergeCell ref="W28:X28"/>
    <mergeCell ref="Z28:AA28"/>
    <mergeCell ref="AB28:AD28"/>
    <mergeCell ref="AF28:AH28"/>
    <mergeCell ref="AI28:AK28"/>
    <mergeCell ref="AL28:AM28"/>
    <mergeCell ref="AN28:AP28"/>
    <mergeCell ref="AQ28:AU28"/>
    <mergeCell ref="AV28:AW28"/>
    <mergeCell ref="AY28:AZ28"/>
    <mergeCell ref="BB28:BC28"/>
    <mergeCell ref="BD28:BE28"/>
    <mergeCell ref="BG28:BK28"/>
    <mergeCell ref="BT28:BX28"/>
    <mergeCell ref="BY28:BZ28"/>
    <mergeCell ref="CB28:CF28"/>
    <mergeCell ref="CI28:CM28"/>
    <mergeCell ref="CN28:CO28"/>
    <mergeCell ref="CQ28:CR28"/>
    <mergeCell ref="CS28:CU28"/>
    <mergeCell ref="C29:G29"/>
    <mergeCell ref="H29:I29"/>
    <mergeCell ref="K29:L29"/>
    <mergeCell ref="M29:O29"/>
    <mergeCell ref="R29:V29"/>
    <mergeCell ref="W29:X29"/>
    <mergeCell ref="Z29:AA29"/>
    <mergeCell ref="AB29:AD29"/>
    <mergeCell ref="AF29:AH29"/>
    <mergeCell ref="AI29:AK29"/>
    <mergeCell ref="AL29:AM29"/>
    <mergeCell ref="AN29:AP29"/>
    <mergeCell ref="AQ29:AU29"/>
    <mergeCell ref="AV29:AW29"/>
    <mergeCell ref="AY29:AZ29"/>
    <mergeCell ref="BB29:BC29"/>
    <mergeCell ref="BD29:BE29"/>
    <mergeCell ref="BG29:BK29"/>
    <mergeCell ref="BT29:BX29"/>
    <mergeCell ref="BY29:BZ29"/>
    <mergeCell ref="CB29:CF29"/>
    <mergeCell ref="CI29:CM29"/>
    <mergeCell ref="CN29:CO29"/>
    <mergeCell ref="CQ29:CR29"/>
    <mergeCell ref="CS29:CU29"/>
    <mergeCell ref="C30:G30"/>
    <mergeCell ref="H30:I30"/>
    <mergeCell ref="K30:L30"/>
    <mergeCell ref="M30:O30"/>
    <mergeCell ref="R30:V30"/>
    <mergeCell ref="W30:X30"/>
    <mergeCell ref="Z30:AA30"/>
    <mergeCell ref="AB30:AD30"/>
    <mergeCell ref="AF30:AH30"/>
    <mergeCell ref="AI30:AK30"/>
    <mergeCell ref="AL30:AM30"/>
    <mergeCell ref="AN30:AP30"/>
    <mergeCell ref="AQ30:AU30"/>
    <mergeCell ref="AV30:AW30"/>
    <mergeCell ref="AY30:AZ30"/>
    <mergeCell ref="BB30:BC30"/>
    <mergeCell ref="BD30:BE30"/>
    <mergeCell ref="BG30:BK30"/>
    <mergeCell ref="BT30:BX30"/>
    <mergeCell ref="BY30:BZ30"/>
    <mergeCell ref="CB30:CF30"/>
    <mergeCell ref="CI30:CM30"/>
    <mergeCell ref="CN30:CO30"/>
    <mergeCell ref="CQ30:CR30"/>
    <mergeCell ref="CS30:CU30"/>
    <mergeCell ref="AB31:AD31"/>
    <mergeCell ref="AF31:AH31"/>
    <mergeCell ref="AI31:AK31"/>
    <mergeCell ref="AL31:AM31"/>
    <mergeCell ref="AN31:AP31"/>
    <mergeCell ref="AQ31:AU31"/>
    <mergeCell ref="AV31:AW31"/>
    <mergeCell ref="AY31:AZ31"/>
    <mergeCell ref="BB31:BC31"/>
    <mergeCell ref="BD31:BE31"/>
    <mergeCell ref="BG31:BK31"/>
    <mergeCell ref="BT31:BX31"/>
    <mergeCell ref="BY31:BZ31"/>
    <mergeCell ref="CB31:CF31"/>
    <mergeCell ref="S32:AD32"/>
    <mergeCell ref="AF32:AH32"/>
    <mergeCell ref="AI32:AK32"/>
    <mergeCell ref="AL32:AM32"/>
    <mergeCell ref="AN32:AP32"/>
    <mergeCell ref="AQ32:AU32"/>
    <mergeCell ref="AV32:AW32"/>
    <mergeCell ref="AY32:AZ32"/>
    <mergeCell ref="BB32:BC32"/>
    <mergeCell ref="BD32:BE32"/>
    <mergeCell ref="BG32:BK32"/>
    <mergeCell ref="BT32:BX32"/>
    <mergeCell ref="BY32:BZ32"/>
    <mergeCell ref="CB32:CF32"/>
    <mergeCell ref="S33:AD33"/>
    <mergeCell ref="AF33:AH33"/>
    <mergeCell ref="AI33:AK33"/>
    <mergeCell ref="AL33:AM33"/>
    <mergeCell ref="AN33:AP33"/>
    <mergeCell ref="AQ33:AU33"/>
    <mergeCell ref="AV33:AW33"/>
    <mergeCell ref="AY33:AZ33"/>
    <mergeCell ref="BB33:BC33"/>
    <mergeCell ref="BD33:BE33"/>
    <mergeCell ref="BG33:BK33"/>
    <mergeCell ref="BT33:BX33"/>
    <mergeCell ref="BY33:BZ33"/>
    <mergeCell ref="CB33:CF33"/>
    <mergeCell ref="S34:AD34"/>
    <mergeCell ref="AF34:AH34"/>
    <mergeCell ref="AI34:AK34"/>
    <mergeCell ref="AL34:AM34"/>
    <mergeCell ref="AN34:AP34"/>
    <mergeCell ref="AQ34:AU34"/>
    <mergeCell ref="AV34:AW34"/>
    <mergeCell ref="AY34:AZ34"/>
    <mergeCell ref="BB34:BC34"/>
    <mergeCell ref="BD34:BE34"/>
    <mergeCell ref="BG34:BK34"/>
    <mergeCell ref="BT34:BX34"/>
    <mergeCell ref="BY34:BZ34"/>
    <mergeCell ref="CB34:CF34"/>
    <mergeCell ref="S35:AD35"/>
    <mergeCell ref="AF35:AH35"/>
    <mergeCell ref="AI35:AK35"/>
    <mergeCell ref="AL35:AM35"/>
    <mergeCell ref="AN35:AP35"/>
    <mergeCell ref="AQ35:AU35"/>
    <mergeCell ref="AV35:AW35"/>
    <mergeCell ref="AY35:AZ35"/>
    <mergeCell ref="BB35:BC35"/>
    <mergeCell ref="BD35:BE35"/>
    <mergeCell ref="BG35:BK35"/>
    <mergeCell ref="BT35:BX35"/>
    <mergeCell ref="BY35:BZ35"/>
    <mergeCell ref="CB35:CF35"/>
    <mergeCell ref="S36:AD36"/>
    <mergeCell ref="AF36:AH36"/>
    <mergeCell ref="AI36:AK36"/>
    <mergeCell ref="AL36:AM36"/>
    <mergeCell ref="AN36:AP36"/>
    <mergeCell ref="AQ36:AU36"/>
    <mergeCell ref="AV36:AW36"/>
    <mergeCell ref="AY36:AZ36"/>
    <mergeCell ref="BB36:BC36"/>
    <mergeCell ref="BD36:BE36"/>
    <mergeCell ref="BG36:BK36"/>
    <mergeCell ref="BT36:BX36"/>
    <mergeCell ref="BY36:BZ36"/>
    <mergeCell ref="CB36:CF36"/>
    <mergeCell ref="S37:AD37"/>
    <mergeCell ref="AF37:AH37"/>
    <mergeCell ref="AI37:AK37"/>
    <mergeCell ref="AL37:AM37"/>
    <mergeCell ref="AN37:AP37"/>
    <mergeCell ref="AQ37:AU37"/>
    <mergeCell ref="AV37:AW37"/>
    <mergeCell ref="AY37:AZ37"/>
    <mergeCell ref="BB37:BC37"/>
    <mergeCell ref="BD37:BE37"/>
    <mergeCell ref="BG37:BK37"/>
    <mergeCell ref="BT37:BX37"/>
    <mergeCell ref="BY37:BZ37"/>
    <mergeCell ref="CB37:CF37"/>
    <mergeCell ref="S38:AD38"/>
    <mergeCell ref="AF38:AH38"/>
    <mergeCell ref="AI38:AK38"/>
    <mergeCell ref="AL38:AM38"/>
    <mergeCell ref="AN38:AP38"/>
    <mergeCell ref="AQ38:AU38"/>
    <mergeCell ref="AV38:AW38"/>
    <mergeCell ref="AY38:AZ38"/>
    <mergeCell ref="BB38:BC38"/>
    <mergeCell ref="BD38:BE38"/>
    <mergeCell ref="BG38:BK38"/>
    <mergeCell ref="BT38:BX38"/>
    <mergeCell ref="BY38:BZ38"/>
    <mergeCell ref="CB38:CF38"/>
    <mergeCell ref="S39:AD39"/>
    <mergeCell ref="AF39:AH39"/>
    <mergeCell ref="AI39:AK39"/>
    <mergeCell ref="AL39:AM39"/>
    <mergeCell ref="AN39:AP39"/>
    <mergeCell ref="AQ39:AU39"/>
    <mergeCell ref="AV39:AW39"/>
    <mergeCell ref="AY39:AZ39"/>
    <mergeCell ref="BB39:BC39"/>
    <mergeCell ref="BD39:BE39"/>
    <mergeCell ref="BG39:BK39"/>
    <mergeCell ref="BT39:BX39"/>
    <mergeCell ref="BY39:BZ39"/>
    <mergeCell ref="CB39:CF39"/>
    <mergeCell ref="S40:AD40"/>
    <mergeCell ref="AF40:AH40"/>
    <mergeCell ref="AI40:AK40"/>
    <mergeCell ref="AL40:AM40"/>
    <mergeCell ref="AN40:AP40"/>
    <mergeCell ref="AQ40:AU40"/>
    <mergeCell ref="AV40:AW40"/>
    <mergeCell ref="AY40:AZ40"/>
    <mergeCell ref="BB40:BC40"/>
    <mergeCell ref="BD40:BE40"/>
    <mergeCell ref="BG40:BK40"/>
    <mergeCell ref="BT40:BX40"/>
    <mergeCell ref="BY40:BZ40"/>
    <mergeCell ref="CB40:CF40"/>
    <mergeCell ref="S41:AD41"/>
    <mergeCell ref="AF41:AH41"/>
    <mergeCell ref="AI41:AK41"/>
    <mergeCell ref="AL41:AM41"/>
    <mergeCell ref="AN41:AP41"/>
    <mergeCell ref="AQ41:AU41"/>
    <mergeCell ref="AV41:AW41"/>
    <mergeCell ref="AY41:AZ41"/>
    <mergeCell ref="BB41:BC41"/>
    <mergeCell ref="BD41:BE41"/>
    <mergeCell ref="BG41:BK41"/>
    <mergeCell ref="BT41:BX41"/>
    <mergeCell ref="BY41:BZ41"/>
    <mergeCell ref="CB41:CF41"/>
    <mergeCell ref="S42:AD42"/>
    <mergeCell ref="AF42:AH42"/>
    <mergeCell ref="AI42:AK42"/>
    <mergeCell ref="AL42:AM42"/>
    <mergeCell ref="AN42:AP42"/>
    <mergeCell ref="AQ42:AU42"/>
    <mergeCell ref="AV42:AW42"/>
    <mergeCell ref="AY42:AZ42"/>
    <mergeCell ref="BB42:BC42"/>
    <mergeCell ref="BD42:BE42"/>
    <mergeCell ref="BG42:BK42"/>
    <mergeCell ref="BT42:BX42"/>
    <mergeCell ref="BY42:BZ42"/>
    <mergeCell ref="CB42:CF42"/>
    <mergeCell ref="S43:AD43"/>
    <mergeCell ref="AF43:AH43"/>
    <mergeCell ref="AI43:AK43"/>
    <mergeCell ref="AL43:AM43"/>
    <mergeCell ref="AN43:AP43"/>
    <mergeCell ref="AQ43:AU43"/>
    <mergeCell ref="AV43:AW43"/>
    <mergeCell ref="AY43:AZ43"/>
    <mergeCell ref="BB43:BC43"/>
    <mergeCell ref="BD43:BE43"/>
    <mergeCell ref="BG43:BK43"/>
    <mergeCell ref="BT43:BX43"/>
    <mergeCell ref="BY43:BZ43"/>
    <mergeCell ref="CB43:CF43"/>
    <mergeCell ref="S44:AD44"/>
    <mergeCell ref="AF44:AH44"/>
    <mergeCell ref="AI44:AK44"/>
    <mergeCell ref="AL44:AM44"/>
    <mergeCell ref="AN44:AP44"/>
    <mergeCell ref="AQ44:AU44"/>
    <mergeCell ref="AV44:AW44"/>
    <mergeCell ref="AY44:AZ44"/>
    <mergeCell ref="BB44:BC44"/>
    <mergeCell ref="BD44:BE44"/>
    <mergeCell ref="BG44:BK44"/>
    <mergeCell ref="BT44:BX44"/>
    <mergeCell ref="BY44:BZ44"/>
    <mergeCell ref="CB44:CF44"/>
    <mergeCell ref="S45:AD45"/>
    <mergeCell ref="AF45:AH45"/>
    <mergeCell ref="AI45:AK45"/>
    <mergeCell ref="AL45:AM45"/>
    <mergeCell ref="AN45:AP45"/>
    <mergeCell ref="AQ45:AU45"/>
    <mergeCell ref="AV45:AW45"/>
    <mergeCell ref="AY45:AZ45"/>
    <mergeCell ref="BB45:BC45"/>
    <mergeCell ref="BD45:BE45"/>
    <mergeCell ref="BG45:BK45"/>
    <mergeCell ref="S46:AD46"/>
    <mergeCell ref="AF46:AH46"/>
    <mergeCell ref="AI46:AK46"/>
    <mergeCell ref="AL46:AM46"/>
    <mergeCell ref="AN46:AP46"/>
    <mergeCell ref="AQ46:AU46"/>
    <mergeCell ref="AV46:AW46"/>
    <mergeCell ref="AY46:AZ46"/>
    <mergeCell ref="BB46:BC46"/>
    <mergeCell ref="BD46:BE46"/>
    <mergeCell ref="BG46:BK46"/>
    <mergeCell ref="B47:F47"/>
    <mergeCell ref="G47:J47"/>
    <mergeCell ref="L47:O47"/>
    <mergeCell ref="P47:T47"/>
    <mergeCell ref="V47:Y47"/>
    <mergeCell ref="Z47:AC47"/>
    <mergeCell ref="AF47:AH47"/>
    <mergeCell ref="AI47:AK47"/>
    <mergeCell ref="AL47:AM47"/>
    <mergeCell ref="AN47:AP47"/>
    <mergeCell ref="AQ47:AU47"/>
    <mergeCell ref="AV47:AW47"/>
    <mergeCell ref="AY47:AZ47"/>
    <mergeCell ref="BB47:BC47"/>
    <mergeCell ref="BD47:BE47"/>
    <mergeCell ref="BG47:BK47"/>
    <mergeCell ref="L48:O48"/>
    <mergeCell ref="P48:T48"/>
    <mergeCell ref="V48:Y48"/>
    <mergeCell ref="Z48:AD48"/>
    <mergeCell ref="AF48:AH48"/>
    <mergeCell ref="AI48:AK48"/>
    <mergeCell ref="AL48:AM48"/>
    <mergeCell ref="AN48:AP48"/>
    <mergeCell ref="AQ48:AU48"/>
    <mergeCell ref="AV48:AW48"/>
    <mergeCell ref="AY48:AZ48"/>
    <mergeCell ref="BB48:BC48"/>
    <mergeCell ref="BD48:BE48"/>
    <mergeCell ref="BG48:BK48"/>
    <mergeCell ref="L49:O49"/>
    <mergeCell ref="P49:T49"/>
    <mergeCell ref="V49:Y49"/>
    <mergeCell ref="Z49:AD49"/>
    <mergeCell ref="AF49:AH49"/>
    <mergeCell ref="AI49:AK49"/>
    <mergeCell ref="AL49:AM49"/>
    <mergeCell ref="AN49:AP49"/>
    <mergeCell ref="AQ49:AU49"/>
    <mergeCell ref="AV49:AW49"/>
    <mergeCell ref="AY49:AZ49"/>
    <mergeCell ref="BB49:BC49"/>
    <mergeCell ref="BD49:BE49"/>
    <mergeCell ref="BG49:BK49"/>
    <mergeCell ref="C50:G50"/>
    <mergeCell ref="H50:I50"/>
    <mergeCell ref="K50:O50"/>
    <mergeCell ref="R50:V50"/>
    <mergeCell ref="Z50:AD50"/>
    <mergeCell ref="AF50:AH50"/>
    <mergeCell ref="AI50:AK50"/>
    <mergeCell ref="AL50:AM50"/>
    <mergeCell ref="AN50:AP50"/>
    <mergeCell ref="AQ50:AU50"/>
    <mergeCell ref="AV50:AW50"/>
    <mergeCell ref="AY50:AZ50"/>
    <mergeCell ref="BB50:BC50"/>
    <mergeCell ref="BD50:BE50"/>
    <mergeCell ref="BG50:BK50"/>
    <mergeCell ref="C51:G51"/>
    <mergeCell ref="H51:I51"/>
    <mergeCell ref="K51:O51"/>
    <mergeCell ref="R51:V51"/>
    <mergeCell ref="W51:X51"/>
    <mergeCell ref="Z51:AD51"/>
    <mergeCell ref="AF51:AH51"/>
    <mergeCell ref="AI51:AK51"/>
    <mergeCell ref="AL51:AM51"/>
    <mergeCell ref="AN51:AP51"/>
    <mergeCell ref="AQ51:AU51"/>
    <mergeCell ref="AV51:AW51"/>
    <mergeCell ref="AY51:AZ51"/>
    <mergeCell ref="BB51:BC51"/>
    <mergeCell ref="BD51:BE51"/>
    <mergeCell ref="BG51:BK51"/>
    <mergeCell ref="C52:G52"/>
    <mergeCell ref="H52:I52"/>
    <mergeCell ref="K52:O52"/>
    <mergeCell ref="R52:V52"/>
    <mergeCell ref="W52:X52"/>
    <mergeCell ref="Z52:AD52"/>
    <mergeCell ref="AF52:AH52"/>
    <mergeCell ref="AI52:AK52"/>
    <mergeCell ref="AL52:AM52"/>
    <mergeCell ref="AN52:AP52"/>
    <mergeCell ref="AQ52:AU52"/>
    <mergeCell ref="AV52:AW52"/>
    <mergeCell ref="AY52:AZ52"/>
    <mergeCell ref="BB52:BC52"/>
    <mergeCell ref="BD52:BE52"/>
    <mergeCell ref="BG52:BK52"/>
    <mergeCell ref="C53:G53"/>
    <mergeCell ref="H53:I53"/>
    <mergeCell ref="K53:O53"/>
    <mergeCell ref="R53:V53"/>
    <mergeCell ref="W53:X53"/>
    <mergeCell ref="Z53:AD53"/>
    <mergeCell ref="AF53:AH53"/>
    <mergeCell ref="AI53:AK53"/>
    <mergeCell ref="AL53:AM53"/>
    <mergeCell ref="AN53:AP53"/>
    <mergeCell ref="AQ53:AU53"/>
    <mergeCell ref="AV53:AW53"/>
    <mergeCell ref="AY53:AZ53"/>
    <mergeCell ref="BB53:BC53"/>
    <mergeCell ref="BD53:BE53"/>
    <mergeCell ref="BG53:BK53"/>
    <mergeCell ref="C54:G54"/>
    <mergeCell ref="H54:I54"/>
    <mergeCell ref="K54:O54"/>
    <mergeCell ref="R54:V54"/>
    <mergeCell ref="W54:X54"/>
    <mergeCell ref="Z54:AD54"/>
    <mergeCell ref="AF54:AH54"/>
    <mergeCell ref="AI54:AK54"/>
    <mergeCell ref="AL54:AM54"/>
    <mergeCell ref="AN54:AP54"/>
    <mergeCell ref="AQ54:AU54"/>
    <mergeCell ref="AV54:AW54"/>
    <mergeCell ref="AY54:AZ54"/>
    <mergeCell ref="BB54:BC54"/>
    <mergeCell ref="BD54:BE54"/>
    <mergeCell ref="BG54:BK54"/>
    <mergeCell ref="C55:G55"/>
    <mergeCell ref="H55:I55"/>
    <mergeCell ref="K55:O55"/>
    <mergeCell ref="R55:V55"/>
    <mergeCell ref="W55:X55"/>
    <mergeCell ref="Z55:AD55"/>
    <mergeCell ref="AF55:AH55"/>
    <mergeCell ref="AI55:AK55"/>
    <mergeCell ref="AL55:AM55"/>
    <mergeCell ref="AN55:AP55"/>
    <mergeCell ref="AQ55:AU55"/>
    <mergeCell ref="AV55:AW55"/>
    <mergeCell ref="AY55:AZ55"/>
    <mergeCell ref="BB55:BC55"/>
    <mergeCell ref="BD55:BE55"/>
    <mergeCell ref="BG55:BK55"/>
    <mergeCell ref="C56:G56"/>
    <mergeCell ref="H56:I56"/>
    <mergeCell ref="K56:O56"/>
    <mergeCell ref="R56:V56"/>
    <mergeCell ref="W56:X56"/>
    <mergeCell ref="Z56:AD56"/>
    <mergeCell ref="AS56:AU56"/>
    <mergeCell ref="AV56:AW56"/>
    <mergeCell ref="AY56:AZ56"/>
    <mergeCell ref="BD56:BF56"/>
    <mergeCell ref="BG56:BK56"/>
    <mergeCell ref="C57:G57"/>
    <mergeCell ref="H57:I57"/>
    <mergeCell ref="K57:O57"/>
    <mergeCell ref="R57:V57"/>
    <mergeCell ref="W57:X57"/>
    <mergeCell ref="Z57:AD57"/>
    <mergeCell ref="C58:G58"/>
    <mergeCell ref="H58:I58"/>
    <mergeCell ref="K58:O58"/>
    <mergeCell ref="R58:V58"/>
    <mergeCell ref="W58:X58"/>
    <mergeCell ref="Z58:AD58"/>
    <mergeCell ref="C59:G59"/>
    <mergeCell ref="H59:I59"/>
    <mergeCell ref="K59:O59"/>
    <mergeCell ref="R59:V59"/>
    <mergeCell ref="W59:X59"/>
    <mergeCell ref="Z59:AD59"/>
    <mergeCell ref="C60:G60"/>
    <mergeCell ref="H60:I60"/>
    <mergeCell ref="K60:O60"/>
    <mergeCell ref="R60:V60"/>
    <mergeCell ref="W60:X60"/>
    <mergeCell ref="Z60:AD60"/>
    <mergeCell ref="C61:G61"/>
    <mergeCell ref="H61:I61"/>
    <mergeCell ref="K61:O61"/>
    <mergeCell ref="R61:V61"/>
    <mergeCell ref="W61:X61"/>
    <mergeCell ref="Z61:AD61"/>
    <mergeCell ref="C62:G62"/>
    <mergeCell ref="H62:I62"/>
    <mergeCell ref="K62:O62"/>
    <mergeCell ref="R62:V62"/>
    <mergeCell ref="W62:X62"/>
    <mergeCell ref="Z62:AD62"/>
    <mergeCell ref="C63:G63"/>
    <mergeCell ref="H63:I63"/>
    <mergeCell ref="K63:O63"/>
    <mergeCell ref="R63:V63"/>
    <mergeCell ref="W63:X63"/>
    <mergeCell ref="Z63:AD63"/>
    <mergeCell ref="C64:G64"/>
    <mergeCell ref="H64:I64"/>
    <mergeCell ref="K64:O64"/>
    <mergeCell ref="R64:V64"/>
    <mergeCell ref="W64:X64"/>
    <mergeCell ref="Z64:AD64"/>
    <mergeCell ref="C65:G65"/>
    <mergeCell ref="H65:I65"/>
    <mergeCell ref="K65:O65"/>
    <mergeCell ref="R65:V65"/>
    <mergeCell ref="W65:X65"/>
    <mergeCell ref="Z65:AD65"/>
    <mergeCell ref="C66:G66"/>
    <mergeCell ref="H66:I66"/>
    <mergeCell ref="K66:O66"/>
    <mergeCell ref="R66:V66"/>
    <mergeCell ref="W66:X66"/>
    <mergeCell ref="Z66:AD66"/>
    <mergeCell ref="C67:G67"/>
    <mergeCell ref="H67:I67"/>
    <mergeCell ref="K67:O67"/>
    <mergeCell ref="R67:V67"/>
    <mergeCell ref="W67:X67"/>
    <mergeCell ref="Z67:AD67"/>
    <mergeCell ref="C68:G68"/>
    <mergeCell ref="H68:I68"/>
    <mergeCell ref="K68:O68"/>
    <mergeCell ref="R68:V68"/>
    <mergeCell ref="W68:X68"/>
    <mergeCell ref="Z68:AD68"/>
    <mergeCell ref="C69:G69"/>
    <mergeCell ref="H69:I69"/>
    <mergeCell ref="K69:O69"/>
    <mergeCell ref="R69:V69"/>
    <mergeCell ref="W69:X69"/>
    <mergeCell ref="Z69:AD69"/>
    <mergeCell ref="C70:G70"/>
    <mergeCell ref="H70:I70"/>
    <mergeCell ref="K70:O70"/>
    <mergeCell ref="R70:V70"/>
    <mergeCell ref="W70:X70"/>
    <mergeCell ref="Z70:AD70"/>
    <mergeCell ref="C71:G71"/>
    <mergeCell ref="H71:I71"/>
    <mergeCell ref="K71:O71"/>
    <mergeCell ref="R71:V71"/>
    <mergeCell ref="W71:X71"/>
    <mergeCell ref="Z71:AD71"/>
    <mergeCell ref="C72:G72"/>
    <mergeCell ref="H72:I72"/>
    <mergeCell ref="K72:O72"/>
    <mergeCell ref="R72:V72"/>
    <mergeCell ref="W72:X72"/>
    <mergeCell ref="Z72:AD72"/>
    <mergeCell ref="C73:G73"/>
    <mergeCell ref="H73:I73"/>
    <mergeCell ref="K73:O73"/>
    <mergeCell ref="R73:V73"/>
    <mergeCell ref="W73:X73"/>
    <mergeCell ref="Z73:AD73"/>
    <mergeCell ref="C74:G74"/>
    <mergeCell ref="H74:I74"/>
    <mergeCell ref="K74:O74"/>
    <mergeCell ref="R74:V74"/>
    <mergeCell ref="W74:X74"/>
    <mergeCell ref="Z74:AD74"/>
    <mergeCell ref="C75:G75"/>
    <mergeCell ref="H75:I75"/>
    <mergeCell ref="K75:O75"/>
    <mergeCell ref="R75:V75"/>
    <mergeCell ref="W75:X75"/>
    <mergeCell ref="Z75:AD75"/>
    <mergeCell ref="C76:G76"/>
    <mergeCell ref="H76:I76"/>
    <mergeCell ref="K76:O76"/>
    <mergeCell ref="R76:V76"/>
    <mergeCell ref="W76:X76"/>
    <mergeCell ref="Z76:AD76"/>
    <mergeCell ref="S77:AD77"/>
    <mergeCell ref="B93:G93"/>
    <mergeCell ref="H93:L93"/>
    <mergeCell ref="M93:T93"/>
    <mergeCell ref="U93:X93"/>
    <mergeCell ref="Y93:AD93"/>
    <mergeCell ref="B94:G94"/>
    <mergeCell ref="H94:L94"/>
    <mergeCell ref="M94:T94"/>
    <mergeCell ref="U94:X94"/>
    <mergeCell ref="Y94:AD94"/>
    <mergeCell ref="B95:G95"/>
    <mergeCell ref="H95:L95"/>
    <mergeCell ref="M95:P95"/>
    <mergeCell ref="Q95:T95"/>
    <mergeCell ref="U95:X95"/>
    <mergeCell ref="Y95:AD95"/>
    <mergeCell ref="B96:G96"/>
    <mergeCell ref="H96:L96"/>
    <mergeCell ref="M96:P96"/>
    <mergeCell ref="Q96:T96"/>
    <mergeCell ref="U96:X96"/>
    <mergeCell ref="Y96:AD96"/>
    <mergeCell ref="K112:P112"/>
    <mergeCell ref="Q112:V112"/>
    <mergeCell ref="W112:AB112"/>
    <mergeCell ref="K113:P113"/>
    <mergeCell ref="Q113:V113"/>
    <mergeCell ref="W113:AB113"/>
    <mergeCell ref="B14:B15"/>
    <mergeCell ref="B114:J115"/>
    <mergeCell ref="K114:P115"/>
    <mergeCell ref="Q114:V115"/>
    <mergeCell ref="W114:AD115"/>
    <mergeCell ref="B116:J134"/>
    <mergeCell ref="B135:J136"/>
    <mergeCell ref="B137:J138"/>
    <mergeCell ref="B139:J143"/>
    <mergeCell ref="B144:J146"/>
    <mergeCell ref="B48:F49"/>
    <mergeCell ref="G48:J49"/>
    <mergeCell ref="B77:R78"/>
    <mergeCell ref="S78:AD92"/>
    <mergeCell ref="B79:R80"/>
    <mergeCell ref="B81:R82"/>
    <mergeCell ref="B83:R84"/>
    <mergeCell ref="B85:R86"/>
    <mergeCell ref="B87:R88"/>
    <mergeCell ref="B89:R90"/>
    <mergeCell ref="B91:R92"/>
    <mergeCell ref="B104:J105"/>
    <mergeCell ref="K104:AD105"/>
    <mergeCell ref="B106:J107"/>
    <mergeCell ref="K106:AD107"/>
    <mergeCell ref="B108:J109"/>
    <mergeCell ref="K108:AD109"/>
    <mergeCell ref="U1:V3"/>
    <mergeCell ref="BS1:CA3"/>
    <mergeCell ref="B2:F3"/>
    <mergeCell ref="G2:J3"/>
    <mergeCell ref="AF2:AO3"/>
    <mergeCell ref="AP2:AS3"/>
    <mergeCell ref="AT2:BA3"/>
    <mergeCell ref="BH2:BJ3"/>
    <mergeCell ref="CB2:CD3"/>
    <mergeCell ref="B31:R32"/>
    <mergeCell ref="B33:R34"/>
    <mergeCell ref="B35:R36"/>
    <mergeCell ref="B37:R38"/>
    <mergeCell ref="B39:R40"/>
    <mergeCell ref="B41:R42"/>
    <mergeCell ref="B43:R44"/>
    <mergeCell ref="B110:J111"/>
    <mergeCell ref="B112:J113"/>
    <mergeCell ref="AC112:AD113"/>
    <mergeCell ref="B45:R46"/>
    <mergeCell ref="BT5:BX6"/>
  </mergeCells>
  <hyperlinks>
    <hyperlink ref="B107" r:id="rId1" tooltip="https://www.instagram.com/gaju__base/"/>
  </hyperlinks>
  <pageMargins left="0.747916666666667" right="0.747916666666667" top="0.984027777777778" bottom="0.984027777777778" header="0.511805555555556" footer="0.511805555555556"/>
  <pageSetup paperSize="9" scale="93" orientation="portrait" useFirstPageNumber="1"/>
  <headerFooter alignWithMargins="0" scaleWithDoc="0"/>
  <rowBreaks count="1" manualBreakCount="1">
    <brk id="46" max="16383" man="1"/>
  </rowBreaks>
  <colBreaks count="1" manualBreakCount="1">
    <brk id="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H3" sqref="H3"/>
    </sheetView>
  </sheetViews>
  <sheetFormatPr defaultColWidth="9" defaultRowHeight="13.5" outlineLevelCol="7"/>
  <cols>
    <col min="1" max="1" width="3.10833333333333" style="1" customWidth="1"/>
    <col min="2" max="2" width="15" style="1" customWidth="1"/>
    <col min="3" max="3" width="18.775" style="1" customWidth="1"/>
    <col min="4" max="5" width="5.88333333333333" style="1" customWidth="1"/>
    <col min="6" max="6" width="16.775" style="1" customWidth="1"/>
    <col min="7" max="7" width="18.8833333333333" style="1" customWidth="1"/>
    <col min="8" max="16377" width="9" style="1"/>
  </cols>
  <sheetData>
    <row r="1" ht="33" customHeight="1" spans="2:8">
      <c r="B1" s="2" t="s">
        <v>104</v>
      </c>
      <c r="C1" s="2"/>
      <c r="D1" s="2"/>
      <c r="E1" s="2"/>
      <c r="F1" s="2"/>
      <c r="G1" s="2"/>
      <c r="H1" s="3"/>
    </row>
    <row r="2" s="1" customFormat="1" ht="14.25" spans="2:5">
      <c r="B2" s="4"/>
      <c r="D2" s="4"/>
      <c r="E2" s="4"/>
    </row>
    <row r="3" s="1" customFormat="1" ht="30.9" customHeight="1" spans="2:7">
      <c r="B3" s="5" t="s">
        <v>1</v>
      </c>
      <c r="C3" s="6"/>
      <c r="D3" s="6"/>
      <c r="E3" s="6"/>
      <c r="F3" s="7" t="s">
        <v>105</v>
      </c>
      <c r="G3" s="8"/>
    </row>
    <row r="4" s="1" customFormat="1" ht="30.9" customHeight="1" spans="2:7">
      <c r="B4" s="9" t="s">
        <v>106</v>
      </c>
      <c r="C4" s="10"/>
      <c r="D4" s="10"/>
      <c r="E4" s="10"/>
      <c r="F4" s="10"/>
      <c r="G4" s="11"/>
    </row>
    <row r="5" s="1" customFormat="1" ht="35.1" customHeight="1" spans="2:7">
      <c r="B5" s="9" t="s">
        <v>0</v>
      </c>
      <c r="C5" s="12"/>
      <c r="D5" s="12"/>
      <c r="E5" s="12"/>
      <c r="F5" s="13" t="s">
        <v>85</v>
      </c>
      <c r="G5" s="14"/>
    </row>
    <row r="6" s="1" customFormat="1" ht="42.9" customHeight="1" spans="2:8">
      <c r="B6" s="15" t="s">
        <v>107</v>
      </c>
      <c r="C6" s="16"/>
      <c r="D6" s="16"/>
      <c r="E6" s="16"/>
      <c r="F6" s="12"/>
      <c r="G6" s="17"/>
      <c r="H6" s="18"/>
    </row>
    <row r="7" s="1" customFormat="1" ht="42.9" customHeight="1" spans="2:7">
      <c r="B7" s="15" t="s">
        <v>108</v>
      </c>
      <c r="C7" s="19"/>
      <c r="D7" s="19"/>
      <c r="E7" s="19"/>
      <c r="F7" s="12"/>
      <c r="G7" s="17"/>
    </row>
    <row r="8" s="1" customFormat="1" ht="30.9" customHeight="1" spans="2:7">
      <c r="B8" s="15" t="s">
        <v>109</v>
      </c>
      <c r="C8" s="20" t="s">
        <v>110</v>
      </c>
      <c r="D8" s="16" t="s">
        <v>111</v>
      </c>
      <c r="E8" s="16" t="s">
        <v>112</v>
      </c>
      <c r="F8" s="12"/>
      <c r="G8" s="17"/>
    </row>
    <row r="9" s="1" customFormat="1" ht="30.9" customHeight="1" spans="2:7">
      <c r="B9" s="15"/>
      <c r="C9" s="20" t="s">
        <v>113</v>
      </c>
      <c r="D9" s="16" t="s">
        <v>111</v>
      </c>
      <c r="E9" s="16" t="s">
        <v>112</v>
      </c>
      <c r="F9" s="12"/>
      <c r="G9" s="17"/>
    </row>
    <row r="10" s="1" customFormat="1" ht="30.9" customHeight="1" spans="2:7">
      <c r="B10" s="15"/>
      <c r="C10" s="20" t="s">
        <v>114</v>
      </c>
      <c r="D10" s="16" t="s">
        <v>111</v>
      </c>
      <c r="E10" s="16" t="s">
        <v>112</v>
      </c>
      <c r="F10" s="12"/>
      <c r="G10" s="17"/>
    </row>
    <row r="11" ht="30.9" customHeight="1" spans="2:7">
      <c r="B11" s="9" t="s">
        <v>79</v>
      </c>
      <c r="C11" s="16"/>
      <c r="D11" s="16"/>
      <c r="E11" s="16"/>
      <c r="F11" s="12"/>
      <c r="G11" s="17"/>
    </row>
    <row r="12" ht="30.9" customHeight="1" spans="2:7">
      <c r="B12" s="15" t="s">
        <v>115</v>
      </c>
      <c r="C12" s="12"/>
      <c r="D12" s="12"/>
      <c r="E12" s="12"/>
      <c r="F12" s="12"/>
      <c r="G12" s="17"/>
    </row>
    <row r="13" ht="147" customHeight="1" spans="2:7">
      <c r="B13" s="21" t="s">
        <v>21</v>
      </c>
      <c r="C13" s="22"/>
      <c r="D13" s="22"/>
      <c r="E13" s="22"/>
      <c r="F13" s="22"/>
      <c r="G13" s="23"/>
    </row>
    <row r="14" ht="19.5" spans="1:7">
      <c r="A14" s="24"/>
      <c r="C14" s="24"/>
      <c r="D14" s="24"/>
      <c r="E14" s="24"/>
      <c r="F14" s="24"/>
      <c r="G14" s="24"/>
    </row>
    <row r="15" ht="21" customHeight="1" spans="6:7">
      <c r="F15" s="25" t="s">
        <v>116</v>
      </c>
      <c r="G15" s="26" t="s">
        <v>117</v>
      </c>
    </row>
    <row r="16" ht="39" customHeight="1" spans="6:7">
      <c r="F16" s="27"/>
      <c r="G16" s="28"/>
    </row>
    <row r="17" ht="39" customHeight="1" spans="2:7">
      <c r="B17" s="25" t="s">
        <v>118</v>
      </c>
      <c r="C17" s="29" t="s">
        <v>119</v>
      </c>
      <c r="D17" s="30" t="s">
        <v>111</v>
      </c>
      <c r="E17" s="16" t="s">
        <v>112</v>
      </c>
      <c r="F17" s="31" t="s">
        <v>120</v>
      </c>
      <c r="G17" s="32" t="s">
        <v>121</v>
      </c>
    </row>
    <row r="18" ht="39" customHeight="1" spans="2:7">
      <c r="B18" s="33"/>
      <c r="C18" s="20" t="s">
        <v>122</v>
      </c>
      <c r="D18" s="30" t="s">
        <v>111</v>
      </c>
      <c r="E18" s="16" t="s">
        <v>112</v>
      </c>
      <c r="F18" s="34" t="s">
        <v>120</v>
      </c>
      <c r="G18" s="35" t="s">
        <v>121</v>
      </c>
    </row>
    <row r="19" ht="50.1" customHeight="1" spans="2:7">
      <c r="B19" s="36"/>
      <c r="C19" s="37" t="s">
        <v>123</v>
      </c>
      <c r="D19" s="30" t="s">
        <v>111</v>
      </c>
      <c r="E19" s="38" t="s">
        <v>112</v>
      </c>
      <c r="F19" s="39" t="s">
        <v>120</v>
      </c>
      <c r="G19" s="40" t="s">
        <v>121</v>
      </c>
    </row>
  </sheetData>
  <mergeCells count="13">
    <mergeCell ref="B1:G1"/>
    <mergeCell ref="C3:E3"/>
    <mergeCell ref="C4:G4"/>
    <mergeCell ref="C5:E5"/>
    <mergeCell ref="F5:G5"/>
    <mergeCell ref="C6:E6"/>
    <mergeCell ref="C7:E7"/>
    <mergeCell ref="C11:E11"/>
    <mergeCell ref="C12:E12"/>
    <mergeCell ref="C13:E13"/>
    <mergeCell ref="B8:B10"/>
    <mergeCell ref="B17:B19"/>
    <mergeCell ref="F6:G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牛スジカレー本製造</vt:lpstr>
      <vt:lpstr>仕様書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user</cp:lastModifiedBy>
  <dcterms:created xsi:type="dcterms:W3CDTF">2022-10-11T09:42:00Z</dcterms:created>
  <dcterms:modified xsi:type="dcterms:W3CDTF">2026-01-12T01:04:03Z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