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e93e3fac131d0ce/Desktop/KCAC関連/テンプレート、フォーム/2025年度計画書書式/"/>
    </mc:Choice>
  </mc:AlternateContent>
  <xr:revisionPtr revIDLastSave="1" documentId="8_{9F34706F-9C48-430D-A8C9-2801A4C7AEA9}" xr6:coauthVersionLast="47" xr6:coauthVersionMax="47" xr10:uidLastSave="{F32D88B2-892D-484C-AD2D-0488B2EAFB97}"/>
  <bookViews>
    <workbookView xWindow="0" yWindow="4080" windowWidth="19200" windowHeight="6000" tabRatio="663" firstSheet="4" activeTab="6" xr2:uid="{00000000-000D-0000-FFFF-FFFF00000000}"/>
  </bookViews>
  <sheets>
    <sheet name="計画書" sheetId="9" r:id="rId1"/>
    <sheet name="装備表 (無雪期)" sheetId="25" r:id="rId2"/>
    <sheet name="装備表（岩登り）" sheetId="27" r:id="rId3"/>
    <sheet name="装備表（沢登り）" sheetId="28" r:id="rId4"/>
    <sheet name="装備表（雪山）" sheetId="6" r:id="rId5"/>
    <sheet name="ルート図" sheetId="23" r:id="rId6"/>
    <sheet name="会計報告R7" sheetId="30" r:id="rId7"/>
    <sheet name="多人数表" sheetId="22" r:id="rId8"/>
    <sheet name="山行報告書" sheetId="10" r:id="rId9"/>
    <sheet name="担架表" sheetId="24" r:id="rId10"/>
  </sheets>
  <definedNames>
    <definedName name="_xlnm.Print_Area" localSheetId="1">'装備表 (無雪期)'!$A$1:$AH$60</definedName>
    <definedName name="_xlnm.Print_Area" localSheetId="4">'装備表（雪山）'!$A$1:$AH$60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9" i="30" l="1"/>
  <c r="E28" i="30"/>
  <c r="S26" i="30"/>
  <c r="R26" i="30"/>
  <c r="O26" i="30"/>
  <c r="N26" i="30"/>
  <c r="J26" i="30"/>
  <c r="J25" i="30"/>
  <c r="L25" i="30" s="1"/>
  <c r="M25" i="30" s="1"/>
  <c r="P25" i="30" s="1"/>
  <c r="I25" i="30"/>
  <c r="L24" i="30"/>
  <c r="M24" i="30" s="1"/>
  <c r="P24" i="30" s="1"/>
  <c r="J24" i="30"/>
  <c r="I24" i="30"/>
  <c r="J23" i="30"/>
  <c r="I23" i="30"/>
  <c r="L23" i="30" s="1"/>
  <c r="M23" i="30" s="1"/>
  <c r="P23" i="30" s="1"/>
  <c r="J22" i="30"/>
  <c r="I22" i="30"/>
  <c r="L22" i="30" s="1"/>
  <c r="M22" i="30" s="1"/>
  <c r="P22" i="30" s="1"/>
  <c r="J21" i="30"/>
  <c r="L21" i="30" s="1"/>
  <c r="M21" i="30" s="1"/>
  <c r="P21" i="30" s="1"/>
  <c r="I21" i="30"/>
  <c r="J20" i="30"/>
  <c r="I20" i="30"/>
  <c r="L20" i="30" s="1"/>
  <c r="M20" i="30" s="1"/>
  <c r="P20" i="30" s="1"/>
  <c r="J19" i="30"/>
  <c r="I19" i="30"/>
  <c r="L19" i="30" s="1"/>
  <c r="M19" i="30" s="1"/>
  <c r="P19" i="30" s="1"/>
  <c r="J18" i="30"/>
  <c r="L18" i="30" s="1"/>
  <c r="M18" i="30" s="1"/>
  <c r="P18" i="30" s="1"/>
  <c r="I18" i="30"/>
  <c r="J17" i="30"/>
  <c r="L17" i="30" s="1"/>
  <c r="M17" i="30" s="1"/>
  <c r="P17" i="30" s="1"/>
  <c r="I17" i="30"/>
  <c r="J16" i="30"/>
  <c r="I16" i="30"/>
  <c r="L16" i="30" s="1"/>
  <c r="M16" i="30" s="1"/>
  <c r="P16" i="30" s="1"/>
  <c r="J15" i="30"/>
  <c r="E15" i="30"/>
  <c r="J14" i="30"/>
  <c r="I14" i="30"/>
  <c r="L14" i="30" s="1"/>
  <c r="M14" i="30" s="1"/>
  <c r="P14" i="30" s="1"/>
  <c r="I13" i="30"/>
  <c r="I12" i="30"/>
  <c r="E11" i="30"/>
  <c r="L6" i="30"/>
  <c r="F6" i="30"/>
  <c r="E6" i="30"/>
  <c r="L5" i="30"/>
  <c r="F5" i="30"/>
  <c r="E5" i="30"/>
  <c r="L4" i="30"/>
  <c r="F4" i="30"/>
  <c r="D15" i="30" s="1"/>
  <c r="E4" i="30"/>
  <c r="C15" i="30" s="1"/>
  <c r="I15" i="30" s="1"/>
  <c r="L15" i="30" s="1"/>
  <c r="M15" i="30" s="1"/>
  <c r="P15" i="30" s="1"/>
  <c r="L3" i="30"/>
  <c r="F3" i="30"/>
  <c r="D11" i="30" s="1"/>
  <c r="D26" i="30" s="1"/>
  <c r="H28" i="30" s="1"/>
  <c r="E3" i="30"/>
  <c r="C11" i="30" s="1"/>
  <c r="C26" i="30" l="1"/>
  <c r="H29" i="30" s="1"/>
  <c r="I11" i="30"/>
  <c r="J12" i="30"/>
  <c r="L12" i="30" s="1"/>
  <c r="M12" i="30" s="1"/>
  <c r="P12" i="30" s="1"/>
  <c r="J13" i="30"/>
  <c r="J11" i="30"/>
  <c r="L13" i="30"/>
  <c r="M13" i="30" s="1"/>
  <c r="P13" i="30" s="1"/>
  <c r="R24" i="30"/>
  <c r="I26" i="30" l="1"/>
  <c r="L11" i="30"/>
  <c r="L26" i="30" l="1"/>
  <c r="M11" i="30"/>
  <c r="M26" i="30" l="1"/>
  <c r="P11" i="30"/>
  <c r="P26" i="30" s="1"/>
  <c r="K44" i="24" l="1"/>
  <c r="K4" i="24" s="1"/>
  <c r="V8" i="24" s="1"/>
  <c r="J44" i="24"/>
  <c r="J4" i="24" s="1"/>
  <c r="U8" i="24" s="1"/>
  <c r="I44" i="24"/>
  <c r="H44" i="24"/>
  <c r="G44" i="24"/>
  <c r="G4" i="24" s="1"/>
  <c r="R8" i="24" s="1"/>
  <c r="F44" i="24"/>
  <c r="F4" i="24" s="1"/>
  <c r="Q8" i="24" s="1"/>
  <c r="E44" i="24"/>
  <c r="D44" i="24"/>
  <c r="D4" i="24" s="1"/>
  <c r="O8" i="24" s="1"/>
  <c r="C44" i="24"/>
  <c r="L43" i="24"/>
  <c r="L27" i="24"/>
  <c r="L26" i="24"/>
  <c r="L42" i="24"/>
  <c r="L35" i="24"/>
  <c r="L34" i="24"/>
  <c r="L33" i="24"/>
  <c r="L32" i="24"/>
  <c r="L31" i="24"/>
  <c r="L30" i="24"/>
  <c r="L29" i="24"/>
  <c r="L28" i="24"/>
  <c r="L25" i="24"/>
  <c r="L23" i="24"/>
  <c r="L22" i="24"/>
  <c r="L21" i="24"/>
  <c r="L24" i="24"/>
  <c r="L20" i="24"/>
  <c r="L19" i="24"/>
  <c r="L18" i="24"/>
  <c r="L17" i="24"/>
  <c r="L16" i="24"/>
  <c r="L15" i="24"/>
  <c r="L41" i="24"/>
  <c r="L40" i="24"/>
  <c r="L39" i="24"/>
  <c r="L38" i="24"/>
  <c r="L37" i="24"/>
  <c r="L36" i="24"/>
  <c r="L14" i="24"/>
  <c r="L13" i="24"/>
  <c r="L12" i="24"/>
  <c r="L11" i="24"/>
  <c r="L10" i="24"/>
  <c r="L9" i="24"/>
  <c r="X8" i="24"/>
  <c r="W8" i="24"/>
  <c r="L8" i="24"/>
  <c r="L7" i="24"/>
  <c r="L6" i="24"/>
  <c r="L5" i="24"/>
  <c r="I4" i="24"/>
  <c r="Y8" i="24" s="1"/>
  <c r="H4" i="24"/>
  <c r="S8" i="24" s="1"/>
  <c r="E4" i="24"/>
  <c r="P8" i="24" s="1"/>
  <c r="L44" i="24" l="1"/>
  <c r="L4" i="24" s="1"/>
  <c r="O9" i="24" s="1"/>
  <c r="R9" i="24" s="1"/>
  <c r="R10" i="24" s="1"/>
  <c r="T8" i="24"/>
  <c r="W9" i="24" l="1"/>
  <c r="W10" i="24" s="1"/>
  <c r="P9" i="24"/>
  <c r="P10" i="24" s="1"/>
  <c r="O10" i="24"/>
  <c r="V9" i="24"/>
  <c r="V10" i="24" s="1"/>
  <c r="Q9" i="24"/>
  <c r="Q10" i="24" s="1"/>
  <c r="T9" i="24"/>
  <c r="T10" i="24" s="1"/>
  <c r="U9" i="24"/>
  <c r="U10" i="24" s="1"/>
  <c r="S9" i="24"/>
  <c r="S10" i="24" s="1"/>
  <c r="X9" i="24"/>
  <c r="X10" i="24" s="1"/>
  <c r="Y9" i="24"/>
  <c r="Y10" i="24" s="1"/>
  <c r="Z8" i="24"/>
  <c r="F50" i="9"/>
  <c r="F49" i="9"/>
  <c r="E49" i="9"/>
  <c r="D50" i="9"/>
  <c r="D49" i="9"/>
  <c r="B50" i="9"/>
  <c r="Z9" i="24" l="1"/>
</calcChain>
</file>

<file path=xl/sharedStrings.xml><?xml version="1.0" encoding="utf-8"?>
<sst xmlns="http://schemas.openxmlformats.org/spreadsheetml/2006/main" count="796" uniqueCount="321">
  <si>
    <t>所在地</t>
    <rPh sb="0" eb="3">
      <t>ショザイチ</t>
    </rPh>
    <phoneticPr fontId="1"/>
  </si>
  <si>
    <t>地　図</t>
    <rPh sb="0" eb="1">
      <t>チ</t>
    </rPh>
    <rPh sb="2" eb="3">
      <t>ズ</t>
    </rPh>
    <phoneticPr fontId="1"/>
  </si>
  <si>
    <t>留守宅</t>
    <rPh sb="0" eb="3">
      <t>ルスタク</t>
    </rPh>
    <phoneticPr fontId="1"/>
  </si>
  <si>
    <t>目的</t>
    <rPh sb="0" eb="2">
      <t>モクテキ</t>
    </rPh>
    <phoneticPr fontId="1"/>
  </si>
  <si>
    <t>氏　　　名　　　　　　　　生年月日</t>
    <rPh sb="0" eb="5">
      <t>シメイ</t>
    </rPh>
    <rPh sb="13" eb="15">
      <t>セイネン</t>
    </rPh>
    <rPh sb="15" eb="17">
      <t>ガッピ</t>
    </rPh>
    <phoneticPr fontId="1"/>
  </si>
  <si>
    <t>任　務</t>
    <rPh sb="0" eb="1">
      <t>ニン</t>
    </rPh>
    <rPh sb="2" eb="3">
      <t>ツトム</t>
    </rPh>
    <phoneticPr fontId="1"/>
  </si>
  <si>
    <t>行　　　　　程　　　　・　　　そ　　の　　他</t>
    <rPh sb="0" eb="1">
      <t>ギョウ</t>
    </rPh>
    <rPh sb="6" eb="7">
      <t>ホド</t>
    </rPh>
    <rPh sb="21" eb="22">
      <t>タ</t>
    </rPh>
    <phoneticPr fontId="1"/>
  </si>
  <si>
    <t>名 前</t>
    <rPh sb="0" eb="1">
      <t>ナ</t>
    </rPh>
    <rPh sb="2" eb="3">
      <t>マエ</t>
    </rPh>
    <phoneticPr fontId="1"/>
  </si>
  <si>
    <t>山行形態</t>
    <rPh sb="0" eb="2">
      <t>サンコウ</t>
    </rPh>
    <rPh sb="2" eb="4">
      <t>ケイタイ</t>
    </rPh>
    <phoneticPr fontId="1"/>
  </si>
  <si>
    <t>山域･山名</t>
    <rPh sb="0" eb="1">
      <t>サン</t>
    </rPh>
    <rPh sb="1" eb="2">
      <t>イキ</t>
    </rPh>
    <rPh sb="3" eb="4">
      <t>ヤマ</t>
    </rPh>
    <rPh sb="4" eb="5">
      <t>メイ</t>
    </rPh>
    <phoneticPr fontId="1"/>
  </si>
  <si>
    <t>神 戸 中 央 山 の 会</t>
    <rPh sb="0" eb="1">
      <t>カミ</t>
    </rPh>
    <rPh sb="2" eb="3">
      <t>ト</t>
    </rPh>
    <rPh sb="4" eb="5">
      <t>ナカ</t>
    </rPh>
    <rPh sb="6" eb="7">
      <t>ヒサシ</t>
    </rPh>
    <rPh sb="8" eb="9">
      <t>ヤマ</t>
    </rPh>
    <rPh sb="12" eb="13">
      <t>カイ</t>
    </rPh>
    <phoneticPr fontId="1"/>
  </si>
  <si>
    <t>自 宅　住　所　　　　　　　　　　　　　　　　　　　　　　　　　　電話（自宅又は携帯）</t>
    <rPh sb="0" eb="1">
      <t>ジ</t>
    </rPh>
    <rPh sb="2" eb="3">
      <t>タク</t>
    </rPh>
    <rPh sb="4" eb="5">
      <t>ジュウ</t>
    </rPh>
    <rPh sb="6" eb="7">
      <t>ショ</t>
    </rPh>
    <rPh sb="33" eb="35">
      <t>デンワ</t>
    </rPh>
    <rPh sb="36" eb="38">
      <t>ジタク</t>
    </rPh>
    <rPh sb="38" eb="39">
      <t>マタ</t>
    </rPh>
    <rPh sb="40" eb="42">
      <t>ケイタイ</t>
    </rPh>
    <phoneticPr fontId="1"/>
  </si>
  <si>
    <t>朝</t>
    <rPh sb="0" eb="1">
      <t>アサ</t>
    </rPh>
    <phoneticPr fontId="1"/>
  </si>
  <si>
    <t>昼</t>
    <rPh sb="0" eb="1">
      <t>ヒル</t>
    </rPh>
    <phoneticPr fontId="1"/>
  </si>
  <si>
    <t>夜</t>
    <rPh sb="0" eb="1">
      <t>ヨル</t>
    </rPh>
    <phoneticPr fontId="1"/>
  </si>
  <si>
    <t>嗜好品</t>
    <rPh sb="0" eb="3">
      <t>シコウヒン</t>
    </rPh>
    <phoneticPr fontId="1"/>
  </si>
  <si>
    <t>性  別保  険</t>
    <rPh sb="0" eb="1">
      <t>セイ</t>
    </rPh>
    <rPh sb="3" eb="4">
      <t>ベツ</t>
    </rPh>
    <rPh sb="4" eb="5">
      <t>タモツ</t>
    </rPh>
    <rPh sb="7" eb="8">
      <t>ケン</t>
    </rPh>
    <phoneticPr fontId="1"/>
  </si>
  <si>
    <t>曜日</t>
    <rPh sb="0" eb="2">
      <t>ヨウビ</t>
    </rPh>
    <phoneticPr fontId="1"/>
  </si>
  <si>
    <t>登山靴</t>
    <rPh sb="0" eb="2">
      <t>トザン</t>
    </rPh>
    <rPh sb="2" eb="3">
      <t>クツ</t>
    </rPh>
    <phoneticPr fontId="1"/>
  </si>
  <si>
    <t>雨具</t>
    <rPh sb="0" eb="2">
      <t>アマグ</t>
    </rPh>
    <phoneticPr fontId="1"/>
  </si>
  <si>
    <t>傘</t>
    <rPh sb="0" eb="1">
      <t>カサ</t>
    </rPh>
    <phoneticPr fontId="1"/>
  </si>
  <si>
    <t>手袋</t>
    <rPh sb="0" eb="2">
      <t>テブクロ</t>
    </rPh>
    <phoneticPr fontId="1"/>
  </si>
  <si>
    <t>筆記具</t>
    <rPh sb="0" eb="3">
      <t>ヒッキグ</t>
    </rPh>
    <phoneticPr fontId="1"/>
  </si>
  <si>
    <t>地図</t>
    <rPh sb="0" eb="2">
      <t>チズ</t>
    </rPh>
    <phoneticPr fontId="1"/>
  </si>
  <si>
    <t>時計</t>
    <rPh sb="0" eb="2">
      <t>トケイ</t>
    </rPh>
    <phoneticPr fontId="1"/>
  </si>
  <si>
    <t>計画書</t>
    <rPh sb="0" eb="2">
      <t>ケイカク</t>
    </rPh>
    <rPh sb="2" eb="3">
      <t>ショ</t>
    </rPh>
    <phoneticPr fontId="1"/>
  </si>
  <si>
    <t>チリ紙</t>
    <rPh sb="2" eb="3">
      <t>カミ</t>
    </rPh>
    <phoneticPr fontId="1"/>
  </si>
  <si>
    <t>保険証</t>
    <rPh sb="0" eb="3">
      <t>ホケンショウ</t>
    </rPh>
    <phoneticPr fontId="1"/>
  </si>
  <si>
    <t>着替え</t>
    <rPh sb="0" eb="2">
      <t>キガ</t>
    </rPh>
    <phoneticPr fontId="1"/>
  </si>
  <si>
    <t>替靴下</t>
    <rPh sb="0" eb="1">
      <t>カ</t>
    </rPh>
    <rPh sb="1" eb="3">
      <t>クツシタ</t>
    </rPh>
    <phoneticPr fontId="1"/>
  </si>
  <si>
    <t>行動食</t>
    <rPh sb="0" eb="2">
      <t>コウドウ</t>
    </rPh>
    <rPh sb="2" eb="3">
      <t>ショク</t>
    </rPh>
    <phoneticPr fontId="1"/>
  </si>
  <si>
    <t>食器</t>
    <rPh sb="0" eb="2">
      <t>ショッキ</t>
    </rPh>
    <phoneticPr fontId="1"/>
  </si>
  <si>
    <t>箸・スプーン</t>
    <rPh sb="0" eb="1">
      <t>ハシ</t>
    </rPh>
    <phoneticPr fontId="1"/>
  </si>
  <si>
    <t>目出帽</t>
    <rPh sb="0" eb="1">
      <t>メ</t>
    </rPh>
    <rPh sb="1" eb="2">
      <t>デ</t>
    </rPh>
    <rPh sb="2" eb="3">
      <t>ボウ</t>
    </rPh>
    <phoneticPr fontId="1"/>
  </si>
  <si>
    <t>品名</t>
    <rPh sb="0" eb="2">
      <t>ヒンメイ</t>
    </rPh>
    <phoneticPr fontId="1"/>
  </si>
  <si>
    <t>数</t>
    <rPh sb="0" eb="1">
      <t>スウ</t>
    </rPh>
    <phoneticPr fontId="1"/>
  </si>
  <si>
    <t>月／日</t>
    <rPh sb="0" eb="1">
      <t>ツキ</t>
    </rPh>
    <rPh sb="2" eb="3">
      <t>ヒ</t>
    </rPh>
    <phoneticPr fontId="1"/>
  </si>
  <si>
    <t>※登行ルートを・・・で、幕営地を△で図示せよ。</t>
    <rPh sb="1" eb="2">
      <t>ノボル</t>
    </rPh>
    <rPh sb="2" eb="3">
      <t>ギョウ</t>
    </rPh>
    <rPh sb="12" eb="14">
      <t>バクエイ</t>
    </rPh>
    <rPh sb="14" eb="15">
      <t>チ</t>
    </rPh>
    <rPh sb="18" eb="20">
      <t>ズシ</t>
    </rPh>
    <phoneticPr fontId="1"/>
  </si>
  <si>
    <t>Lスパッツ</t>
    <phoneticPr fontId="1"/>
  </si>
  <si>
    <t>マット</t>
    <phoneticPr fontId="1"/>
  </si>
  <si>
    <t>ザック</t>
    <phoneticPr fontId="1"/>
  </si>
  <si>
    <t>コンパス</t>
    <phoneticPr fontId="1"/>
  </si>
  <si>
    <t>ゴーグル</t>
    <phoneticPr fontId="1"/>
  </si>
  <si>
    <t>ピッケル</t>
    <phoneticPr fontId="1"/>
  </si>
  <si>
    <t>ザックカバー</t>
    <phoneticPr fontId="1"/>
  </si>
  <si>
    <t>ヘルメット</t>
    <phoneticPr fontId="1"/>
  </si>
  <si>
    <t>タオル</t>
    <phoneticPr fontId="1"/>
  </si>
  <si>
    <t>オーバーミトン</t>
    <phoneticPr fontId="1"/>
  </si>
  <si>
    <t>ハーネス</t>
    <phoneticPr fontId="1"/>
  </si>
  <si>
    <t>ストック</t>
    <phoneticPr fontId="1"/>
  </si>
  <si>
    <t>シュラフ</t>
    <phoneticPr fontId="1"/>
  </si>
  <si>
    <t>サングラス</t>
    <phoneticPr fontId="1"/>
  </si>
  <si>
    <t>シュラフカバー</t>
    <phoneticPr fontId="1"/>
  </si>
  <si>
    <t>ヘッドランプ</t>
    <phoneticPr fontId="1"/>
  </si>
  <si>
    <t>テントシューズ</t>
    <phoneticPr fontId="1"/>
  </si>
  <si>
    <t>山　行　報　告　書</t>
    <rPh sb="0" eb="1">
      <t>ヤマ</t>
    </rPh>
    <rPh sb="2" eb="3">
      <t>ユ</t>
    </rPh>
    <rPh sb="4" eb="5">
      <t>ホウ</t>
    </rPh>
    <rPh sb="6" eb="7">
      <t>コク</t>
    </rPh>
    <rPh sb="8" eb="9">
      <t>ショ</t>
    </rPh>
    <phoneticPr fontId="1"/>
  </si>
  <si>
    <t>反省会</t>
    <rPh sb="0" eb="2">
      <t>ハンセイ</t>
    </rPh>
    <rPh sb="2" eb="3">
      <t>カイ</t>
    </rPh>
    <phoneticPr fontId="1"/>
  </si>
  <si>
    <t>山域・山名</t>
    <rPh sb="0" eb="1">
      <t>ヤマ</t>
    </rPh>
    <rPh sb="1" eb="2">
      <t>イキ</t>
    </rPh>
    <rPh sb="3" eb="4">
      <t>ヤマ</t>
    </rPh>
    <rPh sb="4" eb="5">
      <t>ナ</t>
    </rPh>
    <phoneticPr fontId="1"/>
  </si>
  <si>
    <t>期間</t>
    <rPh sb="0" eb="2">
      <t>キカン</t>
    </rPh>
    <phoneticPr fontId="1"/>
  </si>
  <si>
    <t>記入者</t>
    <rPh sb="0" eb="2">
      <t>キニュウ</t>
    </rPh>
    <rPh sb="2" eb="3">
      <t>シャ</t>
    </rPh>
    <phoneticPr fontId="1"/>
  </si>
  <si>
    <t>反省会参加者</t>
    <rPh sb="0" eb="2">
      <t>ハンセイ</t>
    </rPh>
    <rPh sb="2" eb="3">
      <t>カイ</t>
    </rPh>
    <rPh sb="3" eb="6">
      <t>サンカシャ</t>
    </rPh>
    <phoneticPr fontId="1"/>
  </si>
  <si>
    <t>　　　　　　年　　月　　日</t>
    <rPh sb="6" eb="7">
      <t>ネン</t>
    </rPh>
    <rPh sb="9" eb="10">
      <t>ガツ</t>
    </rPh>
    <rPh sb="12" eb="13">
      <t>ニチ</t>
    </rPh>
    <phoneticPr fontId="1"/>
  </si>
  <si>
    <t>　　　　　年　　月　　日～　　月　　日</t>
    <rPh sb="5" eb="6">
      <t>ネン</t>
    </rPh>
    <rPh sb="8" eb="9">
      <t>ガツ</t>
    </rPh>
    <rPh sb="11" eb="12">
      <t>ニチ</t>
    </rPh>
    <rPh sb="15" eb="16">
      <t>ガツ</t>
    </rPh>
    <rPh sb="18" eb="19">
      <t>ニチ</t>
    </rPh>
    <phoneticPr fontId="1"/>
  </si>
  <si>
    <t>参加者</t>
    <rPh sb="0" eb="3">
      <t>サンカシャ</t>
    </rPh>
    <phoneticPr fontId="1"/>
  </si>
  <si>
    <t>（任務・氏名）</t>
    <rPh sb="1" eb="3">
      <t>ニンム</t>
    </rPh>
    <rPh sb="4" eb="6">
      <t>シメイ</t>
    </rPh>
    <phoneticPr fontId="1"/>
  </si>
  <si>
    <t>会計報告</t>
    <rPh sb="0" eb="2">
      <t>カイケイ</t>
    </rPh>
    <rPh sb="2" eb="4">
      <t>ホウコク</t>
    </rPh>
    <phoneticPr fontId="1"/>
  </si>
  <si>
    <t>交通機関（電話・最寄停留所）</t>
    <rPh sb="0" eb="2">
      <t>コウツウ</t>
    </rPh>
    <rPh sb="2" eb="4">
      <t>キカン</t>
    </rPh>
    <rPh sb="5" eb="7">
      <t>デンワ</t>
    </rPh>
    <rPh sb="8" eb="10">
      <t>モヨリ</t>
    </rPh>
    <rPh sb="10" eb="12">
      <t>テイリュウ</t>
    </rPh>
    <rPh sb="12" eb="13">
      <t>ショ</t>
    </rPh>
    <phoneticPr fontId="1"/>
  </si>
  <si>
    <t>山行のまとめ</t>
    <rPh sb="0" eb="2">
      <t>サンコウ</t>
    </rPh>
    <phoneticPr fontId="1"/>
  </si>
  <si>
    <t>行動記録（日時、天候、気温、コースタイム）</t>
    <rPh sb="0" eb="2">
      <t>コウドウ</t>
    </rPh>
    <rPh sb="2" eb="4">
      <t>キロク</t>
    </rPh>
    <rPh sb="5" eb="7">
      <t>ニチジ</t>
    </rPh>
    <rPh sb="8" eb="10">
      <t>テンコウ</t>
    </rPh>
    <rPh sb="11" eb="13">
      <t>キオン</t>
    </rPh>
    <phoneticPr fontId="1"/>
  </si>
  <si>
    <t>コース、幕営地、水場の状況と注意点</t>
    <rPh sb="4" eb="6">
      <t>バクエイ</t>
    </rPh>
    <rPh sb="6" eb="7">
      <t>チ</t>
    </rPh>
    <rPh sb="8" eb="9">
      <t>ミズ</t>
    </rPh>
    <rPh sb="9" eb="10">
      <t>バ</t>
    </rPh>
    <rPh sb="11" eb="13">
      <t>ジョウキョウ</t>
    </rPh>
    <rPh sb="14" eb="17">
      <t>チュウイテン</t>
    </rPh>
    <phoneticPr fontId="1"/>
  </si>
  <si>
    <t>装備、食料その他問題点</t>
    <rPh sb="0" eb="2">
      <t>ソウビ</t>
    </rPh>
    <rPh sb="3" eb="5">
      <t>ショクリョウ</t>
    </rPh>
    <rPh sb="7" eb="8">
      <t>タ</t>
    </rPh>
    <rPh sb="8" eb="11">
      <t>モンダイテン</t>
    </rPh>
    <phoneticPr fontId="1"/>
  </si>
  <si>
    <t>事故後に処理</t>
    <rPh sb="0" eb="3">
      <t>ジコゴ</t>
    </rPh>
    <rPh sb="4" eb="6">
      <t>ショリ</t>
    </rPh>
    <phoneticPr fontId="1"/>
  </si>
  <si>
    <t>事故につながる要因はなかったか</t>
    <rPh sb="0" eb="2">
      <t>ジコ</t>
    </rPh>
    <rPh sb="7" eb="9">
      <t>ヨウイン</t>
    </rPh>
    <phoneticPr fontId="1"/>
  </si>
  <si>
    <t>事故、事故未遂があれば・・・（事故報告は別途記入のこと）</t>
    <rPh sb="0" eb="2">
      <t>ジコ</t>
    </rPh>
    <rPh sb="3" eb="5">
      <t>ジコ</t>
    </rPh>
    <rPh sb="5" eb="7">
      <t>ミスイ</t>
    </rPh>
    <rPh sb="15" eb="17">
      <t>ジコ</t>
    </rPh>
    <rPh sb="17" eb="19">
      <t>ホウコク</t>
    </rPh>
    <rPh sb="20" eb="22">
      <t>ベット</t>
    </rPh>
    <rPh sb="22" eb="24">
      <t>キニュウ</t>
    </rPh>
    <phoneticPr fontId="1"/>
  </si>
  <si>
    <t>事故発生日時</t>
    <rPh sb="0" eb="2">
      <t>ジコ</t>
    </rPh>
    <rPh sb="2" eb="4">
      <t>ハッセイ</t>
    </rPh>
    <rPh sb="4" eb="6">
      <t>ニチジ</t>
    </rPh>
    <phoneticPr fontId="1"/>
  </si>
  <si>
    <t>事故者の氏名</t>
    <rPh sb="0" eb="2">
      <t>ジコ</t>
    </rPh>
    <rPh sb="2" eb="3">
      <t>シャ</t>
    </rPh>
    <rPh sb="4" eb="6">
      <t>シメイ</t>
    </rPh>
    <phoneticPr fontId="1"/>
  </si>
  <si>
    <t>傷病の程度</t>
    <rPh sb="0" eb="2">
      <t>ショウビョウ</t>
    </rPh>
    <rPh sb="3" eb="5">
      <t>テイド</t>
    </rPh>
    <phoneticPr fontId="1"/>
  </si>
  <si>
    <t>事故発生の原因</t>
    <rPh sb="0" eb="2">
      <t>ジコ</t>
    </rPh>
    <rPh sb="2" eb="4">
      <t>ハッセイ</t>
    </rPh>
    <rPh sb="5" eb="7">
      <t>ゲンイン</t>
    </rPh>
    <phoneticPr fontId="1"/>
  </si>
  <si>
    <t>日焼け止め</t>
    <rPh sb="0" eb="2">
      <t>ヒヤ</t>
    </rPh>
    <rPh sb="3" eb="4">
      <t>ド</t>
    </rPh>
    <phoneticPr fontId="1"/>
  </si>
  <si>
    <t>電話番号</t>
    <rPh sb="0" eb="2">
      <t>デンワ</t>
    </rPh>
    <rPh sb="2" eb="4">
      <t>バンゴウ</t>
    </rPh>
    <phoneticPr fontId="1"/>
  </si>
  <si>
    <t>血液型</t>
    <rPh sb="0" eb="2">
      <t>ケツエキ</t>
    </rPh>
    <rPh sb="2" eb="3">
      <t>カタ</t>
    </rPh>
    <phoneticPr fontId="1"/>
  </si>
  <si>
    <t>会長</t>
    <rPh sb="0" eb="2">
      <t>カイチョウ</t>
    </rPh>
    <phoneticPr fontId="1"/>
  </si>
  <si>
    <t>副会長</t>
    <rPh sb="0" eb="3">
      <t>フクカイチョウ</t>
    </rPh>
    <phoneticPr fontId="1"/>
  </si>
  <si>
    <t>事務局長</t>
    <rPh sb="0" eb="2">
      <t>ジム</t>
    </rPh>
    <rPh sb="2" eb="4">
      <t>キョクチョウ</t>
    </rPh>
    <phoneticPr fontId="1"/>
  </si>
  <si>
    <t>交通機関</t>
    <rPh sb="0" eb="2">
      <t>コウツウ</t>
    </rPh>
    <rPh sb="2" eb="4">
      <t>キカン</t>
    </rPh>
    <phoneticPr fontId="1"/>
  </si>
  <si>
    <t>日程</t>
    <rPh sb="0" eb="2">
      <t>ニッテイ</t>
    </rPh>
    <phoneticPr fontId="1"/>
  </si>
  <si>
    <t>（注意）リーダーは集合場所で参加者の装備と体調を確認、下山後に終了ミーティングをする。</t>
    <rPh sb="1" eb="3">
      <t>チュウイ</t>
    </rPh>
    <rPh sb="9" eb="11">
      <t>シュウゴウ</t>
    </rPh>
    <rPh sb="11" eb="13">
      <t>バショ</t>
    </rPh>
    <rPh sb="14" eb="17">
      <t>サンカシャ</t>
    </rPh>
    <rPh sb="18" eb="20">
      <t>ソウビ</t>
    </rPh>
    <rPh sb="21" eb="23">
      <t>タイチョウ</t>
    </rPh>
    <rPh sb="24" eb="26">
      <t>カクニン</t>
    </rPh>
    <rPh sb="27" eb="29">
      <t>ゲザン</t>
    </rPh>
    <rPh sb="29" eb="30">
      <t>ゴ</t>
    </rPh>
    <rPh sb="31" eb="33">
      <t>シュウリョウ</t>
    </rPh>
    <phoneticPr fontId="1"/>
  </si>
  <si>
    <t>※「自己の責任と判断」でご参加ください。また、ご家族に計画内容を説明し、理解を得ておきましょう。</t>
    <rPh sb="2" eb="4">
      <t>ジコ</t>
    </rPh>
    <rPh sb="5" eb="7">
      <t>セキニン</t>
    </rPh>
    <rPh sb="8" eb="10">
      <t>ハンダン</t>
    </rPh>
    <rPh sb="13" eb="15">
      <t>サンカ</t>
    </rPh>
    <rPh sb="24" eb="26">
      <t>カゾク</t>
    </rPh>
    <rPh sb="27" eb="29">
      <t>ケイカク</t>
    </rPh>
    <rPh sb="29" eb="31">
      <t>ナイヨウ</t>
    </rPh>
    <rPh sb="32" eb="34">
      <t>セツメイ</t>
    </rPh>
    <rPh sb="36" eb="38">
      <t>リカイ</t>
    </rPh>
    <rPh sb="39" eb="40">
      <t>エ</t>
    </rPh>
    <phoneticPr fontId="1"/>
  </si>
  <si>
    <t>帽子</t>
    <rPh sb="0" eb="2">
      <t>ボウシ</t>
    </rPh>
    <phoneticPr fontId="1"/>
  </si>
  <si>
    <t>特記事項</t>
    <rPh sb="0" eb="2">
      <t>トッキ</t>
    </rPh>
    <rPh sb="2" eb="4">
      <t>ジコウ</t>
    </rPh>
    <phoneticPr fontId="1"/>
  </si>
  <si>
    <t>替え電池</t>
    <rPh sb="0" eb="1">
      <t>カ</t>
    </rPh>
    <rPh sb="2" eb="4">
      <t>デンチ</t>
    </rPh>
    <phoneticPr fontId="1"/>
  </si>
  <si>
    <t>ﾅｲﾌ</t>
    <phoneticPr fontId="1"/>
  </si>
  <si>
    <t>ﾎｲｯｽﾙ</t>
    <phoneticPr fontId="1"/>
  </si>
  <si>
    <t>届出警察署</t>
    <rPh sb="0" eb="2">
      <t>トドケデ</t>
    </rPh>
    <rPh sb="2" eb="4">
      <t>ケイサツ</t>
    </rPh>
    <rPh sb="4" eb="5">
      <t>ショ</t>
    </rPh>
    <phoneticPr fontId="1"/>
  </si>
  <si>
    <t>持病</t>
    <rPh sb="0" eb="2">
      <t>ジビョウ</t>
    </rPh>
    <phoneticPr fontId="1"/>
  </si>
  <si>
    <t>緊急連絡先        　　　　　　　　　続柄（　名　前　）　　　　　　　　</t>
    <rPh sb="0" eb="2">
      <t>キンキュウ</t>
    </rPh>
    <rPh sb="2" eb="4">
      <t>レンラク</t>
    </rPh>
    <rPh sb="4" eb="5">
      <t>サキ</t>
    </rPh>
    <rPh sb="22" eb="23">
      <t>ツヅ</t>
    </rPh>
    <rPh sb="23" eb="24">
      <t>ガラ</t>
    </rPh>
    <rPh sb="26" eb="27">
      <t>メイ</t>
    </rPh>
    <rPh sb="28" eb="29">
      <t>マエ</t>
    </rPh>
    <phoneticPr fontId="1"/>
  </si>
  <si>
    <t>環付カラビナ</t>
    <rPh sb="0" eb="1">
      <t>カン</t>
    </rPh>
    <rPh sb="1" eb="2">
      <t>ツキ</t>
    </rPh>
    <phoneticPr fontId="1"/>
  </si>
  <si>
    <t>環無しカラビナ</t>
    <rPh sb="0" eb="1">
      <t>カン</t>
    </rPh>
    <rPh sb="1" eb="2">
      <t>ナ</t>
    </rPh>
    <phoneticPr fontId="1"/>
  </si>
  <si>
    <t>防寒着</t>
    <rPh sb="0" eb="2">
      <t>ボウカン</t>
    </rPh>
    <rPh sb="2" eb="3">
      <t>ギ</t>
    </rPh>
    <phoneticPr fontId="1"/>
  </si>
  <si>
    <t>調達</t>
    <rPh sb="0" eb="2">
      <t>チョウタツ</t>
    </rPh>
    <phoneticPr fontId="1"/>
  </si>
  <si>
    <t>担架</t>
    <rPh sb="0" eb="2">
      <t>タンカ</t>
    </rPh>
    <phoneticPr fontId="1"/>
  </si>
  <si>
    <t>スノーシェル</t>
    <phoneticPr fontId="1"/>
  </si>
  <si>
    <t>ｱｲｾﾞﾝ（12本）</t>
    <rPh sb="8" eb="9">
      <t>ホン</t>
    </rPh>
    <phoneticPr fontId="1"/>
  </si>
  <si>
    <t>ビーコン</t>
    <phoneticPr fontId="1"/>
  </si>
  <si>
    <t>ショベル</t>
    <phoneticPr fontId="1"/>
  </si>
  <si>
    <t>替手袋</t>
    <rPh sb="0" eb="1">
      <t>カ</t>
    </rPh>
    <rPh sb="1" eb="3">
      <t>テブクロ</t>
    </rPh>
    <phoneticPr fontId="1"/>
  </si>
  <si>
    <t>テルモス</t>
    <phoneticPr fontId="1"/>
  </si>
  <si>
    <t>軍手（調理用）</t>
    <rPh sb="0" eb="2">
      <t>グンテ</t>
    </rPh>
    <rPh sb="3" eb="6">
      <t>チョウリヨウ</t>
    </rPh>
    <phoneticPr fontId="1"/>
  </si>
  <si>
    <t>トレーニングの日時、場所、内容、参加者</t>
    <rPh sb="7" eb="9">
      <t>ニチジ</t>
    </rPh>
    <rPh sb="10" eb="12">
      <t>バショ</t>
    </rPh>
    <rPh sb="13" eb="15">
      <t>ナイヨウ</t>
    </rPh>
    <rPh sb="16" eb="19">
      <t>サンカシャ</t>
    </rPh>
    <phoneticPr fontId="1"/>
  </si>
  <si>
    <t>ミーティングの日時、参加者</t>
    <rPh sb="7" eb="9">
      <t>ニチジ</t>
    </rPh>
    <rPh sb="10" eb="13">
      <t>サンカシャ</t>
    </rPh>
    <phoneticPr fontId="1"/>
  </si>
  <si>
    <t>〒650-0022　　　　　　　　　　　　　　　　　　　　　　　　　神戸市中央区元町通7丁目1-6　　　　　　　　　　日光ビル201号室</t>
    <rPh sb="34" eb="37">
      <t>コウベシ</t>
    </rPh>
    <rPh sb="37" eb="40">
      <t>チュウオウク</t>
    </rPh>
    <rPh sb="40" eb="42">
      <t>モトマチ</t>
    </rPh>
    <rPh sb="42" eb="43">
      <t>ドオ</t>
    </rPh>
    <rPh sb="44" eb="46">
      <t>チョウメ</t>
    </rPh>
    <rPh sb="59" eb="61">
      <t>ニッコウ</t>
    </rPh>
    <rPh sb="66" eb="68">
      <t>ゴウシツ</t>
    </rPh>
    <phoneticPr fontId="1"/>
  </si>
  <si>
    <t>○</t>
    <phoneticPr fontId="1"/>
  </si>
  <si>
    <t>△</t>
    <phoneticPr fontId="1"/>
  </si>
  <si>
    <t>スリング120</t>
    <phoneticPr fontId="1"/>
  </si>
  <si>
    <t>スリング60</t>
    <phoneticPr fontId="1"/>
  </si>
  <si>
    <t>お風呂セット</t>
    <rPh sb="1" eb="3">
      <t>フロ</t>
    </rPh>
    <phoneticPr fontId="1"/>
  </si>
  <si>
    <t>GPS</t>
    <phoneticPr fontId="1"/>
  </si>
  <si>
    <t>○</t>
    <phoneticPr fontId="1"/>
  </si>
  <si>
    <t>○</t>
    <phoneticPr fontId="1"/>
  </si>
  <si>
    <t>○</t>
    <phoneticPr fontId="1"/>
  </si>
  <si>
    <t>○</t>
    <phoneticPr fontId="1"/>
  </si>
  <si>
    <t>プルージックコード</t>
    <phoneticPr fontId="1"/>
  </si>
  <si>
    <t>ベニヤ板</t>
    <rPh sb="3" eb="4">
      <t>イタ</t>
    </rPh>
    <phoneticPr fontId="1"/>
  </si>
  <si>
    <t>エスケープルート</t>
    <phoneticPr fontId="1"/>
  </si>
  <si>
    <t>バイル</t>
    <phoneticPr fontId="1"/>
  </si>
  <si>
    <t>水筒</t>
    <rPh sb="0" eb="2">
      <t>スイトウ</t>
    </rPh>
    <phoneticPr fontId="1"/>
  </si>
  <si>
    <t>最終下山報告日時</t>
    <rPh sb="0" eb="2">
      <t>サイシュウ</t>
    </rPh>
    <rPh sb="2" eb="4">
      <t>ゲザン</t>
    </rPh>
    <rPh sb="4" eb="6">
      <t>ホウコク</t>
    </rPh>
    <rPh sb="6" eb="8">
      <t>ニチジ</t>
    </rPh>
    <phoneticPr fontId="1"/>
  </si>
  <si>
    <t>ＳＬ</t>
    <phoneticPr fontId="1"/>
  </si>
  <si>
    <t>プローブ</t>
    <phoneticPr fontId="1"/>
  </si>
  <si>
    <t>（車所有者名）</t>
    <rPh sb="1" eb="2">
      <t>クルマ</t>
    </rPh>
    <rPh sb="2" eb="5">
      <t>ショユウシャ</t>
    </rPh>
    <rPh sb="5" eb="6">
      <t>ナ</t>
    </rPh>
    <phoneticPr fontId="1"/>
  </si>
  <si>
    <t>ＣＬ</t>
    <phoneticPr fontId="1"/>
  </si>
  <si>
    <t>確保器</t>
    <rPh sb="0" eb="2">
      <t>カクホ</t>
    </rPh>
    <rPh sb="2" eb="3">
      <t>キ</t>
    </rPh>
    <phoneticPr fontId="1"/>
  </si>
  <si>
    <t>〇</t>
    <phoneticPr fontId="1"/>
  </si>
  <si>
    <t>救急セット</t>
    <rPh sb="0" eb="2">
      <t>キュウキュウ</t>
    </rPh>
    <phoneticPr fontId="1"/>
  </si>
  <si>
    <t>非常食</t>
    <rPh sb="0" eb="3">
      <t>ヒジョウショク</t>
    </rPh>
    <phoneticPr fontId="1"/>
  </si>
  <si>
    <t>食料</t>
    <rPh sb="0" eb="2">
      <t>ショクリョウ</t>
    </rPh>
    <phoneticPr fontId="1"/>
  </si>
  <si>
    <t>受理者：</t>
    <rPh sb="0" eb="2">
      <t>ジュリ</t>
    </rPh>
    <rPh sb="2" eb="3">
      <t>シャ</t>
    </rPh>
    <phoneticPr fontId="1"/>
  </si>
  <si>
    <t>受理日</t>
    <rPh sb="0" eb="2">
      <t>ジュリ</t>
    </rPh>
    <rPh sb="2" eb="3">
      <t>ニチ</t>
    </rPh>
    <phoneticPr fontId="1"/>
  </si>
  <si>
    <t>ラジオ</t>
    <phoneticPr fontId="1"/>
  </si>
  <si>
    <t>-本体</t>
    <rPh sb="1" eb="3">
      <t>ホンタイ</t>
    </rPh>
    <phoneticPr fontId="1"/>
  </si>
  <si>
    <t>-ﾌﾗｲ</t>
    <phoneticPr fontId="1"/>
  </si>
  <si>
    <t>無線機A</t>
    <rPh sb="0" eb="3">
      <t>ムセンキ</t>
    </rPh>
    <phoneticPr fontId="1"/>
  </si>
  <si>
    <t>-ﾎﾟｰﾙ</t>
    <phoneticPr fontId="1"/>
  </si>
  <si>
    <t>無線機B</t>
    <rPh sb="0" eb="2">
      <t>ムセン</t>
    </rPh>
    <rPh sb="2" eb="3">
      <t>キ</t>
    </rPh>
    <phoneticPr fontId="1"/>
  </si>
  <si>
    <t>スノーピケット</t>
    <phoneticPr fontId="1"/>
  </si>
  <si>
    <t>Ｅテント（4人）</t>
    <rPh sb="6" eb="7">
      <t>ニン</t>
    </rPh>
    <phoneticPr fontId="1"/>
  </si>
  <si>
    <t>土嚢２袋</t>
    <rPh sb="0" eb="2">
      <t>ドノウ</t>
    </rPh>
    <rPh sb="3" eb="4">
      <t>フクロ</t>
    </rPh>
    <phoneticPr fontId="1"/>
  </si>
  <si>
    <t>コッフェルセット</t>
    <phoneticPr fontId="1"/>
  </si>
  <si>
    <t>調理器具</t>
    <rPh sb="0" eb="2">
      <t>チョウリ</t>
    </rPh>
    <rPh sb="2" eb="4">
      <t>キグ</t>
    </rPh>
    <phoneticPr fontId="1"/>
  </si>
  <si>
    <t>ポンプ</t>
    <phoneticPr fontId="1"/>
  </si>
  <si>
    <t>コンロセット+ガス</t>
    <phoneticPr fontId="1"/>
  </si>
  <si>
    <t>プラティパス2L</t>
    <phoneticPr fontId="1"/>
  </si>
  <si>
    <t>ブラシ</t>
    <phoneticPr fontId="1"/>
  </si>
  <si>
    <t>プラティパス2L</t>
    <phoneticPr fontId="1"/>
  </si>
  <si>
    <t>ガス（予備）２個</t>
    <rPh sb="3" eb="5">
      <t>ヨビ</t>
    </rPh>
    <rPh sb="7" eb="8">
      <t>コ</t>
    </rPh>
    <phoneticPr fontId="1"/>
  </si>
  <si>
    <t>予備日食品</t>
    <rPh sb="0" eb="2">
      <t>ヨビ</t>
    </rPh>
    <rPh sb="2" eb="3">
      <t>ヒ</t>
    </rPh>
    <rPh sb="3" eb="4">
      <t>ショク</t>
    </rPh>
    <rPh sb="4" eb="5">
      <t>ヒン</t>
    </rPh>
    <phoneticPr fontId="1"/>
  </si>
  <si>
    <t>ショベル3</t>
  </si>
  <si>
    <t>Wロープ３0ｍ</t>
    <phoneticPr fontId="1"/>
  </si>
  <si>
    <t>ショベル1</t>
    <phoneticPr fontId="1"/>
  </si>
  <si>
    <t>ショベル2</t>
  </si>
  <si>
    <t>共同装備分担表　</t>
    <rPh sb="0" eb="2">
      <t>キョウドウ</t>
    </rPh>
    <rPh sb="2" eb="4">
      <t>ソウビ</t>
    </rPh>
    <rPh sb="4" eb="6">
      <t>ブンタン</t>
    </rPh>
    <rPh sb="6" eb="7">
      <t>ヒョウ</t>
    </rPh>
    <phoneticPr fontId="1"/>
  </si>
  <si>
    <t>総重量</t>
    <rPh sb="0" eb="3">
      <t>ソウジュウリョウ</t>
    </rPh>
    <phoneticPr fontId="1"/>
  </si>
  <si>
    <t>共同装備</t>
    <rPh sb="0" eb="2">
      <t>キョウドウ</t>
    </rPh>
    <rPh sb="2" eb="4">
      <t>ソウビ</t>
    </rPh>
    <phoneticPr fontId="1"/>
  </si>
  <si>
    <t>重量 g</t>
    <rPh sb="0" eb="2">
      <t>ジュウリョウ</t>
    </rPh>
    <phoneticPr fontId="1"/>
  </si>
  <si>
    <t>数</t>
    <rPh sb="0" eb="1">
      <t>カズ</t>
    </rPh>
    <phoneticPr fontId="1"/>
  </si>
  <si>
    <t>メンバー</t>
    <phoneticPr fontId="1"/>
  </si>
  <si>
    <t>ガスボンベ</t>
    <phoneticPr fontId="1"/>
  </si>
  <si>
    <t>ハンディ内容</t>
    <rPh sb="4" eb="6">
      <t>ナイヨウ</t>
    </rPh>
    <phoneticPr fontId="1"/>
  </si>
  <si>
    <t>ハンディ</t>
    <phoneticPr fontId="1"/>
  </si>
  <si>
    <t>ポンプ</t>
    <phoneticPr fontId="1"/>
  </si>
  <si>
    <t>個人担架重量</t>
    <rPh sb="0" eb="2">
      <t>コジン</t>
    </rPh>
    <rPh sb="2" eb="4">
      <t>タンカ</t>
    </rPh>
    <rPh sb="4" eb="6">
      <t>ジュウリョウ</t>
    </rPh>
    <phoneticPr fontId="1"/>
  </si>
  <si>
    <t>平均担架(ハンディ込）</t>
    <rPh sb="0" eb="2">
      <t>ヘイキン</t>
    </rPh>
    <rPh sb="2" eb="4">
      <t>タンカ</t>
    </rPh>
    <rPh sb="9" eb="10">
      <t>コミ</t>
    </rPh>
    <phoneticPr fontId="1"/>
  </si>
  <si>
    <t>メタ・マッチ</t>
    <phoneticPr fontId="1"/>
  </si>
  <si>
    <t>個人担架量（ギャップ）</t>
    <rPh sb="0" eb="2">
      <t>コジン</t>
    </rPh>
    <rPh sb="2" eb="4">
      <t>タンカ</t>
    </rPh>
    <rPh sb="4" eb="5">
      <t>リョウ</t>
    </rPh>
    <phoneticPr fontId="1"/>
  </si>
  <si>
    <t>ブラシ</t>
    <phoneticPr fontId="1"/>
  </si>
  <si>
    <t>修理道具</t>
    <rPh sb="0" eb="2">
      <t>シュウリ</t>
    </rPh>
    <rPh sb="2" eb="4">
      <t>ドウグ</t>
    </rPh>
    <phoneticPr fontId="1"/>
  </si>
  <si>
    <t>救急品</t>
    <rPh sb="0" eb="2">
      <t>キュウキュウ</t>
    </rPh>
    <rPh sb="2" eb="3">
      <t>ヒン</t>
    </rPh>
    <phoneticPr fontId="1"/>
  </si>
  <si>
    <t>デッドマン（大）</t>
    <rPh sb="6" eb="7">
      <t>ダイ</t>
    </rPh>
    <phoneticPr fontId="1"/>
  </si>
  <si>
    <t>ハンディ表</t>
    <rPh sb="4" eb="5">
      <t>ヒョウ</t>
    </rPh>
    <phoneticPr fontId="1"/>
  </si>
  <si>
    <t>デッドマン（小）</t>
    <rPh sb="6" eb="7">
      <t>ショウ</t>
    </rPh>
    <phoneticPr fontId="1"/>
  </si>
  <si>
    <t>スコップ（ＢＤ）</t>
    <phoneticPr fontId="1"/>
  </si>
  <si>
    <t>ＣＬ</t>
    <phoneticPr fontId="1"/>
  </si>
  <si>
    <t>㎏</t>
    <phoneticPr fontId="1"/>
  </si>
  <si>
    <t>沢ハンマー（ミゾー）</t>
    <rPh sb="0" eb="1">
      <t>サワ</t>
    </rPh>
    <phoneticPr fontId="1"/>
  </si>
  <si>
    <t>50才台</t>
    <rPh sb="2" eb="3">
      <t>サイ</t>
    </rPh>
    <rPh sb="3" eb="4">
      <t>ダイ</t>
    </rPh>
    <phoneticPr fontId="1"/>
  </si>
  <si>
    <t>ロックハンマー</t>
    <phoneticPr fontId="1"/>
  </si>
  <si>
    <t>60才台</t>
    <rPh sb="2" eb="3">
      <t>サイ</t>
    </rPh>
    <rPh sb="3" eb="4">
      <t>ダイ</t>
    </rPh>
    <phoneticPr fontId="1"/>
  </si>
  <si>
    <t>無線機ＶＸ-6</t>
    <rPh sb="0" eb="3">
      <t>ムセンキ</t>
    </rPh>
    <phoneticPr fontId="1"/>
  </si>
  <si>
    <t>女性</t>
    <rPh sb="0" eb="2">
      <t>ジョセイ</t>
    </rPh>
    <phoneticPr fontId="1"/>
  </si>
  <si>
    <t>無線機予備電池</t>
    <rPh sb="0" eb="3">
      <t>ムセンキ</t>
    </rPh>
    <rPh sb="3" eb="5">
      <t>ヨビ</t>
    </rPh>
    <rPh sb="5" eb="7">
      <t>デンチ</t>
    </rPh>
    <phoneticPr fontId="1"/>
  </si>
  <si>
    <t>ランタン本体</t>
    <rPh sb="4" eb="6">
      <t>ホンタイ</t>
    </rPh>
    <phoneticPr fontId="1"/>
  </si>
  <si>
    <t>ツエルト（3人）</t>
    <rPh sb="6" eb="7">
      <t>ニン</t>
    </rPh>
    <phoneticPr fontId="1"/>
  </si>
  <si>
    <t>ロープ9.5ｼﾝｸﾞﾙ60Ｍ</t>
    <phoneticPr fontId="1"/>
  </si>
  <si>
    <t>ロープ9.0ﾀﾞﾌﾞﾙ50Ｍ</t>
    <phoneticPr fontId="1"/>
  </si>
  <si>
    <t>ロープ8.5㎜ﾀﾞﾌﾞﾙ60Ｍ</t>
    <phoneticPr fontId="1"/>
  </si>
  <si>
    <t>ロープ8.5㎜ﾀﾞﾌﾞﾙ50Ｍ</t>
    <phoneticPr fontId="1"/>
  </si>
  <si>
    <t>ロープ8.0ﾀﾞﾌﾞﾙ30Ｍ</t>
    <phoneticPr fontId="1"/>
  </si>
  <si>
    <t>テントマット（薄）</t>
    <rPh sb="7" eb="8">
      <t>ウス</t>
    </rPh>
    <phoneticPr fontId="1"/>
  </si>
  <si>
    <t>ケーキ皿（大）</t>
    <rPh sb="3" eb="4">
      <t>サラ</t>
    </rPh>
    <rPh sb="5" eb="6">
      <t>ダイ</t>
    </rPh>
    <phoneticPr fontId="1"/>
  </si>
  <si>
    <t>ケーキ皿（小）</t>
    <rPh sb="3" eb="4">
      <t>サラ</t>
    </rPh>
    <rPh sb="5" eb="6">
      <t>ショウ</t>
    </rPh>
    <phoneticPr fontId="1"/>
  </si>
  <si>
    <t>土嚢袋</t>
    <rPh sb="0" eb="2">
      <t>ドノウ</t>
    </rPh>
    <rPh sb="2" eb="3">
      <t>フクロ</t>
    </rPh>
    <phoneticPr fontId="1"/>
  </si>
  <si>
    <t>テント（2人）本体・フライ</t>
    <rPh sb="5" eb="6">
      <t>ニン</t>
    </rPh>
    <rPh sb="7" eb="9">
      <t>ホンタイ</t>
    </rPh>
    <phoneticPr fontId="1"/>
  </si>
  <si>
    <t>テント（2人）ポール</t>
    <rPh sb="5" eb="6">
      <t>ニン</t>
    </rPh>
    <phoneticPr fontId="1"/>
  </si>
  <si>
    <t>補助ロープ９ミリ10ｍ</t>
    <rPh sb="0" eb="2">
      <t>ホジョ</t>
    </rPh>
    <phoneticPr fontId="1"/>
  </si>
  <si>
    <t>救急セット</t>
    <phoneticPr fontId="1"/>
  </si>
  <si>
    <t>ガス&amp;ﾊﾞｰﾅｰ（コッヘル付）</t>
    <rPh sb="13" eb="14">
      <t>ツキ</t>
    </rPh>
    <phoneticPr fontId="1"/>
  </si>
  <si>
    <t>コッヘル＆調理具セット</t>
    <rPh sb="5" eb="7">
      <t>チョウリ</t>
    </rPh>
    <rPh sb="7" eb="8">
      <t>グ</t>
    </rPh>
    <phoneticPr fontId="1"/>
  </si>
  <si>
    <t>氏名</t>
    <rPh sb="0" eb="2">
      <t>シメイ</t>
    </rPh>
    <phoneticPr fontId="1"/>
  </si>
  <si>
    <t>役割</t>
    <rPh sb="0" eb="2">
      <t>ヤクワリ</t>
    </rPh>
    <phoneticPr fontId="1"/>
  </si>
  <si>
    <t>竹ペグ（4個セット）</t>
    <rPh sb="0" eb="1">
      <t>タケ</t>
    </rPh>
    <rPh sb="5" eb="6">
      <t>コ</t>
    </rPh>
    <phoneticPr fontId="1"/>
  </si>
  <si>
    <t>Ｅ4人テント（本体）</t>
    <rPh sb="2" eb="3">
      <t>ニン</t>
    </rPh>
    <rPh sb="7" eb="9">
      <t>ホンタイ</t>
    </rPh>
    <phoneticPr fontId="1"/>
  </si>
  <si>
    <t>Ｅ4人テント（フライ）</t>
    <phoneticPr fontId="1"/>
  </si>
  <si>
    <t>Ｅ4人テント（ポール</t>
    <phoneticPr fontId="1"/>
  </si>
  <si>
    <t>Ｅ6-7人テント（本体）</t>
    <rPh sb="4" eb="5">
      <t>ニン</t>
    </rPh>
    <rPh sb="9" eb="11">
      <t>ホンタイ</t>
    </rPh>
    <phoneticPr fontId="1"/>
  </si>
  <si>
    <t>Ｅ6-7人テント（フライ）</t>
    <rPh sb="4" eb="5">
      <t>ニン</t>
    </rPh>
    <phoneticPr fontId="1"/>
  </si>
  <si>
    <t>Ｅ6-7人テント（ポール）</t>
    <rPh sb="4" eb="5">
      <t>ニン</t>
    </rPh>
    <phoneticPr fontId="1"/>
  </si>
  <si>
    <t>Wロープ50ｍ</t>
    <phoneticPr fontId="1"/>
  </si>
  <si>
    <t>カム類</t>
    <rPh sb="2" eb="3">
      <t>ルイ</t>
    </rPh>
    <phoneticPr fontId="1"/>
  </si>
  <si>
    <t>ロックハンマー</t>
    <phoneticPr fontId="1"/>
  </si>
  <si>
    <t>ピトン</t>
    <phoneticPr fontId="1"/>
  </si>
  <si>
    <t>アブミ</t>
    <phoneticPr fontId="1"/>
  </si>
  <si>
    <t xml:space="preserve">トレーニング計画
</t>
    <phoneticPr fontId="1"/>
  </si>
  <si>
    <t>作成者：</t>
    <rPh sb="0" eb="3">
      <t>サクセイシャ</t>
    </rPh>
    <phoneticPr fontId="1"/>
  </si>
  <si>
    <t>提出日　　　　年 　月　日</t>
    <rPh sb="0" eb="2">
      <t>テイシュツ</t>
    </rPh>
    <rPh sb="2" eb="3">
      <t>ニチ</t>
    </rPh>
    <rPh sb="7" eb="8">
      <t>トシ</t>
    </rPh>
    <rPh sb="10" eb="11">
      <t>ツキ</t>
    </rPh>
    <rPh sb="12" eb="13">
      <t>ヒ</t>
    </rPh>
    <phoneticPr fontId="1"/>
  </si>
  <si>
    <t>　　　　月　　　日　　　　時</t>
    <rPh sb="4" eb="5">
      <t>ツキ</t>
    </rPh>
    <rPh sb="8" eb="9">
      <t>ヒ</t>
    </rPh>
    <rPh sb="13" eb="14">
      <t>ジ</t>
    </rPh>
    <phoneticPr fontId="1"/>
  </si>
  <si>
    <t>山　行　計　画　書</t>
    <phoneticPr fontId="1"/>
  </si>
  <si>
    <t>スノーアンカー</t>
    <phoneticPr fontId="1"/>
  </si>
  <si>
    <t>ルート図（概念図）は別シート</t>
    <rPh sb="3" eb="4">
      <t>ズ</t>
    </rPh>
    <rPh sb="5" eb="7">
      <t>ガイネン</t>
    </rPh>
    <rPh sb="7" eb="8">
      <t>ズ</t>
    </rPh>
    <rPh sb="10" eb="11">
      <t>ベツ</t>
    </rPh>
    <phoneticPr fontId="1"/>
  </si>
  <si>
    <t xml:space="preserve">通信欄
</t>
    <rPh sb="0" eb="3">
      <t>ツウシンラン</t>
    </rPh>
    <phoneticPr fontId="1"/>
  </si>
  <si>
    <t>-ﾌﾗｲ</t>
    <phoneticPr fontId="1"/>
  </si>
  <si>
    <t>-ﾎﾟｰﾙ</t>
    <phoneticPr fontId="1"/>
  </si>
  <si>
    <t>-マット</t>
    <phoneticPr fontId="1"/>
  </si>
  <si>
    <t>竹ペグ</t>
    <phoneticPr fontId="1"/>
  </si>
  <si>
    <t>ツエルト1</t>
    <phoneticPr fontId="1"/>
  </si>
  <si>
    <t>ツエルト2</t>
    <phoneticPr fontId="1"/>
  </si>
  <si>
    <t>標竹</t>
    <rPh sb="0" eb="1">
      <t>ヒョウ</t>
    </rPh>
    <rPh sb="1" eb="2">
      <t>タケ</t>
    </rPh>
    <phoneticPr fontId="1"/>
  </si>
  <si>
    <t>赤布</t>
    <rPh sb="0" eb="1">
      <t>アカ</t>
    </rPh>
    <rPh sb="1" eb="2">
      <t>ヌノ</t>
    </rPh>
    <phoneticPr fontId="1"/>
  </si>
  <si>
    <t>ワカン</t>
    <phoneticPr fontId="1"/>
  </si>
  <si>
    <t>スノーシュー</t>
    <phoneticPr fontId="1"/>
  </si>
  <si>
    <t>ペグ</t>
    <phoneticPr fontId="1"/>
  </si>
  <si>
    <t>カム（№　　）</t>
    <phoneticPr fontId="1"/>
  </si>
  <si>
    <t>ガス（予備）</t>
    <rPh sb="3" eb="5">
      <t>ヨビ</t>
    </rPh>
    <phoneticPr fontId="1"/>
  </si>
  <si>
    <t>クライミングシューズ</t>
    <phoneticPr fontId="1"/>
  </si>
  <si>
    <t>チョーク</t>
    <phoneticPr fontId="1"/>
  </si>
  <si>
    <t>沢シューズ</t>
    <rPh sb="0" eb="1">
      <t>サワ</t>
    </rPh>
    <phoneticPr fontId="1"/>
  </si>
  <si>
    <t>Wロープ30ｍ</t>
    <phoneticPr fontId="1"/>
  </si>
  <si>
    <t>ライフジャケット</t>
    <phoneticPr fontId="1"/>
  </si>
  <si>
    <t>防水袋</t>
    <rPh sb="0" eb="2">
      <t>ボウスイ</t>
    </rPh>
    <rPh sb="2" eb="3">
      <t>フクロ</t>
    </rPh>
    <phoneticPr fontId="1"/>
  </si>
  <si>
    <t>※（雪山）個人装備（雪山）</t>
    <rPh sb="2" eb="4">
      <t>ユキヤマ</t>
    </rPh>
    <rPh sb="5" eb="7">
      <t>コジン</t>
    </rPh>
    <rPh sb="7" eb="9">
      <t>ソウビ</t>
    </rPh>
    <rPh sb="10" eb="12">
      <t>ユキヤマ</t>
    </rPh>
    <phoneticPr fontId="1"/>
  </si>
  <si>
    <t>Wロープ50ｍ</t>
    <phoneticPr fontId="1"/>
  </si>
  <si>
    <t>ハイキング
レスキューセット</t>
    <phoneticPr fontId="1"/>
  </si>
  <si>
    <t>※（雪山）共同装備</t>
    <rPh sb="5" eb="7">
      <t>キョウドウ</t>
    </rPh>
    <rPh sb="7" eb="9">
      <t>ソウビ</t>
    </rPh>
    <phoneticPr fontId="1"/>
  </si>
  <si>
    <t>※（無雪期）個人装備（無雪期）</t>
    <rPh sb="6" eb="8">
      <t>コジン</t>
    </rPh>
    <rPh sb="8" eb="10">
      <t>ソウビ</t>
    </rPh>
    <rPh sb="11" eb="12">
      <t>ム</t>
    </rPh>
    <rPh sb="12" eb="13">
      <t>セツ</t>
    </rPh>
    <rPh sb="13" eb="14">
      <t>キ</t>
    </rPh>
    <phoneticPr fontId="1"/>
  </si>
  <si>
    <t>※（無雪期）共同装備</t>
    <rPh sb="6" eb="8">
      <t>キョウドウ</t>
    </rPh>
    <rPh sb="8" eb="10">
      <t>ソウビ</t>
    </rPh>
    <phoneticPr fontId="1"/>
  </si>
  <si>
    <t>※（岩登り）個人装備（岩登り）</t>
    <rPh sb="6" eb="8">
      <t>コジン</t>
    </rPh>
    <rPh sb="8" eb="10">
      <t>ソウビ</t>
    </rPh>
    <rPh sb="11" eb="13">
      <t>イワノボ</t>
    </rPh>
    <phoneticPr fontId="1"/>
  </si>
  <si>
    <t>※（岩登り）共同装備</t>
    <rPh sb="6" eb="8">
      <t>キョウドウ</t>
    </rPh>
    <rPh sb="8" eb="10">
      <t>ソウビ</t>
    </rPh>
    <phoneticPr fontId="1"/>
  </si>
  <si>
    <t>※（沢登り）個人装備（沢登り）</t>
    <rPh sb="6" eb="8">
      <t>コジン</t>
    </rPh>
    <rPh sb="8" eb="10">
      <t>ソウビ</t>
    </rPh>
    <rPh sb="11" eb="13">
      <t>サワノボ</t>
    </rPh>
    <phoneticPr fontId="1"/>
  </si>
  <si>
    <t>※（沢登り）共同装備</t>
    <rPh sb="6" eb="8">
      <t>キョウドウ</t>
    </rPh>
    <rPh sb="8" eb="10">
      <t>ソウビ</t>
    </rPh>
    <phoneticPr fontId="1"/>
  </si>
  <si>
    <t>予備日食品</t>
    <rPh sb="0" eb="3">
      <t>ヨビビ</t>
    </rPh>
    <rPh sb="3" eb="4">
      <t>ショク</t>
    </rPh>
    <rPh sb="4" eb="5">
      <t>ヒン</t>
    </rPh>
    <phoneticPr fontId="1"/>
  </si>
  <si>
    <t>*中止の時は必ず担当部長にも連絡すること。</t>
    <phoneticPr fontId="1"/>
  </si>
  <si>
    <t>持　病
ココヘリ</t>
    <rPh sb="0" eb="1">
      <t>ジ</t>
    </rPh>
    <rPh sb="2" eb="3">
      <t>ヤマイ</t>
    </rPh>
    <phoneticPr fontId="1"/>
  </si>
  <si>
    <t>車所有者</t>
    <rPh sb="0" eb="1">
      <t>クルマ</t>
    </rPh>
    <rPh sb="1" eb="4">
      <t>ショユウシャ</t>
    </rPh>
    <phoneticPr fontId="1"/>
  </si>
  <si>
    <r>
      <t xml:space="preserve">①走行距離
</t>
    </r>
    <r>
      <rPr>
        <sz val="9"/>
        <rFont val="ＭＳ Ｐゴシック"/>
        <family val="3"/>
        <charset val="128"/>
      </rPr>
      <t>（往復）</t>
    </r>
    <rPh sb="1" eb="3">
      <t>ソウコウ</t>
    </rPh>
    <rPh sb="3" eb="5">
      <t>キョリ</t>
    </rPh>
    <rPh sb="7" eb="9">
      <t>オウフク</t>
    </rPh>
    <phoneticPr fontId="1"/>
  </si>
  <si>
    <t>②燃費 km/L</t>
    <rPh sb="1" eb="3">
      <t>ネンピ</t>
    </rPh>
    <phoneticPr fontId="1"/>
  </si>
  <si>
    <t>③円/Ｌ</t>
    <rPh sb="1" eb="2">
      <t>エン</t>
    </rPh>
    <phoneticPr fontId="1"/>
  </si>
  <si>
    <r>
      <t xml:space="preserve">④車使用料
</t>
    </r>
    <r>
      <rPr>
        <sz val="9"/>
        <rFont val="ＭＳ Ｐゴシック"/>
        <family val="3"/>
        <charset val="128"/>
      </rPr>
      <t>[①×15]</t>
    </r>
    <rPh sb="1" eb="2">
      <t>クルマ</t>
    </rPh>
    <rPh sb="2" eb="5">
      <t>シヨウリョウ</t>
    </rPh>
    <phoneticPr fontId="1"/>
  </si>
  <si>
    <r>
      <t xml:space="preserve">⑤ガソリン代
</t>
    </r>
    <r>
      <rPr>
        <sz val="9"/>
        <rFont val="ＭＳ Ｐゴシック"/>
        <family val="3"/>
        <charset val="128"/>
      </rPr>
      <t>[①÷②×③]</t>
    </r>
    <rPh sb="5" eb="6">
      <t>ダイ</t>
    </rPh>
    <phoneticPr fontId="1"/>
  </si>
  <si>
    <t>片道合計</t>
    <rPh sb="0" eb="2">
      <t>カタミチ</t>
    </rPh>
    <rPh sb="2" eb="4">
      <t>ゴウケイ</t>
    </rPh>
    <phoneticPr fontId="1"/>
  </si>
  <si>
    <t>⑥有料道路合計</t>
    <rPh sb="1" eb="3">
      <t>ユウリョウ</t>
    </rPh>
    <rPh sb="3" eb="5">
      <t>ドウロ</t>
    </rPh>
    <rPh sb="5" eb="7">
      <t>ゴウケイ</t>
    </rPh>
    <phoneticPr fontId="1"/>
  </si>
  <si>
    <t>←背景色はリーダーがあらかじめ入力する項目を表す</t>
    <rPh sb="1" eb="4">
      <t>ハイケイショク</t>
    </rPh>
    <rPh sb="15" eb="17">
      <t>ニュウリョク</t>
    </rPh>
    <rPh sb="19" eb="21">
      <t>コウモク</t>
    </rPh>
    <rPh sb="22" eb="23">
      <t>アラワ</t>
    </rPh>
    <phoneticPr fontId="1"/>
  </si>
  <si>
    <t>←背景色は最終支払額を表す</t>
    <rPh sb="1" eb="4">
      <t>ハイケイショク</t>
    </rPh>
    <rPh sb="5" eb="7">
      <t>サイシュウ</t>
    </rPh>
    <rPh sb="7" eb="9">
      <t>シハライ</t>
    </rPh>
    <rPh sb="9" eb="10">
      <t>ガク</t>
    </rPh>
    <rPh sb="11" eb="12">
      <t>アラワ</t>
    </rPh>
    <phoneticPr fontId="1"/>
  </si>
  <si>
    <t>　</t>
    <phoneticPr fontId="1"/>
  </si>
  <si>
    <t>担当</t>
    <rPh sb="0" eb="2">
      <t>タントウ</t>
    </rPh>
    <phoneticPr fontId="1"/>
  </si>
  <si>
    <t>名前</t>
    <rPh sb="0" eb="2">
      <t>ナマエ</t>
    </rPh>
    <phoneticPr fontId="1"/>
  </si>
  <si>
    <t>④車使用料</t>
    <rPh sb="1" eb="2">
      <t>クルマ</t>
    </rPh>
    <rPh sb="2" eb="5">
      <t>シヨウリョウ</t>
    </rPh>
    <phoneticPr fontId="1"/>
  </si>
  <si>
    <t>⑤ガソリン代</t>
    <rPh sb="5" eb="6">
      <t>ダイ</t>
    </rPh>
    <phoneticPr fontId="1"/>
  </si>
  <si>
    <t>⑥有料道路</t>
    <rPh sb="1" eb="3">
      <t>ユウリョウ</t>
    </rPh>
    <rPh sb="3" eb="5">
      <t>ドウロ</t>
    </rPh>
    <phoneticPr fontId="1"/>
  </si>
  <si>
    <t>⑦共同装備</t>
    <rPh sb="1" eb="3">
      <t>キョウドウ</t>
    </rPh>
    <rPh sb="3" eb="5">
      <t>ソウビ</t>
    </rPh>
    <phoneticPr fontId="1"/>
  </si>
  <si>
    <r>
      <t xml:space="preserve">⑧支出計
</t>
    </r>
    <r>
      <rPr>
        <sz val="9"/>
        <rFont val="ＭＳ Ｐゴシック"/>
        <family val="3"/>
        <charset val="128"/>
      </rPr>
      <t>[④～⑦の和]</t>
    </r>
    <rPh sb="1" eb="3">
      <t>シシュツ</t>
    </rPh>
    <rPh sb="3" eb="4">
      <t>ケイ</t>
    </rPh>
    <rPh sb="10" eb="11">
      <t>ワ</t>
    </rPh>
    <phoneticPr fontId="1"/>
  </si>
  <si>
    <r>
      <t>⑩受払
[⑧-⑨</t>
    </r>
    <r>
      <rPr>
        <sz val="9"/>
        <rFont val="ＭＳ Ｐゴシック"/>
        <family val="3"/>
        <charset val="128"/>
      </rPr>
      <t>]</t>
    </r>
    <rPh sb="1" eb="3">
      <t>ウケハライ</t>
    </rPh>
    <phoneticPr fontId="1"/>
  </si>
  <si>
    <r>
      <t xml:space="preserve">⑪受払
</t>
    </r>
    <r>
      <rPr>
        <sz val="10"/>
        <rFont val="ＭＳ Ｐゴシック"/>
        <family val="3"/>
        <charset val="128"/>
      </rPr>
      <t>100円単位</t>
    </r>
    <rPh sb="1" eb="3">
      <t>ウケハライ</t>
    </rPh>
    <rPh sb="7" eb="8">
      <t>エン</t>
    </rPh>
    <rPh sb="8" eb="10">
      <t>タンイ</t>
    </rPh>
    <phoneticPr fontId="1"/>
  </si>
  <si>
    <t>費用</t>
    <rPh sb="0" eb="2">
      <t>ヒヨウ</t>
    </rPh>
    <phoneticPr fontId="1"/>
  </si>
  <si>
    <t>備考・メモ</t>
    <rPh sb="0" eb="2">
      <t>ビコウ</t>
    </rPh>
    <phoneticPr fontId="1"/>
  </si>
  <si>
    <t>リーダー代</t>
    <rPh sb="4" eb="5">
      <t>ダイ</t>
    </rPh>
    <phoneticPr fontId="1"/>
  </si>
  <si>
    <t>テント小屋</t>
    <rPh sb="3" eb="5">
      <t>コヤ</t>
    </rPh>
    <phoneticPr fontId="1"/>
  </si>
  <si>
    <t>小計</t>
    <rPh sb="0" eb="1">
      <t>ショウ</t>
    </rPh>
    <rPh sb="1" eb="2">
      <t>ケイ</t>
    </rPh>
    <phoneticPr fontId="1"/>
  </si>
  <si>
    <t>リーダー代とテント使用代はCLへ</t>
    <rPh sb="4" eb="5">
      <t>ダイ</t>
    </rPh>
    <phoneticPr fontId="1"/>
  </si>
  <si>
    <t>（A）</t>
    <phoneticPr fontId="1"/>
  </si>
  <si>
    <t>テント使用料は原田さんへ入金</t>
    <rPh sb="3" eb="6">
      <t>シヨウリョウ</t>
    </rPh>
    <rPh sb="7" eb="9">
      <t>ハラダ</t>
    </rPh>
    <rPh sb="12" eb="14">
      <t>ニュウキン</t>
    </rPh>
    <phoneticPr fontId="1"/>
  </si>
  <si>
    <t>（B）</t>
    <phoneticPr fontId="1"/>
  </si>
  <si>
    <t>更新履歴</t>
    <rPh sb="0" eb="2">
      <t>コウシン</t>
    </rPh>
    <rPh sb="2" eb="4">
      <t>リレキ</t>
    </rPh>
    <phoneticPr fontId="1"/>
  </si>
  <si>
    <t>R1</t>
    <phoneticPr fontId="1"/>
  </si>
  <si>
    <t>原田さん作成の会計計算フォームをもとにデザインを変更した。</t>
    <rPh sb="0" eb="2">
      <t>ハラダ</t>
    </rPh>
    <rPh sb="4" eb="6">
      <t>サクセイ</t>
    </rPh>
    <rPh sb="7" eb="9">
      <t>カイケイ</t>
    </rPh>
    <rPh sb="9" eb="11">
      <t>ケイサン</t>
    </rPh>
    <rPh sb="24" eb="26">
      <t>ヘンコウ</t>
    </rPh>
    <phoneticPr fontId="1"/>
  </si>
  <si>
    <t>R2</t>
    <phoneticPr fontId="1"/>
  </si>
  <si>
    <t>計算の手間を省くため、リーダ代の項目を削除した。</t>
    <rPh sb="0" eb="2">
      <t>ケイサン</t>
    </rPh>
    <rPh sb="3" eb="5">
      <t>テマ</t>
    </rPh>
    <rPh sb="6" eb="7">
      <t>ハブ</t>
    </rPh>
    <rPh sb="14" eb="15">
      <t>ダイ</t>
    </rPh>
    <rPh sb="16" eb="18">
      <t>コウモク</t>
    </rPh>
    <rPh sb="19" eb="21">
      <t>サクジョ</t>
    </rPh>
    <phoneticPr fontId="1"/>
  </si>
  <si>
    <t>今後、リーダ代はリーダの共同装備欄に人数（リーダ含む）×100円を記載することとする。</t>
    <rPh sb="0" eb="2">
      <t>コンゴ</t>
    </rPh>
    <rPh sb="6" eb="7">
      <t>ダイ</t>
    </rPh>
    <rPh sb="12" eb="14">
      <t>キョウドウ</t>
    </rPh>
    <rPh sb="14" eb="16">
      <t>ソウビ</t>
    </rPh>
    <rPh sb="16" eb="17">
      <t>ラン</t>
    </rPh>
    <rPh sb="18" eb="20">
      <t>ニンズウ</t>
    </rPh>
    <rPh sb="24" eb="25">
      <t>フク</t>
    </rPh>
    <rPh sb="31" eb="32">
      <t>エン</t>
    </rPh>
    <rPh sb="33" eb="35">
      <t>キサイ</t>
    </rPh>
    <phoneticPr fontId="1"/>
  </si>
  <si>
    <t>担当欄を「車」or「無し」の二択にした。（CLを削除した）。</t>
    <rPh sb="0" eb="2">
      <t>タントウ</t>
    </rPh>
    <rPh sb="2" eb="3">
      <t>ラン</t>
    </rPh>
    <rPh sb="5" eb="6">
      <t>クルマ</t>
    </rPh>
    <rPh sb="10" eb="11">
      <t>ナ</t>
    </rPh>
    <rPh sb="14" eb="16">
      <t>ニタク</t>
    </rPh>
    <rPh sb="24" eb="26">
      <t>サクジョ</t>
    </rPh>
    <phoneticPr fontId="1"/>
  </si>
  <si>
    <t>R3</t>
    <phoneticPr fontId="1"/>
  </si>
  <si>
    <t>計算の手間を省くため、⑤ガソリン代、⑥有料道路、⑦共同装備の項目全てを足してから、人数で除算するよう変更した。</t>
    <rPh sb="0" eb="2">
      <t>ケイサン</t>
    </rPh>
    <rPh sb="3" eb="5">
      <t>テマ</t>
    </rPh>
    <rPh sb="6" eb="7">
      <t>ハブ</t>
    </rPh>
    <rPh sb="16" eb="17">
      <t>ダイ</t>
    </rPh>
    <rPh sb="19" eb="21">
      <t>ユウリョウ</t>
    </rPh>
    <rPh sb="21" eb="23">
      <t>ドウロ</t>
    </rPh>
    <rPh sb="25" eb="27">
      <t>キョウドウ</t>
    </rPh>
    <rPh sb="27" eb="29">
      <t>ソウビ</t>
    </rPh>
    <rPh sb="30" eb="32">
      <t>コウモク</t>
    </rPh>
    <rPh sb="32" eb="33">
      <t>スベ</t>
    </rPh>
    <rPh sb="35" eb="36">
      <t>タ</t>
    </rPh>
    <rPh sb="41" eb="43">
      <t>ニンズウ</t>
    </rPh>
    <rPh sb="44" eb="46">
      <t>ジョサン</t>
    </rPh>
    <rPh sb="50" eb="52">
      <t>ヘンコウ</t>
    </rPh>
    <phoneticPr fontId="1"/>
  </si>
  <si>
    <t>A</t>
    <phoneticPr fontId="1"/>
  </si>
  <si>
    <t>B</t>
    <phoneticPr fontId="1"/>
  </si>
  <si>
    <t>⑨個人負担金(A)+(B)</t>
    <phoneticPr fontId="1"/>
  </si>
  <si>
    <t>車</t>
  </si>
  <si>
    <t>C</t>
    <phoneticPr fontId="1"/>
  </si>
  <si>
    <t>食担</t>
    <rPh sb="0" eb="1">
      <t>ショク</t>
    </rPh>
    <rPh sb="1" eb="2">
      <t>タン</t>
    </rPh>
    <phoneticPr fontId="1"/>
  </si>
  <si>
    <t>集合場所・時間</t>
    <rPh sb="0" eb="2">
      <t>シュウゴウ</t>
    </rPh>
    <rPh sb="2" eb="4">
      <t>バショ</t>
    </rPh>
    <rPh sb="5" eb="7">
      <t>ジカン</t>
    </rPh>
    <phoneticPr fontId="1"/>
  </si>
  <si>
    <t>例会 ・ 自主 ・ 個人</t>
    <rPh sb="0" eb="2">
      <t>レイカイ</t>
    </rPh>
    <rPh sb="5" eb="7">
      <t>ジシュ</t>
    </rPh>
    <rPh sb="10" eb="12">
      <t>コジン</t>
    </rPh>
    <phoneticPr fontId="1"/>
  </si>
  <si>
    <t>下山予定時刻になっても下山連絡が無く、連絡も取れない場合は、留守宅は三役に連絡する</t>
    <rPh sb="11" eb="13">
      <t>ゲザン</t>
    </rPh>
    <rPh sb="13" eb="15">
      <t>レンラク</t>
    </rPh>
    <rPh sb="19" eb="21">
      <t>レンラク</t>
    </rPh>
    <rPh sb="22" eb="23">
      <t>ト</t>
    </rPh>
    <rPh sb="26" eb="28">
      <t>バアイ</t>
    </rPh>
    <rPh sb="30" eb="33">
      <t>ルスタク</t>
    </rPh>
    <phoneticPr fontId="16"/>
  </si>
  <si>
    <t>090-5960-5575</t>
    <phoneticPr fontId="1"/>
  </si>
  <si>
    <t>原田</t>
    <rPh sb="0" eb="2">
      <t>ハラダ</t>
    </rPh>
    <phoneticPr fontId="1"/>
  </si>
  <si>
    <r>
      <t>〒650-0022　</t>
    </r>
    <r>
      <rPr>
        <sz val="10"/>
        <rFont val="ＭＳ Ｐ明朝"/>
        <family val="1"/>
        <charset val="128"/>
      </rPr>
      <t>神戸市中央区元町通7丁目1-6
日光ビル201号室</t>
    </r>
    <rPh sb="13" eb="16">
      <t>チュウオウク</t>
    </rPh>
    <rPh sb="16" eb="18">
      <t>モトマチ</t>
    </rPh>
    <rPh sb="18" eb="19">
      <t>ドオ</t>
    </rPh>
    <rPh sb="20" eb="22">
      <t>チョウメ</t>
    </rPh>
    <rPh sb="26" eb="28">
      <t>ニッコウ</t>
    </rPh>
    <rPh sb="33" eb="35">
      <t>ゴウシツ</t>
    </rPh>
    <phoneticPr fontId="1"/>
  </si>
  <si>
    <t>2025年6月訂正</t>
    <rPh sb="4" eb="5">
      <t>ネン</t>
    </rPh>
    <rPh sb="6" eb="7">
      <t>ガツ</t>
    </rPh>
    <rPh sb="7" eb="9">
      <t>テイセイ</t>
    </rPh>
    <phoneticPr fontId="1"/>
  </si>
  <si>
    <t>宇野 090-6901-5514  毛戸 090-1586-5245</t>
    <rPh sb="0" eb="34">
      <t>カワイ</t>
    </rPh>
    <phoneticPr fontId="1"/>
  </si>
  <si>
    <t>小嶋</t>
    <rPh sb="0" eb="2">
      <t>コジマ</t>
    </rPh>
    <phoneticPr fontId="1"/>
  </si>
  <si>
    <t>080-2415-4165</t>
    <phoneticPr fontId="1"/>
  </si>
  <si>
    <r>
      <t>有料道路</t>
    </r>
    <r>
      <rPr>
        <b/>
        <sz val="11"/>
        <rFont val="ＭＳ Ｐゴシック"/>
        <family val="3"/>
        <charset val="128"/>
      </rPr>
      <t>往路</t>
    </r>
    <rPh sb="0" eb="2">
      <t>ユウリョウ</t>
    </rPh>
    <rPh sb="2" eb="4">
      <t>ドウロ</t>
    </rPh>
    <rPh sb="4" eb="6">
      <t>オウロ</t>
    </rPh>
    <phoneticPr fontId="1"/>
  </si>
  <si>
    <r>
      <t>有料道路</t>
    </r>
    <r>
      <rPr>
        <b/>
        <sz val="11"/>
        <rFont val="ＭＳ Ｐゴシック"/>
        <family val="3"/>
        <charset val="128"/>
      </rPr>
      <t>復路</t>
    </r>
    <rPh sb="0" eb="2">
      <t>ユウリョウ</t>
    </rPh>
    <rPh sb="2" eb="4">
      <t>ドウロ</t>
    </rPh>
    <rPh sb="4" eb="6">
      <t>フクロ</t>
    </rPh>
    <phoneticPr fontId="1"/>
  </si>
  <si>
    <t>有料道路等１</t>
    <rPh sb="0" eb="2">
      <t>ユウリョウ</t>
    </rPh>
    <rPh sb="2" eb="4">
      <t>ドウロ</t>
    </rPh>
    <rPh sb="4" eb="5">
      <t>トウ</t>
    </rPh>
    <phoneticPr fontId="1"/>
  </si>
  <si>
    <t>有料道路等２</t>
    <rPh sb="0" eb="4">
      <t>ユウリョウドウロ</t>
    </rPh>
    <rPh sb="4" eb="5">
      <t>トウ</t>
    </rPh>
    <phoneticPr fontId="1"/>
  </si>
  <si>
    <t>R4</t>
    <phoneticPr fontId="1"/>
  </si>
  <si>
    <t>①交通費が行き・帰りが異なるケースが多いため二行に分けた、②車提供者の受け渡し額の欄をROUNDUPに変更</t>
    <rPh sb="1" eb="4">
      <t>コウツウヒ</t>
    </rPh>
    <rPh sb="5" eb="6">
      <t>イキ</t>
    </rPh>
    <rPh sb="8" eb="9">
      <t>カエ</t>
    </rPh>
    <rPh sb="11" eb="12">
      <t>コト</t>
    </rPh>
    <rPh sb="18" eb="19">
      <t>オオ</t>
    </rPh>
    <rPh sb="22" eb="24">
      <t>ニギョウ</t>
    </rPh>
    <rPh sb="25" eb="26">
      <t>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</si>
</sst>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m/d"/>
    <numFmt numFmtId="177" formatCode="yyyy\.m\.d"/>
    <numFmt numFmtId="178" formatCode="0_ ;[Red]\-0\ "/>
    <numFmt numFmtId="179" formatCode="0_ "/>
    <numFmt numFmtId="180" formatCode="\÷General"/>
  </numFmts>
  <fonts count="32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明朝"/>
      <family val="1"/>
      <charset val="128"/>
    </font>
    <font>
      <sz val="10"/>
      <name val="ＭＳ Ｐ明朝"/>
      <family val="1"/>
      <charset val="128"/>
    </font>
    <font>
      <b/>
      <sz val="11"/>
      <name val="ＭＳ Ｐ明朝"/>
      <family val="1"/>
      <charset val="128"/>
    </font>
    <font>
      <sz val="12"/>
      <name val="ＭＳ Ｐ明朝"/>
      <family val="1"/>
      <charset val="128"/>
    </font>
    <font>
      <b/>
      <sz val="10"/>
      <name val="ＭＳ Ｐ明朝"/>
      <family val="1"/>
      <charset val="128"/>
    </font>
    <font>
      <sz val="11"/>
      <name val="ＭＳ Ｐゴシック"/>
      <family val="3"/>
      <charset val="128"/>
    </font>
    <font>
      <b/>
      <sz val="22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18"/>
      <name val="ＭＳ Ｐ明朝"/>
      <family val="1"/>
      <charset val="128"/>
    </font>
    <font>
      <b/>
      <sz val="22"/>
      <name val="ＭＳ Ｐ明朝"/>
      <family val="1"/>
      <charset val="128"/>
    </font>
    <font>
      <b/>
      <sz val="12"/>
      <name val="ＭＳ Ｐ明朝"/>
      <family val="1"/>
      <charset val="128"/>
    </font>
    <font>
      <sz val="12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16"/>
      <name val="ＭＳ Ｐ明朝"/>
      <family val="1"/>
      <charset val="128"/>
    </font>
    <font>
      <sz val="9"/>
      <name val="ＭＳ Ｐ明朝"/>
      <family val="1"/>
      <charset val="128"/>
    </font>
    <font>
      <b/>
      <sz val="9"/>
      <name val="ＭＳ Ｐ明朝"/>
      <family val="1"/>
      <charset val="128"/>
    </font>
    <font>
      <sz val="8"/>
      <name val="ＭＳ Ｐ明朝"/>
      <family val="1"/>
      <charset val="128"/>
    </font>
    <font>
      <sz val="9"/>
      <name val="ＭＳ Ｐゴシック"/>
      <family val="3"/>
      <charset val="128"/>
    </font>
    <font>
      <sz val="11"/>
      <name val="ＭＳ 明朝"/>
      <family val="1"/>
      <charset val="128"/>
    </font>
    <font>
      <sz val="8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4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theme="6" tint="-0.249977111117893"/>
      <name val="ＭＳ Ｐゴシック"/>
      <family val="3"/>
      <charset val="128"/>
    </font>
    <font>
      <b/>
      <sz val="11"/>
      <color rgb="FF00B050"/>
      <name val="ＭＳ Ｐゴシック"/>
      <family val="3"/>
      <charset val="128"/>
    </font>
    <font>
      <u/>
      <sz val="11"/>
      <color theme="10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1"/>
      <color rgb="FFFF0000"/>
      <name val="ＭＳ Ｐ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2"/>
      <color theme="1"/>
      <name val="ＭＳ Ｐ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2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 diagonalUp="1"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 style="medium">
        <color indexed="64"/>
      </diagonal>
    </border>
  </borders>
  <cellStyleXfs count="3">
    <xf numFmtId="0" fontId="0" fillId="0" borderId="0"/>
    <xf numFmtId="0" fontId="22" fillId="0" borderId="0">
      <alignment vertical="center"/>
    </xf>
    <xf numFmtId="0" fontId="27" fillId="0" borderId="0" applyNumberFormat="0" applyFill="0" applyBorder="0" applyAlignment="0" applyProtection="0"/>
  </cellStyleXfs>
  <cellXfs count="497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distributed" vertical="center"/>
    </xf>
    <xf numFmtId="0" fontId="4" fillId="0" borderId="4" xfId="0" applyFont="1" applyBorder="1" applyAlignment="1">
      <alignment horizontal="distributed" vertical="center"/>
    </xf>
    <xf numFmtId="0" fontId="4" fillId="2" borderId="6" xfId="0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7" fillId="0" borderId="0" xfId="0" applyFont="1"/>
    <xf numFmtId="0" fontId="2" fillId="0" borderId="0" xfId="0" applyFont="1" applyAlignment="1">
      <alignment horizontal="left" vertical="center" wrapText="1"/>
    </xf>
    <xf numFmtId="0" fontId="4" fillId="0" borderId="7" xfId="0" applyFont="1" applyBorder="1" applyAlignment="1">
      <alignment horizontal="distributed" vertical="center"/>
    </xf>
    <xf numFmtId="0" fontId="6" fillId="2" borderId="8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56" fontId="2" fillId="0" borderId="12" xfId="0" applyNumberFormat="1" applyFont="1" applyBorder="1" applyAlignment="1">
      <alignment horizontal="center" vertical="center"/>
    </xf>
    <xf numFmtId="0" fontId="2" fillId="0" borderId="13" xfId="0" applyFont="1" applyBorder="1"/>
    <xf numFmtId="0" fontId="2" fillId="0" borderId="14" xfId="0" applyFont="1" applyBorder="1"/>
    <xf numFmtId="0" fontId="2" fillId="0" borderId="15" xfId="0" applyFont="1" applyBorder="1"/>
    <xf numFmtId="0" fontId="2" fillId="0" borderId="16" xfId="0" applyFont="1" applyBorder="1"/>
    <xf numFmtId="0" fontId="2" fillId="0" borderId="17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56" fontId="2" fillId="0" borderId="3" xfId="0" applyNumberFormat="1" applyFont="1" applyBorder="1" applyAlignment="1">
      <alignment horizontal="center" vertical="center"/>
    </xf>
    <xf numFmtId="56" fontId="2" fillId="0" borderId="18" xfId="0" applyNumberFormat="1" applyFont="1" applyBorder="1" applyAlignment="1">
      <alignment horizontal="center" vertical="center"/>
    </xf>
    <xf numFmtId="56" fontId="2" fillId="0" borderId="19" xfId="0" applyNumberFormat="1" applyFont="1" applyBorder="1" applyAlignment="1">
      <alignment horizontal="center" vertical="center"/>
    </xf>
    <xf numFmtId="56" fontId="2" fillId="0" borderId="20" xfId="0" applyNumberFormat="1" applyFont="1" applyBorder="1" applyAlignment="1">
      <alignment horizontal="center" vertical="center"/>
    </xf>
    <xf numFmtId="0" fontId="4" fillId="0" borderId="18" xfId="0" applyFont="1" applyBorder="1" applyAlignment="1">
      <alignment horizontal="left" vertical="center"/>
    </xf>
    <xf numFmtId="56" fontId="2" fillId="0" borderId="23" xfId="0" applyNumberFormat="1" applyFont="1" applyBorder="1" applyAlignment="1">
      <alignment horizontal="center" vertical="center"/>
    </xf>
    <xf numFmtId="0" fontId="0" fillId="0" borderId="24" xfId="0" applyBorder="1"/>
    <xf numFmtId="0" fontId="6" fillId="0" borderId="8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4" fillId="0" borderId="8" xfId="0" applyFont="1" applyBorder="1" applyAlignment="1">
      <alignment horizontal="distributed" vertical="center"/>
    </xf>
    <xf numFmtId="0" fontId="14" fillId="0" borderId="27" xfId="0" applyFont="1" applyBorder="1" applyAlignment="1">
      <alignment horizontal="left"/>
    </xf>
    <xf numFmtId="0" fontId="6" fillId="2" borderId="28" xfId="0" applyFont="1" applyFill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/>
    </xf>
    <xf numFmtId="56" fontId="16" fillId="0" borderId="12" xfId="0" applyNumberFormat="1" applyFont="1" applyBorder="1" applyAlignment="1">
      <alignment horizontal="center" vertical="center"/>
    </xf>
    <xf numFmtId="56" fontId="16" fillId="0" borderId="3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90" xfId="0" applyFont="1" applyBorder="1"/>
    <xf numFmtId="14" fontId="0" fillId="0" borderId="0" xfId="0" applyNumberFormat="1"/>
    <xf numFmtId="0" fontId="2" fillId="0" borderId="4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17" fillId="2" borderId="8" xfId="0" applyFont="1" applyFill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/>
    </xf>
    <xf numFmtId="0" fontId="4" fillId="0" borderId="5" xfId="0" applyFont="1" applyBorder="1" applyAlignment="1">
      <alignment horizontal="distributed" vertical="center"/>
    </xf>
    <xf numFmtId="0" fontId="17" fillId="0" borderId="18" xfId="0" applyFont="1" applyBorder="1" applyAlignment="1">
      <alignment horizontal="distributed" vertical="center"/>
    </xf>
    <xf numFmtId="0" fontId="2" fillId="0" borderId="21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30" xfId="0" applyBorder="1" applyAlignment="1">
      <alignment vertical="center"/>
    </xf>
    <xf numFmtId="0" fontId="23" fillId="0" borderId="0" xfId="0" applyFont="1" applyAlignment="1">
      <alignment horizontal="center" vertical="center"/>
    </xf>
    <xf numFmtId="0" fontId="7" fillId="0" borderId="0" xfId="1" applyFont="1">
      <alignment vertical="center"/>
    </xf>
    <xf numFmtId="0" fontId="7" fillId="0" borderId="68" xfId="1" applyFont="1" applyBorder="1" applyAlignment="1">
      <alignment horizontal="center" vertical="center"/>
    </xf>
    <xf numFmtId="0" fontId="7" fillId="0" borderId="67" xfId="1" applyFont="1" applyBorder="1" applyAlignment="1">
      <alignment horizontal="center" vertical="center"/>
    </xf>
    <xf numFmtId="0" fontId="7" fillId="0" borderId="22" xfId="1" applyFont="1" applyBorder="1" applyAlignment="1">
      <alignment horizontal="center" vertical="center" wrapText="1"/>
    </xf>
    <xf numFmtId="0" fontId="0" fillId="0" borderId="2" xfId="1" applyFont="1" applyBorder="1" applyAlignment="1">
      <alignment horizontal="center" vertical="center" wrapText="1"/>
    </xf>
    <xf numFmtId="0" fontId="7" fillId="0" borderId="0" xfId="1" applyFont="1" applyAlignment="1">
      <alignment horizontal="center" vertical="center"/>
    </xf>
    <xf numFmtId="0" fontId="7" fillId="0" borderId="66" xfId="1" applyFont="1" applyBorder="1" applyAlignment="1">
      <alignment horizontal="center" vertical="center"/>
    </xf>
    <xf numFmtId="0" fontId="7" fillId="0" borderId="65" xfId="1" applyFont="1" applyBorder="1" applyAlignment="1">
      <alignment horizontal="center" vertical="center"/>
    </xf>
    <xf numFmtId="0" fontId="7" fillId="0" borderId="13" xfId="1" applyFont="1" applyBorder="1" applyAlignment="1">
      <alignment horizontal="center" vertical="center" wrapText="1"/>
    </xf>
    <xf numFmtId="0" fontId="0" fillId="0" borderId="53" xfId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7" fillId="0" borderId="93" xfId="1" applyFont="1" applyBorder="1" applyAlignment="1">
      <alignment horizontal="center" vertical="center"/>
    </xf>
    <xf numFmtId="0" fontId="7" fillId="0" borderId="94" xfId="1" applyFont="1" applyBorder="1" applyAlignment="1">
      <alignment horizontal="center" vertical="center"/>
    </xf>
    <xf numFmtId="0" fontId="7" fillId="0" borderId="95" xfId="1" applyFont="1" applyBorder="1" applyAlignment="1">
      <alignment horizontal="center" vertical="center"/>
    </xf>
    <xf numFmtId="0" fontId="7" fillId="0" borderId="96" xfId="1" applyFont="1" applyBorder="1" applyAlignment="1">
      <alignment horizontal="center" vertical="center"/>
    </xf>
    <xf numFmtId="0" fontId="7" fillId="0" borderId="97" xfId="1" applyFont="1" applyBorder="1" applyAlignment="1">
      <alignment horizontal="center" vertical="center"/>
    </xf>
    <xf numFmtId="0" fontId="0" fillId="0" borderId="66" xfId="1" applyFont="1" applyBorder="1" applyAlignment="1">
      <alignment horizontal="center" vertical="center"/>
    </xf>
    <xf numFmtId="0" fontId="7" fillId="0" borderId="65" xfId="1" applyFont="1" applyBorder="1">
      <alignment vertical="center"/>
    </xf>
    <xf numFmtId="0" fontId="7" fillId="0" borderId="13" xfId="1" applyFont="1" applyBorder="1" applyAlignment="1">
      <alignment horizontal="center" vertical="center"/>
    </xf>
    <xf numFmtId="0" fontId="7" fillId="0" borderId="98" xfId="1" applyFont="1" applyBorder="1" applyAlignment="1">
      <alignment horizontal="center" vertical="center"/>
    </xf>
    <xf numFmtId="0" fontId="0" fillId="0" borderId="7" xfId="1" applyFont="1" applyBorder="1">
      <alignment vertical="center"/>
    </xf>
    <xf numFmtId="0" fontId="7" fillId="0" borderId="7" xfId="1" applyFont="1" applyBorder="1" applyAlignment="1">
      <alignment horizontal="center" vertical="center" wrapText="1"/>
    </xf>
    <xf numFmtId="0" fontId="7" fillId="0" borderId="7" xfId="1" applyFont="1" applyBorder="1" applyAlignment="1">
      <alignment horizontal="center" vertical="center"/>
    </xf>
    <xf numFmtId="0" fontId="0" fillId="0" borderId="7" xfId="1" applyFont="1" applyBorder="1" applyAlignment="1">
      <alignment horizontal="center" vertical="center"/>
    </xf>
    <xf numFmtId="0" fontId="7" fillId="0" borderId="99" xfId="1" applyFont="1" applyBorder="1" applyAlignment="1">
      <alignment horizontal="center" vertical="center"/>
    </xf>
    <xf numFmtId="0" fontId="7" fillId="0" borderId="100" xfId="1" applyFont="1" applyBorder="1">
      <alignment vertical="center"/>
    </xf>
    <xf numFmtId="0" fontId="7" fillId="0" borderId="7" xfId="1" applyFont="1" applyBorder="1">
      <alignment vertical="center"/>
    </xf>
    <xf numFmtId="0" fontId="19" fillId="0" borderId="7" xfId="1" applyFont="1" applyBorder="1" applyAlignment="1">
      <alignment horizontal="center" vertical="center" wrapText="1"/>
    </xf>
    <xf numFmtId="0" fontId="0" fillId="0" borderId="99" xfId="1" applyFont="1" applyBorder="1" applyAlignment="1">
      <alignment horizontal="center" vertical="center"/>
    </xf>
    <xf numFmtId="0" fontId="7" fillId="0" borderId="15" xfId="1" applyFont="1" applyBorder="1" applyAlignment="1">
      <alignment horizontal="center" vertical="center"/>
    </xf>
    <xf numFmtId="0" fontId="0" fillId="0" borderId="26" xfId="1" applyFont="1" applyBorder="1">
      <alignment vertical="center"/>
    </xf>
    <xf numFmtId="0" fontId="7" fillId="0" borderId="26" xfId="1" applyFont="1" applyBorder="1" applyAlignment="1">
      <alignment horizontal="center" vertical="center"/>
    </xf>
    <xf numFmtId="0" fontId="7" fillId="0" borderId="26" xfId="1" applyFont="1" applyBorder="1">
      <alignment vertical="center"/>
    </xf>
    <xf numFmtId="0" fontId="14" fillId="0" borderId="101" xfId="1" applyFont="1" applyBorder="1" applyAlignment="1">
      <alignment horizontal="left" vertical="center"/>
    </xf>
    <xf numFmtId="0" fontId="14" fillId="0" borderId="102" xfId="1" applyFont="1" applyBorder="1">
      <alignment vertical="center"/>
    </xf>
    <xf numFmtId="0" fontId="7" fillId="0" borderId="103" xfId="1" applyFont="1" applyBorder="1">
      <alignment vertical="center"/>
    </xf>
    <xf numFmtId="0" fontId="0" fillId="0" borderId="5" xfId="1" applyFont="1" applyBorder="1">
      <alignment vertical="center"/>
    </xf>
    <xf numFmtId="1" fontId="7" fillId="0" borderId="5" xfId="1" applyNumberFormat="1" applyFont="1" applyBorder="1">
      <alignment vertical="center"/>
    </xf>
    <xf numFmtId="0" fontId="7" fillId="0" borderId="5" xfId="1" applyFont="1" applyBorder="1">
      <alignment vertical="center"/>
    </xf>
    <xf numFmtId="0" fontId="0" fillId="0" borderId="101" xfId="1" applyFont="1" applyBorder="1">
      <alignment vertical="center"/>
    </xf>
    <xf numFmtId="178" fontId="7" fillId="0" borderId="102" xfId="1" applyNumberFormat="1" applyFont="1" applyBorder="1">
      <alignment vertical="center"/>
    </xf>
    <xf numFmtId="178" fontId="7" fillId="0" borderId="103" xfId="1" applyNumberFormat="1" applyFont="1" applyBorder="1">
      <alignment vertical="center"/>
    </xf>
    <xf numFmtId="178" fontId="7" fillId="0" borderId="30" xfId="1" applyNumberFormat="1" applyFont="1" applyBorder="1">
      <alignment vertical="center"/>
    </xf>
    <xf numFmtId="178" fontId="7" fillId="0" borderId="7" xfId="1" applyNumberFormat="1" applyFont="1" applyBorder="1">
      <alignment vertical="center"/>
    </xf>
    <xf numFmtId="179" fontId="7" fillId="0" borderId="7" xfId="1" applyNumberFormat="1" applyFont="1" applyBorder="1">
      <alignment vertical="center"/>
    </xf>
    <xf numFmtId="0" fontId="24" fillId="0" borderId="66" xfId="1" applyFont="1" applyBorder="1" applyAlignment="1">
      <alignment horizontal="center" vertical="center"/>
    </xf>
    <xf numFmtId="0" fontId="7" fillId="0" borderId="104" xfId="1" applyFont="1" applyBorder="1" applyAlignment="1">
      <alignment horizontal="center" vertical="center"/>
    </xf>
    <xf numFmtId="0" fontId="0" fillId="0" borderId="7" xfId="0" applyBorder="1"/>
    <xf numFmtId="0" fontId="24" fillId="0" borderId="66" xfId="1" applyFont="1" applyBorder="1" applyAlignment="1">
      <alignment horizontal="center" vertical="center" wrapText="1"/>
    </xf>
    <xf numFmtId="0" fontId="7" fillId="0" borderId="72" xfId="1" applyFont="1" applyBorder="1" applyAlignment="1">
      <alignment horizontal="center" vertical="center"/>
    </xf>
    <xf numFmtId="0" fontId="7" fillId="0" borderId="71" xfId="1" applyFont="1" applyBorder="1">
      <alignment vertical="center"/>
    </xf>
    <xf numFmtId="0" fontId="7" fillId="0" borderId="14" xfId="1" applyFont="1" applyBorder="1" applyAlignment="1">
      <alignment horizontal="center" vertical="center"/>
    </xf>
    <xf numFmtId="0" fontId="7" fillId="0" borderId="53" xfId="1" applyFont="1" applyBorder="1" applyAlignment="1">
      <alignment horizontal="center" vertical="center"/>
    </xf>
    <xf numFmtId="0" fontId="7" fillId="0" borderId="38" xfId="1" applyFont="1" applyBorder="1" applyAlignment="1">
      <alignment horizontal="center" vertical="center"/>
    </xf>
    <xf numFmtId="0" fontId="7" fillId="0" borderId="105" xfId="1" applyFont="1" applyBorder="1" applyAlignment="1">
      <alignment horizontal="center" vertical="center"/>
    </xf>
    <xf numFmtId="0" fontId="9" fillId="0" borderId="66" xfId="1" applyFont="1" applyBorder="1" applyAlignment="1">
      <alignment horizontal="center" vertical="center"/>
    </xf>
    <xf numFmtId="0" fontId="2" fillId="0" borderId="34" xfId="0" applyFont="1" applyBorder="1"/>
    <xf numFmtId="0" fontId="0" fillId="0" borderId="32" xfId="0" applyBorder="1"/>
    <xf numFmtId="0" fontId="0" fillId="0" borderId="70" xfId="0" applyBorder="1"/>
    <xf numFmtId="0" fontId="16" fillId="0" borderId="34" xfId="0" applyFont="1" applyBorder="1"/>
    <xf numFmtId="0" fontId="19" fillId="0" borderId="32" xfId="0" applyFont="1" applyBorder="1"/>
    <xf numFmtId="0" fontId="19" fillId="0" borderId="70" xfId="0" applyFont="1" applyBorder="1"/>
    <xf numFmtId="0" fontId="7" fillId="3" borderId="70" xfId="1" applyFont="1" applyFill="1" applyBorder="1" applyAlignment="1">
      <alignment horizontal="center" vertical="center"/>
    </xf>
    <xf numFmtId="0" fontId="7" fillId="3" borderId="98" xfId="1" applyFont="1" applyFill="1" applyBorder="1" applyAlignment="1">
      <alignment horizontal="center" vertical="center"/>
    </xf>
    <xf numFmtId="0" fontId="7" fillId="3" borderId="104" xfId="1" applyFont="1" applyFill="1" applyBorder="1" applyAlignment="1">
      <alignment horizontal="center" vertical="center"/>
    </xf>
    <xf numFmtId="0" fontId="7" fillId="3" borderId="92" xfId="1" applyFont="1" applyFill="1" applyBorder="1" applyAlignment="1">
      <alignment horizontal="center" vertical="center"/>
    </xf>
    <xf numFmtId="0" fontId="25" fillId="0" borderId="66" xfId="1" applyFont="1" applyBorder="1" applyAlignment="1">
      <alignment horizontal="center" vertical="center"/>
    </xf>
    <xf numFmtId="0" fontId="26" fillId="0" borderId="66" xfId="1" applyFont="1" applyBorder="1" applyAlignment="1">
      <alignment horizontal="center" vertical="center"/>
    </xf>
    <xf numFmtId="0" fontId="27" fillId="0" borderId="0" xfId="2"/>
    <xf numFmtId="0" fontId="28" fillId="0" borderId="0" xfId="0" applyFont="1"/>
    <xf numFmtId="57" fontId="2" fillId="0" borderId="1" xfId="0" applyNumberFormat="1" applyFont="1" applyBorder="1" applyAlignment="1">
      <alignment vertical="center" wrapText="1"/>
    </xf>
    <xf numFmtId="57" fontId="2" fillId="0" borderId="2" xfId="0" applyNumberFormat="1" applyFont="1" applyBorder="1" applyAlignment="1">
      <alignment vertical="center" wrapText="1"/>
    </xf>
    <xf numFmtId="57" fontId="2" fillId="0" borderId="1" xfId="0" applyNumberFormat="1" applyFont="1" applyBorder="1" applyAlignment="1" applyProtection="1">
      <alignment vertical="center" wrapText="1"/>
      <protection locked="0"/>
    </xf>
    <xf numFmtId="57" fontId="2" fillId="0" borderId="2" xfId="0" applyNumberFormat="1" applyFont="1" applyBorder="1" applyAlignment="1" applyProtection="1">
      <alignment vertical="center" wrapText="1"/>
      <protection locked="0"/>
    </xf>
    <xf numFmtId="0" fontId="4" fillId="0" borderId="57" xfId="0" applyFont="1" applyBorder="1" applyAlignment="1">
      <alignment horizontal="distributed" vertical="center"/>
    </xf>
    <xf numFmtId="0" fontId="2" fillId="0" borderId="57" xfId="0" applyFont="1" applyBorder="1" applyAlignment="1">
      <alignment horizontal="center" vertical="center" wrapText="1"/>
    </xf>
    <xf numFmtId="0" fontId="2" fillId="0" borderId="109" xfId="0" applyFont="1" applyBorder="1" applyAlignment="1">
      <alignment vertical="center"/>
    </xf>
    <xf numFmtId="0" fontId="2" fillId="0" borderId="110" xfId="0" applyFont="1" applyBorder="1" applyAlignment="1">
      <alignment vertical="center"/>
    </xf>
    <xf numFmtId="38" fontId="0" fillId="0" borderId="0" xfId="0" applyNumberFormat="1" applyAlignment="1">
      <alignment horizontal="center" vertical="center"/>
    </xf>
    <xf numFmtId="38" fontId="0" fillId="0" borderId="7" xfId="0" applyNumberFormat="1" applyBorder="1" applyAlignment="1">
      <alignment horizontal="center" vertical="center"/>
    </xf>
    <xf numFmtId="38" fontId="0" fillId="0" borderId="7" xfId="0" applyNumberFormat="1" applyBorder="1" applyAlignment="1">
      <alignment horizontal="center" vertical="center" wrapText="1"/>
    </xf>
    <xf numFmtId="38" fontId="0" fillId="0" borderId="21" xfId="0" applyNumberFormat="1" applyBorder="1" applyAlignment="1">
      <alignment horizontal="center" vertical="center" wrapText="1"/>
    </xf>
    <xf numFmtId="38" fontId="0" fillId="0" borderId="6" xfId="0" applyNumberFormat="1" applyBorder="1" applyAlignment="1">
      <alignment horizontal="center" vertical="center" shrinkToFit="1"/>
    </xf>
    <xf numFmtId="38" fontId="0" fillId="0" borderId="8" xfId="0" applyNumberFormat="1" applyBorder="1" applyAlignment="1">
      <alignment horizontal="center" vertical="center" shrinkToFit="1"/>
    </xf>
    <xf numFmtId="38" fontId="0" fillId="0" borderId="41" xfId="0" applyNumberFormat="1" applyBorder="1" applyAlignment="1">
      <alignment horizontal="center" vertical="center" shrinkToFit="1"/>
    </xf>
    <xf numFmtId="38" fontId="0" fillId="0" borderId="111" xfId="0" applyNumberFormat="1" applyBorder="1" applyAlignment="1">
      <alignment horizontal="center" vertical="center" shrinkToFit="1"/>
    </xf>
    <xf numFmtId="38" fontId="0" fillId="4" borderId="7" xfId="0" applyNumberFormat="1" applyFill="1" applyBorder="1" applyAlignment="1">
      <alignment horizontal="center" vertical="center"/>
    </xf>
    <xf numFmtId="38" fontId="0" fillId="0" borderId="21" xfId="0" applyNumberFormat="1" applyBorder="1" applyAlignment="1">
      <alignment horizontal="center" vertical="center"/>
    </xf>
    <xf numFmtId="38" fontId="0" fillId="0" borderId="3" xfId="0" applyNumberFormat="1" applyBorder="1" applyAlignment="1">
      <alignment horizontal="center" vertical="center"/>
    </xf>
    <xf numFmtId="38" fontId="0" fillId="0" borderId="112" xfId="0" applyNumberFormat="1" applyBorder="1" applyAlignment="1">
      <alignment horizontal="center" vertical="center"/>
    </xf>
    <xf numFmtId="38" fontId="0" fillId="4" borderId="0" xfId="0" applyNumberFormat="1" applyFill="1" applyAlignment="1">
      <alignment horizontal="center" vertical="center"/>
    </xf>
    <xf numFmtId="38" fontId="0" fillId="0" borderId="0" xfId="0" applyNumberFormat="1" applyAlignment="1">
      <alignment horizontal="left" vertical="center"/>
    </xf>
    <xf numFmtId="38" fontId="0" fillId="0" borderId="4" xfId="0" applyNumberFormat="1" applyBorder="1" applyAlignment="1">
      <alignment horizontal="center" vertical="center"/>
    </xf>
    <xf numFmtId="38" fontId="0" fillId="0" borderId="26" xfId="0" applyNumberFormat="1" applyBorder="1" applyAlignment="1">
      <alignment horizontal="center" vertical="center"/>
    </xf>
    <xf numFmtId="38" fontId="0" fillId="5" borderId="0" xfId="0" applyNumberFormat="1" applyFill="1" applyAlignment="1">
      <alignment horizontal="center" vertical="center"/>
    </xf>
    <xf numFmtId="38" fontId="0" fillId="0" borderId="113" xfId="0" applyNumberFormat="1" applyBorder="1" applyAlignment="1">
      <alignment horizontal="center" vertical="center"/>
    </xf>
    <xf numFmtId="38" fontId="0" fillId="0" borderId="39" xfId="0" applyNumberFormat="1" applyBorder="1" applyAlignment="1">
      <alignment horizontal="center" vertical="center"/>
    </xf>
    <xf numFmtId="38" fontId="0" fillId="0" borderId="114" xfId="0" applyNumberFormat="1" applyBorder="1" applyAlignment="1">
      <alignment horizontal="center" vertical="center"/>
    </xf>
    <xf numFmtId="38" fontId="0" fillId="0" borderId="115" xfId="0" applyNumberFormat="1" applyBorder="1" applyAlignment="1">
      <alignment horizontal="center" vertical="center"/>
    </xf>
    <xf numFmtId="38" fontId="0" fillId="0" borderId="116" xfId="0" applyNumberFormat="1" applyBorder="1" applyAlignment="1">
      <alignment horizontal="center" vertical="center"/>
    </xf>
    <xf numFmtId="38" fontId="0" fillId="0" borderId="117" xfId="0" applyNumberFormat="1" applyBorder="1" applyAlignment="1">
      <alignment horizontal="center" vertical="center"/>
    </xf>
    <xf numFmtId="38" fontId="0" fillId="0" borderId="118" xfId="0" applyNumberFormat="1" applyBorder="1" applyAlignment="1">
      <alignment horizontal="center" vertical="center"/>
    </xf>
    <xf numFmtId="38" fontId="0" fillId="6" borderId="0" xfId="0" applyNumberFormat="1" applyFill="1" applyAlignment="1">
      <alignment horizontal="center" vertical="center"/>
    </xf>
    <xf numFmtId="0" fontId="0" fillId="0" borderId="115" xfId="0" applyBorder="1" applyAlignment="1">
      <alignment horizontal="center" vertical="center" shrinkToFit="1"/>
    </xf>
    <xf numFmtId="38" fontId="0" fillId="4" borderId="18" xfId="0" applyNumberFormat="1" applyFill="1" applyBorder="1" applyAlignment="1">
      <alignment horizontal="center" vertical="center"/>
    </xf>
    <xf numFmtId="38" fontId="0" fillId="4" borderId="60" xfId="0" applyNumberFormat="1" applyFill="1" applyBorder="1" applyAlignment="1">
      <alignment horizontal="center" vertical="center"/>
    </xf>
    <xf numFmtId="38" fontId="0" fillId="0" borderId="126" xfId="0" applyNumberFormat="1" applyBorder="1" applyAlignment="1">
      <alignment horizontal="center" vertical="center"/>
    </xf>
    <xf numFmtId="38" fontId="0" fillId="0" borderId="18" xfId="0" applyNumberFormat="1" applyBorder="1" applyAlignment="1">
      <alignment horizontal="center" vertical="center"/>
    </xf>
    <xf numFmtId="38" fontId="0" fillId="0" borderId="5" xfId="0" applyNumberFormat="1" applyBorder="1" applyAlignment="1">
      <alignment horizontal="center" vertical="center"/>
    </xf>
    <xf numFmtId="38" fontId="30" fillId="0" borderId="5" xfId="0" applyNumberFormat="1" applyFont="1" applyBorder="1" applyAlignment="1">
      <alignment horizontal="center" vertical="center"/>
    </xf>
    <xf numFmtId="38" fontId="0" fillId="0" borderId="76" xfId="0" applyNumberFormat="1" applyBorder="1" applyAlignment="1">
      <alignment horizontal="center" vertical="center"/>
    </xf>
    <xf numFmtId="38" fontId="0" fillId="4" borderId="3" xfId="0" applyNumberFormat="1" applyFill="1" applyBorder="1" applyAlignment="1">
      <alignment horizontal="center" vertical="center"/>
    </xf>
    <xf numFmtId="38" fontId="0" fillId="4" borderId="31" xfId="0" applyNumberFormat="1" applyFill="1" applyBorder="1" applyAlignment="1">
      <alignment horizontal="center" vertical="center"/>
    </xf>
    <xf numFmtId="38" fontId="30" fillId="0" borderId="7" xfId="0" applyNumberFormat="1" applyFont="1" applyBorder="1" applyAlignment="1">
      <alignment horizontal="center" vertical="center"/>
    </xf>
    <xf numFmtId="38" fontId="0" fillId="5" borderId="112" xfId="0" applyNumberFormat="1" applyFill="1" applyBorder="1" applyAlignment="1">
      <alignment horizontal="center" vertical="center"/>
    </xf>
    <xf numFmtId="38" fontId="0" fillId="0" borderId="0" xfId="0" applyNumberFormat="1" applyAlignment="1">
      <alignment vertical="center"/>
    </xf>
    <xf numFmtId="38" fontId="0" fillId="4" borderId="114" xfId="0" applyNumberFormat="1" applyFill="1" applyBorder="1" applyAlignment="1">
      <alignment horizontal="center" vertical="center"/>
    </xf>
    <xf numFmtId="38" fontId="0" fillId="4" borderId="117" xfId="0" applyNumberFormat="1" applyFill="1" applyBorder="1" applyAlignment="1">
      <alignment horizontal="center" vertical="center"/>
    </xf>
    <xf numFmtId="38" fontId="30" fillId="0" borderId="115" xfId="0" applyNumberFormat="1" applyFont="1" applyBorder="1" applyAlignment="1">
      <alignment horizontal="center" vertical="center"/>
    </xf>
    <xf numFmtId="38" fontId="0" fillId="0" borderId="49" xfId="0" applyNumberFormat="1" applyBorder="1" applyAlignment="1">
      <alignment horizontal="center" vertical="center"/>
    </xf>
    <xf numFmtId="38" fontId="0" fillId="0" borderId="105" xfId="0" applyNumberFormat="1" applyBorder="1" applyAlignment="1">
      <alignment horizontal="center" vertical="center"/>
    </xf>
    <xf numFmtId="38" fontId="0" fillId="0" borderId="27" xfId="0" applyNumberFormat="1" applyBorder="1" applyAlignment="1">
      <alignment horizontal="center" vertical="center"/>
    </xf>
    <xf numFmtId="38" fontId="0" fillId="0" borderId="24" xfId="0" applyNumberFormat="1" applyBorder="1" applyAlignment="1">
      <alignment horizontal="center" vertical="center"/>
    </xf>
    <xf numFmtId="180" fontId="0" fillId="0" borderId="105" xfId="0" applyNumberFormat="1" applyBorder="1" applyAlignment="1">
      <alignment horizontal="center" vertical="center"/>
    </xf>
    <xf numFmtId="38" fontId="0" fillId="6" borderId="105" xfId="0" applyNumberFormat="1" applyFill="1" applyBorder="1" applyAlignment="1">
      <alignment horizontal="center" vertical="center"/>
    </xf>
    <xf numFmtId="38" fontId="0" fillId="0" borderId="127" xfId="0" applyNumberFormat="1" applyBorder="1" applyAlignment="1">
      <alignment horizontal="center" vertical="center"/>
    </xf>
    <xf numFmtId="38" fontId="0" fillId="5" borderId="58" xfId="0" applyNumberFormat="1" applyFill="1" applyBorder="1" applyAlignment="1">
      <alignment horizontal="center" vertical="center"/>
    </xf>
    <xf numFmtId="0" fontId="17" fillId="0" borderId="25" xfId="0" applyFont="1" applyBorder="1" applyAlignment="1">
      <alignment horizontal="distributed" vertical="center"/>
    </xf>
    <xf numFmtId="22" fontId="0" fillId="0" borderId="63" xfId="0" applyNumberFormat="1" applyBorder="1" applyAlignment="1">
      <alignment vertical="center"/>
    </xf>
    <xf numFmtId="0" fontId="0" fillId="0" borderId="0" xfId="0" applyAlignment="1">
      <alignment vertical="center"/>
    </xf>
    <xf numFmtId="0" fontId="0" fillId="0" borderId="117" xfId="0" applyBorder="1" applyAlignment="1">
      <alignment vertical="center"/>
    </xf>
    <xf numFmtId="38" fontId="0" fillId="0" borderId="128" xfId="0" applyNumberFormat="1" applyBorder="1" applyAlignment="1">
      <alignment horizontal="center" vertical="center"/>
    </xf>
    <xf numFmtId="38" fontId="14" fillId="0" borderId="112" xfId="0" applyNumberFormat="1" applyFont="1" applyBorder="1" applyAlignment="1">
      <alignment horizontal="center" vertical="center"/>
    </xf>
    <xf numFmtId="38" fontId="14" fillId="5" borderId="111" xfId="0" applyNumberFormat="1" applyFont="1" applyFill="1" applyBorder="1" applyAlignment="1">
      <alignment horizontal="center" vertical="center"/>
    </xf>
    <xf numFmtId="0" fontId="2" fillId="0" borderId="32" xfId="0" applyFont="1" applyBorder="1" applyAlignment="1">
      <alignment horizontal="left" vertical="center"/>
    </xf>
    <xf numFmtId="0" fontId="7" fillId="0" borderId="32" xfId="0" applyFont="1" applyBorder="1" applyAlignment="1">
      <alignment horizontal="left" vertical="center"/>
    </xf>
    <xf numFmtId="0" fontId="7" fillId="0" borderId="33" xfId="0" applyFont="1" applyBorder="1" applyAlignment="1">
      <alignment horizontal="left" vertical="center"/>
    </xf>
    <xf numFmtId="0" fontId="4" fillId="0" borderId="43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/>
    </xf>
    <xf numFmtId="0" fontId="6" fillId="2" borderId="41" xfId="0" applyFont="1" applyFill="1" applyBorder="1" applyAlignment="1">
      <alignment horizontal="center" vertical="center" wrapText="1"/>
    </xf>
    <xf numFmtId="0" fontId="6" fillId="2" borderId="4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" fillId="0" borderId="35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9" fillId="0" borderId="27" xfId="0" applyFont="1" applyBorder="1" applyAlignment="1">
      <alignment vertical="center"/>
    </xf>
    <xf numFmtId="0" fontId="29" fillId="0" borderId="49" xfId="0" applyFont="1" applyBorder="1" applyAlignment="1">
      <alignment vertical="center"/>
    </xf>
    <xf numFmtId="0" fontId="29" fillId="0" borderId="50" xfId="0" applyFont="1" applyBorder="1" applyAlignment="1">
      <alignment vertical="center"/>
    </xf>
    <xf numFmtId="0" fontId="2" fillId="0" borderId="4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/>
    </xf>
    <xf numFmtId="177" fontId="2" fillId="0" borderId="37" xfId="0" applyNumberFormat="1" applyFont="1" applyBorder="1" applyAlignment="1">
      <alignment horizontal="center" vertical="center" wrapText="1"/>
    </xf>
    <xf numFmtId="177" fontId="2" fillId="0" borderId="53" xfId="0" applyNumberFormat="1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37" xfId="0" applyFont="1" applyBorder="1" applyAlignment="1">
      <alignment vertical="center"/>
    </xf>
    <xf numFmtId="0" fontId="2" fillId="0" borderId="38" xfId="0" applyFont="1" applyBorder="1" applyAlignment="1">
      <alignment vertical="center"/>
    </xf>
    <xf numFmtId="0" fontId="2" fillId="0" borderId="53" xfId="0" applyFont="1" applyBorder="1" applyAlignment="1">
      <alignment vertical="center"/>
    </xf>
    <xf numFmtId="0" fontId="3" fillId="0" borderId="34" xfId="0" applyFont="1" applyBorder="1" applyAlignment="1">
      <alignment horizontal="left" vertical="center"/>
    </xf>
    <xf numFmtId="0" fontId="3" fillId="0" borderId="32" xfId="0" applyFont="1" applyBorder="1" applyAlignment="1">
      <alignment horizontal="left" vertical="center"/>
    </xf>
    <xf numFmtId="0" fontId="3" fillId="0" borderId="33" xfId="0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17" xfId="0" applyFont="1" applyBorder="1" applyAlignment="1">
      <alignment horizontal="left" vertical="center"/>
    </xf>
    <xf numFmtId="0" fontId="2" fillId="0" borderId="31" xfId="0" applyFont="1" applyBorder="1" applyAlignment="1">
      <alignment horizontal="left" vertical="center"/>
    </xf>
    <xf numFmtId="0" fontId="2" fillId="0" borderId="54" xfId="0" applyFont="1" applyBorder="1" applyAlignment="1">
      <alignment horizontal="left" vertical="center"/>
    </xf>
    <xf numFmtId="0" fontId="7" fillId="0" borderId="55" xfId="0" applyFont="1" applyBorder="1" applyAlignment="1">
      <alignment horizontal="left" vertical="center"/>
    </xf>
    <xf numFmtId="0" fontId="7" fillId="0" borderId="56" xfId="0" applyFont="1" applyBorder="1" applyAlignment="1">
      <alignment horizontal="left" vertical="center"/>
    </xf>
    <xf numFmtId="0" fontId="2" fillId="0" borderId="34" xfId="0" applyFont="1" applyBorder="1" applyAlignment="1">
      <alignment horizontal="left" vertical="center"/>
    </xf>
    <xf numFmtId="0" fontId="2" fillId="0" borderId="33" xfId="0" applyFont="1" applyBorder="1" applyAlignment="1">
      <alignment horizontal="left" vertical="center"/>
    </xf>
    <xf numFmtId="0" fontId="6" fillId="2" borderId="44" xfId="0" applyFont="1" applyFill="1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56" fontId="4" fillId="0" borderId="0" xfId="0" applyNumberFormat="1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7" fillId="0" borderId="38" xfId="0" applyFont="1" applyBorder="1" applyAlignment="1">
      <alignment vertical="center"/>
    </xf>
    <xf numFmtId="0" fontId="7" fillId="0" borderId="53" xfId="0" applyFont="1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7" fillId="0" borderId="35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177" fontId="2" fillId="0" borderId="51" xfId="0" applyNumberFormat="1" applyFont="1" applyBorder="1" applyAlignment="1">
      <alignment horizontal="center" vertical="center" wrapText="1"/>
    </xf>
    <xf numFmtId="177" fontId="2" fillId="0" borderId="52" xfId="0" applyNumberFormat="1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21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31" fontId="2" fillId="0" borderId="21" xfId="0" applyNumberFormat="1" applyFont="1" applyBorder="1" applyAlignment="1">
      <alignment horizontal="left" vertical="center"/>
    </xf>
    <xf numFmtId="0" fontId="2" fillId="0" borderId="30" xfId="0" applyFont="1" applyBorder="1" applyAlignment="1">
      <alignment horizontal="left" vertical="center"/>
    </xf>
    <xf numFmtId="0" fontId="0" fillId="0" borderId="17" xfId="0" applyBorder="1" applyAlignment="1">
      <alignment horizontal="left"/>
    </xf>
    <xf numFmtId="0" fontId="0" fillId="0" borderId="30" xfId="0" applyBorder="1" applyAlignment="1">
      <alignment horizontal="left"/>
    </xf>
    <xf numFmtId="0" fontId="2" fillId="0" borderId="0" xfId="0" applyFont="1"/>
    <xf numFmtId="0" fontId="12" fillId="0" borderId="47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48" xfId="0" applyFont="1" applyBorder="1" applyAlignment="1">
      <alignment horizontal="center" vertical="center"/>
    </xf>
    <xf numFmtId="0" fontId="13" fillId="0" borderId="51" xfId="0" applyFont="1" applyBorder="1" applyAlignment="1">
      <alignment horizontal="center" vertical="center"/>
    </xf>
    <xf numFmtId="0" fontId="13" fillId="0" borderId="58" xfId="0" applyFont="1" applyBorder="1" applyAlignment="1">
      <alignment horizontal="center" vertical="center"/>
    </xf>
    <xf numFmtId="0" fontId="13" fillId="0" borderId="52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wrapText="1"/>
    </xf>
    <xf numFmtId="0" fontId="2" fillId="0" borderId="31" xfId="0" applyFont="1" applyBorder="1" applyAlignment="1">
      <alignment horizontal="center" wrapText="1"/>
    </xf>
    <xf numFmtId="0" fontId="5" fillId="0" borderId="21" xfId="0" applyFont="1" applyBorder="1" applyAlignment="1">
      <alignment horizontal="center" wrapText="1"/>
    </xf>
    <xf numFmtId="0" fontId="5" fillId="0" borderId="31" xfId="0" applyFont="1" applyBorder="1" applyAlignment="1">
      <alignment horizontal="center" wrapText="1"/>
    </xf>
    <xf numFmtId="0" fontId="4" fillId="0" borderId="57" xfId="0" applyFont="1" applyBorder="1" applyAlignment="1">
      <alignment horizontal="distributed" vertical="center"/>
    </xf>
    <xf numFmtId="0" fontId="4" fillId="0" borderId="5" xfId="0" applyFont="1" applyBorder="1" applyAlignment="1">
      <alignment horizontal="distributed" vertical="center"/>
    </xf>
    <xf numFmtId="0" fontId="20" fillId="0" borderId="21" xfId="0" applyFont="1" applyBorder="1" applyAlignment="1">
      <alignment horizontal="center" wrapText="1"/>
    </xf>
    <xf numFmtId="0" fontId="20" fillId="0" borderId="31" xfId="0" applyFont="1" applyBorder="1" applyAlignment="1">
      <alignment horizontal="center" wrapText="1"/>
    </xf>
    <xf numFmtId="0" fontId="2" fillId="0" borderId="49" xfId="0" applyFont="1" applyBorder="1"/>
    <xf numFmtId="0" fontId="2" fillId="0" borderId="50" xfId="0" applyFont="1" applyBorder="1"/>
    <xf numFmtId="0" fontId="15" fillId="0" borderId="43" xfId="0" applyFont="1" applyBorder="1" applyAlignment="1">
      <alignment horizontal="center" vertical="center"/>
    </xf>
    <xf numFmtId="0" fontId="15" fillId="0" borderId="44" xfId="0" applyFont="1" applyBorder="1" applyAlignment="1">
      <alignment horizontal="center" vertical="center"/>
    </xf>
    <xf numFmtId="0" fontId="15" fillId="0" borderId="42" xfId="0" applyFont="1" applyBorder="1" applyAlignment="1">
      <alignment horizontal="center" vertical="center"/>
    </xf>
    <xf numFmtId="0" fontId="4" fillId="0" borderId="45" xfId="0" applyFont="1" applyBorder="1" applyAlignment="1">
      <alignment horizontal="distributed" vertical="center"/>
    </xf>
    <xf numFmtId="0" fontId="4" fillId="0" borderId="18" xfId="0" applyFont="1" applyBorder="1" applyAlignment="1">
      <alignment horizontal="distributed" vertical="center"/>
    </xf>
    <xf numFmtId="0" fontId="2" fillId="0" borderId="39" xfId="0" applyFont="1" applyBorder="1" applyAlignment="1">
      <alignment horizontal="left" vertical="center"/>
    </xf>
    <xf numFmtId="0" fontId="7" fillId="0" borderId="39" xfId="0" applyFont="1" applyBorder="1" applyAlignment="1">
      <alignment horizontal="left" vertical="center"/>
    </xf>
    <xf numFmtId="0" fontId="7" fillId="0" borderId="40" xfId="0" applyFont="1" applyBorder="1" applyAlignment="1">
      <alignment horizontal="left" vertical="center"/>
    </xf>
    <xf numFmtId="14" fontId="12" fillId="0" borderId="21" xfId="0" applyNumberFormat="1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12" fillId="0" borderId="47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3" fillId="0" borderId="48" xfId="0" applyFont="1" applyBorder="1" applyAlignment="1">
      <alignment horizontal="left" vertical="center"/>
    </xf>
    <xf numFmtId="0" fontId="16" fillId="0" borderId="41" xfId="0" applyFont="1" applyBorder="1" applyAlignment="1">
      <alignment horizontal="left" vertical="center" wrapText="1" shrinkToFit="1"/>
    </xf>
    <xf numFmtId="0" fontId="19" fillId="0" borderId="44" xfId="0" applyFont="1" applyBorder="1" applyAlignment="1">
      <alignment horizontal="left" vertical="center" wrapText="1" shrinkToFit="1"/>
    </xf>
    <xf numFmtId="0" fontId="19" fillId="0" borderId="46" xfId="0" applyFont="1" applyBorder="1" applyAlignment="1">
      <alignment horizontal="left" vertical="center" wrapText="1" shrinkToFit="1"/>
    </xf>
    <xf numFmtId="0" fontId="10" fillId="0" borderId="0" xfId="0" applyFont="1" applyAlignment="1">
      <alignment horizontal="center"/>
    </xf>
    <xf numFmtId="0" fontId="2" fillId="0" borderId="21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wrapText="1"/>
    </xf>
    <xf numFmtId="0" fontId="0" fillId="0" borderId="31" xfId="0" applyBorder="1" applyAlignment="1">
      <alignment horizontal="center" wrapText="1"/>
    </xf>
    <xf numFmtId="0" fontId="4" fillId="0" borderId="115" xfId="0" applyFont="1" applyBorder="1" applyAlignment="1">
      <alignment horizontal="center" vertical="center"/>
    </xf>
    <xf numFmtId="0" fontId="2" fillId="0" borderId="115" xfId="0" applyFont="1" applyBorder="1" applyAlignment="1">
      <alignment horizontal="center" vertical="center" shrinkToFit="1"/>
    </xf>
    <xf numFmtId="0" fontId="5" fillId="0" borderId="63" xfId="0" applyFont="1" applyBorder="1" applyAlignment="1">
      <alignment horizontal="center" wrapText="1"/>
    </xf>
    <xf numFmtId="0" fontId="5" fillId="0" borderId="40" xfId="0" applyFont="1" applyBorder="1" applyAlignment="1">
      <alignment horizontal="center" wrapText="1"/>
    </xf>
    <xf numFmtId="0" fontId="4" fillId="0" borderId="21" xfId="0" applyFont="1" applyBorder="1"/>
    <xf numFmtId="0" fontId="0" fillId="0" borderId="17" xfId="0" applyBorder="1"/>
    <xf numFmtId="0" fontId="0" fillId="0" borderId="30" xfId="0" applyBorder="1"/>
    <xf numFmtId="0" fontId="2" fillId="0" borderId="21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" xfId="0" applyFont="1" applyBorder="1"/>
    <xf numFmtId="0" fontId="0" fillId="0" borderId="35" xfId="0" applyBorder="1"/>
    <xf numFmtId="0" fontId="0" fillId="0" borderId="61" xfId="0" applyBorder="1"/>
    <xf numFmtId="0" fontId="2" fillId="0" borderId="34" xfId="0" applyFont="1" applyBorder="1"/>
    <xf numFmtId="0" fontId="0" fillId="0" borderId="32" xfId="0" applyBorder="1"/>
    <xf numFmtId="0" fontId="0" fillId="0" borderId="62" xfId="0" applyBorder="1"/>
    <xf numFmtId="0" fontId="2" fillId="0" borderId="73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30" xfId="0" applyBorder="1" applyAlignment="1">
      <alignment horizontal="center"/>
    </xf>
    <xf numFmtId="0" fontId="2" fillId="0" borderId="63" xfId="0" applyFont="1" applyBorder="1" applyAlignment="1">
      <alignment shrinkToFit="1"/>
    </xf>
    <xf numFmtId="0" fontId="2" fillId="0" borderId="39" xfId="0" applyFont="1" applyBorder="1" applyAlignment="1">
      <alignment shrinkToFit="1"/>
    </xf>
    <xf numFmtId="0" fontId="2" fillId="0" borderId="64" xfId="0" applyFont="1" applyBorder="1" applyAlignment="1">
      <alignment shrinkToFit="1"/>
    </xf>
    <xf numFmtId="0" fontId="2" fillId="0" borderId="34" xfId="0" applyFont="1" applyBorder="1" applyAlignment="1">
      <alignment horizontal="center" shrinkToFit="1"/>
    </xf>
    <xf numFmtId="0" fontId="2" fillId="0" borderId="32" xfId="0" applyFont="1" applyBorder="1" applyAlignment="1">
      <alignment horizontal="center" shrinkToFit="1"/>
    </xf>
    <xf numFmtId="0" fontId="0" fillId="0" borderId="70" xfId="0" applyBorder="1"/>
    <xf numFmtId="0" fontId="2" fillId="0" borderId="1" xfId="0" applyFont="1" applyBorder="1" applyAlignment="1">
      <alignment shrinkToFit="1"/>
    </xf>
    <xf numFmtId="0" fontId="2" fillId="0" borderId="35" xfId="0" applyFont="1" applyBorder="1" applyAlignment="1">
      <alignment shrinkToFit="1"/>
    </xf>
    <xf numFmtId="0" fontId="2" fillId="0" borderId="70" xfId="0" applyFont="1" applyBorder="1" applyAlignment="1">
      <alignment horizontal="center" shrinkToFit="1"/>
    </xf>
    <xf numFmtId="0" fontId="2" fillId="0" borderId="1" xfId="0" applyFont="1" applyBorder="1" applyAlignment="1">
      <alignment horizontal="center" shrinkToFit="1"/>
    </xf>
    <xf numFmtId="0" fontId="2" fillId="0" borderId="35" xfId="0" applyFont="1" applyBorder="1" applyAlignment="1">
      <alignment horizontal="center" shrinkToFit="1"/>
    </xf>
    <xf numFmtId="0" fontId="2" fillId="0" borderId="2" xfId="0" applyFont="1" applyBorder="1" applyAlignment="1">
      <alignment horizontal="center" shrinkToFit="1"/>
    </xf>
    <xf numFmtId="0" fontId="2" fillId="0" borderId="34" xfId="0" applyFont="1" applyBorder="1" applyAlignment="1">
      <alignment shrinkToFit="1"/>
    </xf>
    <xf numFmtId="0" fontId="2" fillId="0" borderId="32" xfId="0" applyFont="1" applyBorder="1" applyAlignment="1">
      <alignment shrinkToFit="1"/>
    </xf>
    <xf numFmtId="0" fontId="2" fillId="0" borderId="91" xfId="0" quotePrefix="1" applyFont="1" applyBorder="1" applyAlignment="1">
      <alignment horizontal="center" shrinkToFit="1"/>
    </xf>
    <xf numFmtId="0" fontId="2" fillId="0" borderId="80" xfId="0" applyFont="1" applyBorder="1" applyAlignment="1">
      <alignment horizontal="center" shrinkToFit="1"/>
    </xf>
    <xf numFmtId="0" fontId="2" fillId="0" borderId="92" xfId="0" applyFont="1" applyBorder="1" applyAlignment="1">
      <alignment horizontal="center" shrinkToFit="1"/>
    </xf>
    <xf numFmtId="0" fontId="2" fillId="0" borderId="34" xfId="0" quotePrefix="1" applyFont="1" applyBorder="1" applyAlignment="1">
      <alignment horizontal="center" shrinkToFit="1"/>
    </xf>
    <xf numFmtId="0" fontId="2" fillId="0" borderId="70" xfId="0" applyFont="1" applyBorder="1" applyAlignment="1">
      <alignment shrinkToFit="1"/>
    </xf>
    <xf numFmtId="0" fontId="2" fillId="0" borderId="32" xfId="0" quotePrefix="1" applyFont="1" applyBorder="1" applyAlignment="1">
      <alignment horizontal="center" shrinkToFit="1"/>
    </xf>
    <xf numFmtId="0" fontId="2" fillId="0" borderId="70" xfId="0" quotePrefix="1" applyFont="1" applyBorder="1" applyAlignment="1">
      <alignment horizontal="center" shrinkToFit="1"/>
    </xf>
    <xf numFmtId="0" fontId="2" fillId="0" borderId="34" xfId="0" quotePrefix="1" applyFont="1" applyBorder="1" applyAlignment="1">
      <alignment shrinkToFit="1"/>
    </xf>
    <xf numFmtId="0" fontId="2" fillId="0" borderId="34" xfId="0" applyFont="1" applyBorder="1" applyAlignment="1">
      <alignment horizontal="left" shrinkToFit="1"/>
    </xf>
    <xf numFmtId="0" fontId="2" fillId="0" borderId="32" xfId="0" applyFont="1" applyBorder="1" applyAlignment="1">
      <alignment horizontal="left" shrinkToFit="1"/>
    </xf>
    <xf numFmtId="0" fontId="2" fillId="0" borderId="70" xfId="0" applyFont="1" applyBorder="1" applyAlignment="1">
      <alignment horizontal="left" shrinkToFit="1"/>
    </xf>
    <xf numFmtId="0" fontId="2" fillId="0" borderId="37" xfId="0" applyFont="1" applyBorder="1"/>
    <xf numFmtId="0" fontId="0" fillId="0" borderId="38" xfId="0" applyBorder="1"/>
    <xf numFmtId="0" fontId="0" fillId="0" borderId="69" xfId="0" applyBorder="1"/>
    <xf numFmtId="0" fontId="2" fillId="0" borderId="21" xfId="0" applyFont="1" applyBorder="1"/>
    <xf numFmtId="0" fontId="2" fillId="0" borderId="37" xfId="0" applyFont="1" applyBorder="1" applyAlignment="1">
      <alignment horizontal="center" shrinkToFit="1"/>
    </xf>
    <xf numFmtId="0" fontId="2" fillId="0" borderId="38" xfId="0" applyFont="1" applyBorder="1" applyAlignment="1">
      <alignment horizontal="center" shrinkToFit="1"/>
    </xf>
    <xf numFmtId="0" fontId="2" fillId="0" borderId="53" xfId="0" applyFont="1" applyBorder="1" applyAlignment="1">
      <alignment horizontal="center" shrinkToFit="1"/>
    </xf>
    <xf numFmtId="0" fontId="2" fillId="0" borderId="37" xfId="0" applyFont="1" applyBorder="1" applyAlignment="1">
      <alignment shrinkToFit="1"/>
    </xf>
    <xf numFmtId="0" fontId="2" fillId="0" borderId="38" xfId="0" applyFont="1" applyBorder="1" applyAlignment="1">
      <alignment shrinkToFit="1"/>
    </xf>
    <xf numFmtId="0" fontId="2" fillId="0" borderId="68" xfId="0" applyFont="1" applyBorder="1" applyAlignment="1">
      <alignment horizontal="center"/>
    </xf>
    <xf numFmtId="0" fontId="2" fillId="0" borderId="67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69" xfId="0" applyFont="1" applyBorder="1" applyAlignment="1">
      <alignment shrinkToFit="1"/>
    </xf>
    <xf numFmtId="0" fontId="0" fillId="0" borderId="53" xfId="0" applyBorder="1"/>
    <xf numFmtId="0" fontId="2" fillId="0" borderId="65" xfId="0" applyFont="1" applyBorder="1" applyAlignment="1">
      <alignment horizontal="left"/>
    </xf>
    <xf numFmtId="0" fontId="0" fillId="0" borderId="65" xfId="0" applyBorder="1" applyAlignment="1">
      <alignment horizontal="left"/>
    </xf>
    <xf numFmtId="0" fontId="0" fillId="0" borderId="13" xfId="0" applyBorder="1" applyAlignment="1">
      <alignment horizontal="left"/>
    </xf>
    <xf numFmtId="176" fontId="2" fillId="0" borderId="66" xfId="0" applyNumberFormat="1" applyFont="1" applyBorder="1" applyAlignment="1">
      <alignment horizontal="center"/>
    </xf>
    <xf numFmtId="0" fontId="0" fillId="0" borderId="65" xfId="0" applyBorder="1" applyAlignment="1">
      <alignment horizontal="center"/>
    </xf>
    <xf numFmtId="0" fontId="2" fillId="0" borderId="65" xfId="0" applyFont="1" applyBorder="1" applyAlignment="1">
      <alignment horizontal="center"/>
    </xf>
    <xf numFmtId="0" fontId="3" fillId="0" borderId="65" xfId="0" applyFont="1" applyBorder="1" applyAlignment="1">
      <alignment horizontal="left"/>
    </xf>
    <xf numFmtId="0" fontId="2" fillId="0" borderId="63" xfId="0" applyFont="1" applyBorder="1" applyAlignment="1">
      <alignment vertical="top" wrapText="1"/>
    </xf>
    <xf numFmtId="0" fontId="2" fillId="0" borderId="39" xfId="0" applyFont="1" applyBorder="1" applyAlignment="1">
      <alignment vertical="top" wrapText="1"/>
    </xf>
    <xf numFmtId="0" fontId="0" fillId="0" borderId="39" xfId="0" applyBorder="1" applyAlignment="1">
      <alignment vertical="top" wrapText="1"/>
    </xf>
    <xf numFmtId="0" fontId="0" fillId="0" borderId="64" xfId="0" applyBorder="1" applyAlignment="1">
      <alignment vertical="top" wrapText="1"/>
    </xf>
    <xf numFmtId="0" fontId="2" fillId="0" borderId="47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0" borderId="48" xfId="0" applyBorder="1" applyAlignment="1">
      <alignment vertical="top" wrapText="1"/>
    </xf>
    <xf numFmtId="0" fontId="0" fillId="0" borderId="47" xfId="0" applyBorder="1" applyAlignment="1">
      <alignment vertical="top" wrapText="1"/>
    </xf>
    <xf numFmtId="0" fontId="0" fillId="0" borderId="51" xfId="0" applyBorder="1" applyAlignment="1">
      <alignment vertical="top" wrapText="1"/>
    </xf>
    <xf numFmtId="0" fontId="0" fillId="0" borderId="58" xfId="0" applyBorder="1" applyAlignment="1">
      <alignment vertical="top" wrapText="1"/>
    </xf>
    <xf numFmtId="0" fontId="0" fillId="0" borderId="52" xfId="0" applyBorder="1" applyAlignment="1">
      <alignment vertical="top" wrapText="1"/>
    </xf>
    <xf numFmtId="0" fontId="2" fillId="0" borderId="106" xfId="0" applyFont="1" applyBorder="1" applyAlignment="1">
      <alignment horizontal="left" wrapText="1"/>
    </xf>
    <xf numFmtId="0" fontId="2" fillId="0" borderId="107" xfId="0" applyFont="1" applyBorder="1" applyAlignment="1">
      <alignment horizontal="left"/>
    </xf>
    <xf numFmtId="0" fontId="2" fillId="0" borderId="108" xfId="0" applyFont="1" applyBorder="1" applyAlignment="1">
      <alignment horizontal="left"/>
    </xf>
    <xf numFmtId="0" fontId="2" fillId="0" borderId="91" xfId="0" applyFont="1" applyBorder="1" applyAlignment="1">
      <alignment horizontal="left"/>
    </xf>
    <xf numFmtId="0" fontId="2" fillId="0" borderId="80" xfId="0" applyFont="1" applyBorder="1" applyAlignment="1">
      <alignment horizontal="left"/>
    </xf>
    <xf numFmtId="0" fontId="2" fillId="0" borderId="92" xfId="0" applyFont="1" applyBorder="1" applyAlignment="1">
      <alignment horizontal="left"/>
    </xf>
    <xf numFmtId="0" fontId="2" fillId="0" borderId="106" xfId="0" applyFont="1" applyBorder="1" applyAlignment="1">
      <alignment horizontal="center" shrinkToFit="1"/>
    </xf>
    <xf numFmtId="0" fontId="2" fillId="0" borderId="107" xfId="0" applyFont="1" applyBorder="1" applyAlignment="1">
      <alignment horizontal="center" shrinkToFit="1"/>
    </xf>
    <xf numFmtId="0" fontId="2" fillId="0" borderId="108" xfId="0" applyFont="1" applyBorder="1" applyAlignment="1">
      <alignment horizontal="center" shrinkToFit="1"/>
    </xf>
    <xf numFmtId="0" fontId="2" fillId="0" borderId="91" xfId="0" applyFont="1" applyBorder="1" applyAlignment="1">
      <alignment horizontal="center" shrinkToFit="1"/>
    </xf>
    <xf numFmtId="176" fontId="18" fillId="0" borderId="72" xfId="0" applyNumberFormat="1" applyFont="1" applyBorder="1" applyAlignment="1">
      <alignment horizontal="center"/>
    </xf>
    <xf numFmtId="0" fontId="21" fillId="0" borderId="71" xfId="0" applyFont="1" applyBorder="1" applyAlignment="1">
      <alignment horizontal="center"/>
    </xf>
    <xf numFmtId="0" fontId="2" fillId="0" borderId="71" xfId="0" applyFont="1" applyBorder="1" applyAlignment="1">
      <alignment horizontal="center"/>
    </xf>
    <xf numFmtId="0" fontId="2" fillId="0" borderId="71" xfId="0" applyFont="1" applyBorder="1" applyAlignment="1">
      <alignment horizontal="left"/>
    </xf>
    <xf numFmtId="0" fontId="0" fillId="0" borderId="71" xfId="0" applyBorder="1" applyAlignment="1">
      <alignment horizontal="left"/>
    </xf>
    <xf numFmtId="0" fontId="0" fillId="0" borderId="14" xfId="0" applyBorder="1" applyAlignment="1">
      <alignment horizontal="left"/>
    </xf>
    <xf numFmtId="176" fontId="2" fillId="0" borderId="63" xfId="0" applyNumberFormat="1" applyFont="1" applyBorder="1" applyAlignment="1">
      <alignment horizontal="left" vertical="top" wrapText="1"/>
    </xf>
    <xf numFmtId="0" fontId="0" fillId="0" borderId="39" xfId="0" applyBorder="1" applyAlignment="1">
      <alignment horizontal="left" vertical="top"/>
    </xf>
    <xf numFmtId="0" fontId="0" fillId="0" borderId="64" xfId="0" applyBorder="1" applyAlignment="1">
      <alignment horizontal="left" vertical="top"/>
    </xf>
    <xf numFmtId="0" fontId="0" fillId="0" borderId="51" xfId="0" applyBorder="1" applyAlignment="1">
      <alignment vertical="top"/>
    </xf>
    <xf numFmtId="0" fontId="0" fillId="0" borderId="58" xfId="0" applyBorder="1" applyAlignment="1">
      <alignment vertical="top"/>
    </xf>
    <xf numFmtId="0" fontId="0" fillId="0" borderId="52" xfId="0" applyBorder="1" applyAlignment="1">
      <alignment vertical="top"/>
    </xf>
    <xf numFmtId="0" fontId="2" fillId="0" borderId="63" xfId="0" applyFont="1" applyBorder="1"/>
    <xf numFmtId="0" fontId="0" fillId="0" borderId="39" xfId="0" applyBorder="1"/>
    <xf numFmtId="0" fontId="0" fillId="0" borderId="64" xfId="0" applyBorder="1"/>
    <xf numFmtId="0" fontId="2" fillId="0" borderId="51" xfId="0" applyFont="1" applyBorder="1"/>
    <xf numFmtId="0" fontId="0" fillId="0" borderId="58" xfId="0" applyBorder="1"/>
    <xf numFmtId="0" fontId="0" fillId="0" borderId="52" xfId="0" applyBorder="1"/>
    <xf numFmtId="0" fontId="2" fillId="0" borderId="1" xfId="0" applyFont="1" applyBorder="1" applyAlignment="1">
      <alignment horizontal="center"/>
    </xf>
    <xf numFmtId="0" fontId="2" fillId="0" borderId="35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2" fillId="0" borderId="62" xfId="0" applyFont="1" applyBorder="1" applyAlignment="1">
      <alignment horizontal="center"/>
    </xf>
    <xf numFmtId="0" fontId="3" fillId="0" borderId="34" xfId="0" applyFont="1" applyBorder="1"/>
    <xf numFmtId="0" fontId="9" fillId="0" borderId="32" xfId="0" applyFont="1" applyBorder="1"/>
    <xf numFmtId="0" fontId="9" fillId="0" borderId="62" xfId="0" applyFont="1" applyBorder="1"/>
    <xf numFmtId="0" fontId="2" fillId="0" borderId="35" xfId="0" applyFont="1" applyBorder="1"/>
    <xf numFmtId="0" fontId="2" fillId="0" borderId="2" xfId="0" applyFont="1" applyBorder="1"/>
    <xf numFmtId="0" fontId="2" fillId="0" borderId="2" xfId="0" applyFont="1" applyBorder="1" applyAlignment="1">
      <alignment shrinkToFit="1"/>
    </xf>
    <xf numFmtId="0" fontId="2" fillId="0" borderId="80" xfId="0" quotePrefix="1" applyFont="1" applyBorder="1" applyAlignment="1">
      <alignment horizontal="center" shrinkToFit="1"/>
    </xf>
    <xf numFmtId="0" fontId="2" fillId="0" borderId="92" xfId="0" quotePrefix="1" applyFont="1" applyBorder="1" applyAlignment="1">
      <alignment horizontal="center" shrinkToFit="1"/>
    </xf>
    <xf numFmtId="0" fontId="2" fillId="0" borderId="32" xfId="0" applyFont="1" applyBorder="1"/>
    <xf numFmtId="0" fontId="2" fillId="0" borderId="70" xfId="0" applyFont="1" applyBorder="1"/>
    <xf numFmtId="0" fontId="2" fillId="0" borderId="34" xfId="0" applyFont="1" applyBorder="1" applyAlignment="1">
      <alignment horizontal="left"/>
    </xf>
    <xf numFmtId="0" fontId="2" fillId="0" borderId="32" xfId="0" applyFont="1" applyBorder="1" applyAlignment="1">
      <alignment horizontal="left"/>
    </xf>
    <xf numFmtId="0" fontId="2" fillId="0" borderId="70" xfId="0" applyFont="1" applyBorder="1" applyAlignment="1">
      <alignment horizontal="left"/>
    </xf>
    <xf numFmtId="38" fontId="0" fillId="0" borderId="0" xfId="0" applyNumberFormat="1" applyAlignment="1">
      <alignment horizontal="left" vertical="center"/>
    </xf>
    <xf numFmtId="38" fontId="30" fillId="0" borderId="124" xfId="0" applyNumberFormat="1" applyFont="1" applyBorder="1" applyAlignment="1">
      <alignment horizontal="center" vertical="center"/>
    </xf>
    <xf numFmtId="38" fontId="30" fillId="0" borderId="117" xfId="0" applyNumberFormat="1" applyFont="1" applyBorder="1" applyAlignment="1">
      <alignment horizontal="center" vertical="center"/>
    </xf>
    <xf numFmtId="38" fontId="31" fillId="0" borderId="63" xfId="0" applyNumberFormat="1" applyFont="1" applyBorder="1" applyAlignment="1">
      <alignment horizontal="center" vertical="center" wrapText="1"/>
    </xf>
    <xf numFmtId="38" fontId="31" fillId="0" borderId="64" xfId="0" applyNumberFormat="1" applyFont="1" applyBorder="1" applyAlignment="1">
      <alignment horizontal="center" vertical="center" wrapText="1"/>
    </xf>
    <xf numFmtId="38" fontId="0" fillId="0" borderId="27" xfId="0" applyNumberFormat="1" applyBorder="1" applyAlignment="1">
      <alignment horizontal="center" vertical="center"/>
    </xf>
    <xf numFmtId="38" fontId="0" fillId="0" borderId="50" xfId="0" applyNumberFormat="1" applyBorder="1" applyAlignment="1">
      <alignment horizontal="center" vertical="center"/>
    </xf>
    <xf numFmtId="38" fontId="0" fillId="0" borderId="49" xfId="0" applyNumberFormat="1" applyBorder="1" applyAlignment="1">
      <alignment horizontal="center" vertical="center"/>
    </xf>
    <xf numFmtId="38" fontId="0" fillId="0" borderId="24" xfId="0" applyNumberFormat="1" applyBorder="1" applyAlignment="1">
      <alignment horizontal="center" vertical="center"/>
    </xf>
    <xf numFmtId="38" fontId="30" fillId="0" borderId="21" xfId="0" applyNumberFormat="1" applyFont="1" applyBorder="1" applyAlignment="1">
      <alignment horizontal="center" vertical="center"/>
    </xf>
    <xf numFmtId="38" fontId="30" fillId="0" borderId="31" xfId="0" applyNumberFormat="1" applyFont="1" applyBorder="1" applyAlignment="1">
      <alignment horizontal="center" vertical="center"/>
    </xf>
    <xf numFmtId="38" fontId="31" fillId="0" borderId="21" xfId="0" applyNumberFormat="1" applyFont="1" applyBorder="1" applyAlignment="1">
      <alignment horizontal="center" vertical="center" wrapText="1"/>
    </xf>
    <xf numFmtId="38" fontId="31" fillId="0" borderId="30" xfId="0" applyNumberFormat="1" applyFont="1" applyBorder="1" applyAlignment="1">
      <alignment horizontal="center" vertical="center" wrapText="1"/>
    </xf>
    <xf numFmtId="38" fontId="0" fillId="0" borderId="74" xfId="0" applyNumberFormat="1" applyBorder="1" applyAlignment="1">
      <alignment horizontal="center" vertical="center" wrapText="1" shrinkToFit="1"/>
    </xf>
    <xf numFmtId="38" fontId="0" fillId="0" borderId="125" xfId="0" applyNumberFormat="1" applyBorder="1" applyAlignment="1">
      <alignment horizontal="center" vertical="center" shrinkToFit="1"/>
    </xf>
    <xf numFmtId="38" fontId="0" fillId="0" borderId="121" xfId="0" applyNumberFormat="1" applyBorder="1" applyAlignment="1">
      <alignment horizontal="center" vertical="center" wrapText="1"/>
    </xf>
    <xf numFmtId="38" fontId="0" fillId="0" borderId="122" xfId="0" applyNumberFormat="1" applyBorder="1" applyAlignment="1">
      <alignment horizontal="center" vertical="center"/>
    </xf>
    <xf numFmtId="0" fontId="0" fillId="0" borderId="124" xfId="0" applyBorder="1" applyAlignment="1">
      <alignment horizontal="center" vertical="center" shrinkToFit="1"/>
    </xf>
    <xf numFmtId="0" fontId="0" fillId="0" borderId="117" xfId="0" applyBorder="1" applyAlignment="1">
      <alignment horizontal="center" vertical="center" shrinkToFit="1"/>
    </xf>
    <xf numFmtId="38" fontId="30" fillId="0" borderId="51" xfId="0" applyNumberFormat="1" applyFont="1" applyBorder="1" applyAlignment="1">
      <alignment horizontal="center" vertical="center"/>
    </xf>
    <xf numFmtId="38" fontId="30" fillId="0" borderId="60" xfId="0" applyNumberFormat="1" applyFont="1" applyBorder="1" applyAlignment="1">
      <alignment horizontal="center" vertical="center"/>
    </xf>
    <xf numFmtId="38" fontId="31" fillId="0" borderId="51" xfId="0" applyNumberFormat="1" applyFont="1" applyBorder="1" applyAlignment="1">
      <alignment horizontal="center" vertical="center" wrapText="1"/>
    </xf>
    <xf numFmtId="38" fontId="31" fillId="0" borderId="52" xfId="0" applyNumberFormat="1" applyFont="1" applyBorder="1" applyAlignment="1">
      <alignment horizontal="center" vertical="center" wrapText="1"/>
    </xf>
    <xf numFmtId="38" fontId="30" fillId="0" borderId="21" xfId="0" applyNumberFormat="1" applyFont="1" applyBorder="1" applyAlignment="1">
      <alignment vertical="center"/>
    </xf>
    <xf numFmtId="38" fontId="30" fillId="0" borderId="31" xfId="0" applyNumberFormat="1" applyFont="1" applyBorder="1" applyAlignment="1">
      <alignment vertical="center"/>
    </xf>
    <xf numFmtId="38" fontId="0" fillId="0" borderId="0" xfId="0" applyNumberFormat="1" applyAlignment="1">
      <alignment vertical="center"/>
    </xf>
    <xf numFmtId="38" fontId="0" fillId="0" borderId="0" xfId="0" applyNumberFormat="1" applyAlignment="1">
      <alignment vertical="center" wrapText="1"/>
    </xf>
    <xf numFmtId="38" fontId="0" fillId="0" borderId="119" xfId="0" applyNumberFormat="1" applyBorder="1" applyAlignment="1">
      <alignment horizontal="center" vertical="center"/>
    </xf>
    <xf numFmtId="38" fontId="0" fillId="0" borderId="23" xfId="0" applyNumberFormat="1" applyBorder="1" applyAlignment="1">
      <alignment horizontal="center" vertical="center"/>
    </xf>
    <xf numFmtId="38" fontId="0" fillId="0" borderId="120" xfId="0" applyNumberFormat="1" applyBorder="1" applyAlignment="1">
      <alignment horizontal="center" vertical="center"/>
    </xf>
    <xf numFmtId="38" fontId="0" fillId="0" borderId="59" xfId="0" applyNumberFormat="1" applyBorder="1" applyAlignment="1">
      <alignment horizontal="center" vertical="center"/>
    </xf>
    <xf numFmtId="38" fontId="0" fillId="0" borderId="121" xfId="0" applyNumberFormat="1" applyBorder="1" applyAlignment="1">
      <alignment horizontal="center" vertical="center" wrapText="1" shrinkToFit="1"/>
    </xf>
    <xf numFmtId="38" fontId="0" fillId="0" borderId="122" xfId="0" applyNumberFormat="1" applyBorder="1" applyAlignment="1">
      <alignment horizontal="center" vertical="center" shrinkToFit="1"/>
    </xf>
    <xf numFmtId="38" fontId="0" fillId="0" borderId="119" xfId="0" applyNumberFormat="1" applyBorder="1" applyAlignment="1">
      <alignment horizontal="center" vertical="center" shrinkToFit="1"/>
    </xf>
    <xf numFmtId="38" fontId="0" fillId="0" borderId="23" xfId="0" applyNumberFormat="1" applyBorder="1" applyAlignment="1">
      <alignment horizontal="center" vertical="center" shrinkToFit="1"/>
    </xf>
    <xf numFmtId="38" fontId="0" fillId="0" borderId="8" xfId="0" applyNumberFormat="1" applyBorder="1" applyAlignment="1">
      <alignment horizontal="center" vertical="center" shrinkToFit="1"/>
    </xf>
    <xf numFmtId="38" fontId="0" fillId="0" borderId="123" xfId="0" applyNumberFormat="1" applyBorder="1" applyAlignment="1">
      <alignment horizontal="center" vertical="center" shrinkToFit="1"/>
    </xf>
    <xf numFmtId="38" fontId="0" fillId="0" borderId="41" xfId="0" applyNumberFormat="1" applyBorder="1" applyAlignment="1">
      <alignment horizontal="center" vertical="center"/>
    </xf>
    <xf numFmtId="38" fontId="0" fillId="0" borderId="44" xfId="0" applyNumberFormat="1" applyBorder="1" applyAlignment="1">
      <alignment horizontal="center" vertical="center"/>
    </xf>
    <xf numFmtId="38" fontId="0" fillId="0" borderId="46" xfId="0" applyNumberFormat="1" applyBorder="1" applyAlignment="1">
      <alignment horizontal="center" vertical="center"/>
    </xf>
    <xf numFmtId="38" fontId="0" fillId="0" borderId="89" xfId="0" applyNumberFormat="1" applyBorder="1" applyAlignment="1">
      <alignment horizontal="center" vertical="center" wrapText="1" shrinkToFit="1"/>
    </xf>
    <xf numFmtId="38" fontId="0" fillId="0" borderId="125" xfId="0" applyNumberFormat="1" applyBorder="1" applyAlignment="1">
      <alignment horizontal="center" vertical="center" wrapText="1" shrinkToFit="1"/>
    </xf>
    <xf numFmtId="38" fontId="0" fillId="0" borderId="56" xfId="0" applyNumberFormat="1" applyBorder="1" applyAlignment="1">
      <alignment horizontal="center" vertical="center" wrapText="1" shrinkToFit="1"/>
    </xf>
    <xf numFmtId="0" fontId="11" fillId="0" borderId="0" xfId="0" applyFont="1" applyAlignment="1">
      <alignment horizontal="center"/>
    </xf>
    <xf numFmtId="0" fontId="2" fillId="0" borderId="47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48" xfId="0" applyFont="1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0" fillId="0" borderId="31" xfId="0" applyBorder="1" applyAlignment="1">
      <alignment horizontal="left" vertical="center"/>
    </xf>
    <xf numFmtId="0" fontId="10" fillId="0" borderId="74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75" xfId="0" applyFont="1" applyBorder="1" applyAlignment="1">
      <alignment horizontal="center" vertical="center"/>
    </xf>
    <xf numFmtId="0" fontId="2" fillId="0" borderId="76" xfId="0" applyFont="1" applyBorder="1" applyAlignment="1">
      <alignment horizontal="center" vertical="center"/>
    </xf>
    <xf numFmtId="0" fontId="2" fillId="0" borderId="58" xfId="0" applyFont="1" applyBorder="1" applyAlignment="1">
      <alignment horizontal="center" vertical="center"/>
    </xf>
    <xf numFmtId="0" fontId="2" fillId="0" borderId="52" xfId="0" applyFont="1" applyBorder="1" applyAlignment="1">
      <alignment horizontal="center" vertical="center"/>
    </xf>
    <xf numFmtId="0" fontId="4" fillId="0" borderId="75" xfId="0" applyFont="1" applyBorder="1" applyAlignment="1">
      <alignment horizontal="distributed" vertical="center"/>
    </xf>
    <xf numFmtId="0" fontId="0" fillId="0" borderId="0" xfId="0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2" fillId="0" borderId="88" xfId="0" applyFont="1" applyBorder="1" applyAlignment="1">
      <alignment horizontal="left" vertical="center" wrapText="1"/>
    </xf>
    <xf numFmtId="0" fontId="7" fillId="0" borderId="24" xfId="0" applyFont="1" applyBorder="1" applyAlignment="1">
      <alignment horizontal="left" vertical="center" wrapText="1"/>
    </xf>
    <xf numFmtId="0" fontId="7" fillId="0" borderId="89" xfId="0" applyFont="1" applyBorder="1" applyAlignment="1">
      <alignment horizontal="left" vertical="center" wrapText="1"/>
    </xf>
    <xf numFmtId="0" fontId="7" fillId="0" borderId="51" xfId="0" applyFont="1" applyBorder="1" applyAlignment="1">
      <alignment vertical="center" wrapText="1"/>
    </xf>
    <xf numFmtId="0" fontId="7" fillId="0" borderId="58" xfId="0" applyFont="1" applyBorder="1" applyAlignment="1">
      <alignment vertical="center" wrapText="1"/>
    </xf>
    <xf numFmtId="0" fontId="7" fillId="0" borderId="60" xfId="0" applyFont="1" applyBorder="1" applyAlignment="1">
      <alignment vertical="center" wrapText="1"/>
    </xf>
    <xf numFmtId="56" fontId="2" fillId="0" borderId="82" xfId="0" applyNumberFormat="1" applyFont="1" applyBorder="1" applyAlignment="1">
      <alignment horizontal="left" vertical="center"/>
    </xf>
    <xf numFmtId="0" fontId="0" fillId="0" borderId="32" xfId="0" applyBorder="1" applyAlignment="1">
      <alignment horizontal="left" vertical="center"/>
    </xf>
    <xf numFmtId="0" fontId="0" fillId="0" borderId="33" xfId="0" applyBorder="1" applyAlignment="1">
      <alignment horizontal="left" vertical="center"/>
    </xf>
    <xf numFmtId="56" fontId="2" fillId="0" borderId="77" xfId="0" applyNumberFormat="1" applyFont="1" applyBorder="1" applyAlignment="1">
      <alignment horizontal="left" vertical="center"/>
    </xf>
    <xf numFmtId="0" fontId="0" fillId="0" borderId="38" xfId="0" applyBorder="1" applyAlignment="1">
      <alignment horizontal="left" vertical="center"/>
    </xf>
    <xf numFmtId="0" fontId="0" fillId="0" borderId="78" xfId="0" applyBorder="1" applyAlignment="1">
      <alignment horizontal="left" vertical="center"/>
    </xf>
    <xf numFmtId="56" fontId="2" fillId="0" borderId="79" xfId="0" applyNumberFormat="1" applyFont="1" applyBorder="1" applyAlignment="1">
      <alignment horizontal="left" vertical="center"/>
    </xf>
    <xf numFmtId="0" fontId="0" fillId="0" borderId="80" xfId="0" applyBorder="1" applyAlignment="1">
      <alignment horizontal="left" vertical="center"/>
    </xf>
    <xf numFmtId="0" fontId="0" fillId="0" borderId="81" xfId="0" applyBorder="1" applyAlignment="1">
      <alignment horizontal="left" vertical="center"/>
    </xf>
    <xf numFmtId="0" fontId="0" fillId="0" borderId="70" xfId="0" applyBorder="1" applyAlignment="1">
      <alignment horizontal="left" vertical="center"/>
    </xf>
    <xf numFmtId="0" fontId="0" fillId="0" borderId="34" xfId="0" applyBorder="1" applyAlignment="1">
      <alignment horizontal="left" vertical="center"/>
    </xf>
    <xf numFmtId="56" fontId="2" fillId="0" borderId="83" xfId="0" applyNumberFormat="1" applyFont="1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84" xfId="0" applyBorder="1" applyAlignment="1">
      <alignment horizontal="left" vertical="center"/>
    </xf>
    <xf numFmtId="56" fontId="2" fillId="0" borderId="85" xfId="0" applyNumberFormat="1" applyFont="1" applyBorder="1" applyAlignment="1">
      <alignment horizontal="left" vertical="center"/>
    </xf>
    <xf numFmtId="0" fontId="0" fillId="0" borderId="86" xfId="0" applyBorder="1" applyAlignment="1">
      <alignment horizontal="left" vertical="center"/>
    </xf>
    <xf numFmtId="0" fontId="0" fillId="0" borderId="87" xfId="0" applyBorder="1" applyAlignment="1">
      <alignment horizontal="left" vertical="center"/>
    </xf>
    <xf numFmtId="0" fontId="3" fillId="0" borderId="38" xfId="0" applyFont="1" applyBorder="1" applyAlignment="1">
      <alignment horizontal="left" vertical="center"/>
    </xf>
    <xf numFmtId="0" fontId="9" fillId="0" borderId="38" xfId="0" applyFont="1" applyBorder="1" applyAlignment="1">
      <alignment horizontal="left" vertical="center"/>
    </xf>
    <xf numFmtId="0" fontId="9" fillId="0" borderId="78" xfId="0" applyFont="1" applyBorder="1" applyAlignment="1">
      <alignment horizontal="left" vertical="center"/>
    </xf>
    <xf numFmtId="0" fontId="2" fillId="0" borderId="35" xfId="0" applyFont="1" applyBorder="1" applyAlignment="1">
      <alignment horizontal="left" vertical="center"/>
    </xf>
    <xf numFmtId="0" fontId="9" fillId="0" borderId="32" xfId="0" applyFont="1" applyBorder="1" applyAlignment="1">
      <alignment horizontal="left" vertical="center"/>
    </xf>
    <xf numFmtId="0" fontId="9" fillId="0" borderId="33" xfId="0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7" fillId="0" borderId="35" xfId="0" applyFont="1" applyBorder="1" applyAlignment="1">
      <alignment horizontal="left" vertical="center"/>
    </xf>
    <xf numFmtId="0" fontId="7" fillId="0" borderId="84" xfId="0" applyFont="1" applyBorder="1" applyAlignment="1">
      <alignment horizontal="left" vertical="center"/>
    </xf>
    <xf numFmtId="0" fontId="23" fillId="0" borderId="58" xfId="1" applyFont="1" applyBorder="1" applyAlignment="1">
      <alignment horizontal="center" vertical="center"/>
    </xf>
    <xf numFmtId="0" fontId="23" fillId="0" borderId="58" xfId="0" applyFont="1" applyBorder="1" applyAlignment="1">
      <alignment horizontal="center" vertical="center"/>
    </xf>
    <xf numFmtId="0" fontId="7" fillId="0" borderId="26" xfId="1" applyFont="1" applyBorder="1" applyAlignment="1">
      <alignment horizontal="center" vertical="center"/>
    </xf>
    <xf numFmtId="0" fontId="7" fillId="0" borderId="0" xfId="1" applyFont="1" applyAlignment="1">
      <alignment horizontal="left" vertical="top" wrapText="1"/>
    </xf>
    <xf numFmtId="0" fontId="7" fillId="0" borderId="0" xfId="1" applyFont="1" applyAlignment="1">
      <alignment horizontal="left" vertical="top"/>
    </xf>
  </cellXfs>
  <cellStyles count="3">
    <cellStyle name="ハイパーリンク" xfId="2" builtinId="8"/>
    <cellStyle name="標準" xfId="0" builtinId="0"/>
    <cellStyle name="標準_雪山教室大山原案（向田）_装備分担表（原田計測）ハンデつき" xfId="1" xr:uid="{00000000-0005-0000-0000-000002000000}"/>
  </cellStyles>
  <dxfs count="1">
    <dxf>
      <fill>
        <patternFill patternType="lightDown"/>
      </fill>
    </dxf>
  </dxfs>
  <tableStyles count="0" defaultTableStyle="TableStyleMedium2" defaultPivotStyle="PivotStyleLight16"/>
  <colors>
    <mruColors>
      <color rgb="FFB2B2B2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15</xdr:row>
      <xdr:rowOff>0</xdr:rowOff>
    </xdr:from>
    <xdr:to>
      <xdr:col>6</xdr:col>
      <xdr:colOff>0</xdr:colOff>
      <xdr:row>15</xdr:row>
      <xdr:rowOff>0</xdr:rowOff>
    </xdr:to>
    <xdr:sp macro="" textlink="">
      <xdr:nvSpPr>
        <xdr:cNvPr id="1025" name="Line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ShapeType="1"/>
        </xdr:cNvSpPr>
      </xdr:nvSpPr>
      <xdr:spPr bwMode="auto">
        <a:xfrm>
          <a:off x="3724275" y="3505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15</xdr:row>
      <xdr:rowOff>0</xdr:rowOff>
    </xdr:from>
    <xdr:to>
      <xdr:col>6</xdr:col>
      <xdr:colOff>0</xdr:colOff>
      <xdr:row>15</xdr:row>
      <xdr:rowOff>0</xdr:rowOff>
    </xdr:to>
    <xdr:sp macro="" textlink="">
      <xdr:nvSpPr>
        <xdr:cNvPr id="1026" name="Line 2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>
          <a:spLocks noChangeShapeType="1"/>
        </xdr:cNvSpPr>
      </xdr:nvSpPr>
      <xdr:spPr bwMode="auto">
        <a:xfrm>
          <a:off x="3724275" y="3505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15</xdr:row>
      <xdr:rowOff>0</xdr:rowOff>
    </xdr:from>
    <xdr:to>
      <xdr:col>6</xdr:col>
      <xdr:colOff>0</xdr:colOff>
      <xdr:row>15</xdr:row>
      <xdr:rowOff>0</xdr:rowOff>
    </xdr:to>
    <xdr:sp macro="" textlink="">
      <xdr:nvSpPr>
        <xdr:cNvPr id="1027" name="Line 3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SpPr>
          <a:spLocks noChangeShapeType="1"/>
        </xdr:cNvSpPr>
      </xdr:nvSpPr>
      <xdr:spPr bwMode="auto">
        <a:xfrm>
          <a:off x="3724275" y="3505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15</xdr:row>
      <xdr:rowOff>285750</xdr:rowOff>
    </xdr:from>
    <xdr:to>
      <xdr:col>6</xdr:col>
      <xdr:colOff>0</xdr:colOff>
      <xdr:row>16</xdr:row>
      <xdr:rowOff>0</xdr:rowOff>
    </xdr:to>
    <xdr:sp macro="" textlink="">
      <xdr:nvSpPr>
        <xdr:cNvPr id="1028" name="Line 4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SpPr>
          <a:spLocks noChangeShapeType="1"/>
        </xdr:cNvSpPr>
      </xdr:nvSpPr>
      <xdr:spPr bwMode="auto">
        <a:xfrm>
          <a:off x="3724275" y="3733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8</xdr:row>
      <xdr:rowOff>285750</xdr:rowOff>
    </xdr:from>
    <xdr:to>
      <xdr:col>6</xdr:col>
      <xdr:colOff>0</xdr:colOff>
      <xdr:row>9</xdr:row>
      <xdr:rowOff>285750</xdr:rowOff>
    </xdr:to>
    <xdr:sp macro="" textlink="">
      <xdr:nvSpPr>
        <xdr:cNvPr id="1029" name="Line 10">
          <a:extLs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SpPr>
          <a:spLocks noChangeShapeType="1"/>
        </xdr:cNvSpPr>
      </xdr:nvSpPr>
      <xdr:spPr bwMode="auto">
        <a:xfrm>
          <a:off x="3724275" y="2266950"/>
          <a:ext cx="0" cy="2476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14</xdr:row>
      <xdr:rowOff>0</xdr:rowOff>
    </xdr:from>
    <xdr:to>
      <xdr:col>6</xdr:col>
      <xdr:colOff>0</xdr:colOff>
      <xdr:row>14</xdr:row>
      <xdr:rowOff>0</xdr:rowOff>
    </xdr:to>
    <xdr:sp macro="" textlink="">
      <xdr:nvSpPr>
        <xdr:cNvPr id="12" name="Line 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>
          <a:spLocks noChangeShapeType="1"/>
        </xdr:cNvSpPr>
      </xdr:nvSpPr>
      <xdr:spPr bwMode="auto">
        <a:xfrm>
          <a:off x="3345180" y="3238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14</xdr:row>
      <xdr:rowOff>0</xdr:rowOff>
    </xdr:from>
    <xdr:to>
      <xdr:col>6</xdr:col>
      <xdr:colOff>0</xdr:colOff>
      <xdr:row>14</xdr:row>
      <xdr:rowOff>0</xdr:rowOff>
    </xdr:to>
    <xdr:sp macro="" textlink="">
      <xdr:nvSpPr>
        <xdr:cNvPr id="13" name="Line 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>
          <a:spLocks noChangeShapeType="1"/>
        </xdr:cNvSpPr>
      </xdr:nvSpPr>
      <xdr:spPr bwMode="auto">
        <a:xfrm>
          <a:off x="3345180" y="3238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14</xdr:row>
      <xdr:rowOff>0</xdr:rowOff>
    </xdr:from>
    <xdr:to>
      <xdr:col>6</xdr:col>
      <xdr:colOff>0</xdr:colOff>
      <xdr:row>14</xdr:row>
      <xdr:rowOff>0</xdr:rowOff>
    </xdr:to>
    <xdr:sp macro="" textlink="">
      <xdr:nvSpPr>
        <xdr:cNvPr id="14" name="Line 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>
          <a:spLocks noChangeShapeType="1"/>
        </xdr:cNvSpPr>
      </xdr:nvSpPr>
      <xdr:spPr bwMode="auto">
        <a:xfrm>
          <a:off x="3345180" y="3238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14</xdr:row>
      <xdr:rowOff>289560</xdr:rowOff>
    </xdr:from>
    <xdr:to>
      <xdr:col>6</xdr:col>
      <xdr:colOff>0</xdr:colOff>
      <xdr:row>15</xdr:row>
      <xdr:rowOff>0</xdr:rowOff>
    </xdr:to>
    <xdr:sp macro="" textlink="">
      <xdr:nvSpPr>
        <xdr:cNvPr id="15" name="Line 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>
          <a:spLocks noChangeShapeType="1"/>
        </xdr:cNvSpPr>
      </xdr:nvSpPr>
      <xdr:spPr bwMode="auto">
        <a:xfrm>
          <a:off x="3345180" y="34671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289560</xdr:rowOff>
    </xdr:from>
    <xdr:to>
      <xdr:col>6</xdr:col>
      <xdr:colOff>0</xdr:colOff>
      <xdr:row>9</xdr:row>
      <xdr:rowOff>289560</xdr:rowOff>
    </xdr:to>
    <xdr:sp macro="" textlink="">
      <xdr:nvSpPr>
        <xdr:cNvPr id="16" name="Line 10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>
          <a:spLocks noChangeShapeType="1"/>
        </xdr:cNvSpPr>
      </xdr:nvSpPr>
      <xdr:spPr bwMode="auto">
        <a:xfrm>
          <a:off x="3345180" y="2278380"/>
          <a:ext cx="0" cy="2743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285750</xdr:rowOff>
    </xdr:from>
    <xdr:to>
      <xdr:col>6</xdr:col>
      <xdr:colOff>0</xdr:colOff>
      <xdr:row>9</xdr:row>
      <xdr:rowOff>285750</xdr:rowOff>
    </xdr:to>
    <xdr:sp macro="" textlink="">
      <xdr:nvSpPr>
        <xdr:cNvPr id="35" name="Line 10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>
          <a:spLocks noChangeShapeType="1"/>
        </xdr:cNvSpPr>
      </xdr:nvSpPr>
      <xdr:spPr bwMode="auto">
        <a:xfrm>
          <a:off x="3345180" y="2251710"/>
          <a:ext cx="0" cy="25146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13</xdr:row>
      <xdr:rowOff>0</xdr:rowOff>
    </xdr:from>
    <xdr:to>
      <xdr:col>6</xdr:col>
      <xdr:colOff>0</xdr:colOff>
      <xdr:row>13</xdr:row>
      <xdr:rowOff>0</xdr:rowOff>
    </xdr:to>
    <xdr:sp macro="" textlink="">
      <xdr:nvSpPr>
        <xdr:cNvPr id="36" name="Line 1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>
          <a:spLocks noChangeShapeType="1"/>
        </xdr:cNvSpPr>
      </xdr:nvSpPr>
      <xdr:spPr bwMode="auto">
        <a:xfrm>
          <a:off x="3345180" y="326136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13</xdr:row>
      <xdr:rowOff>0</xdr:rowOff>
    </xdr:from>
    <xdr:to>
      <xdr:col>6</xdr:col>
      <xdr:colOff>0</xdr:colOff>
      <xdr:row>13</xdr:row>
      <xdr:rowOff>0</xdr:rowOff>
    </xdr:to>
    <xdr:sp macro="" textlink="">
      <xdr:nvSpPr>
        <xdr:cNvPr id="37" name="Line 2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>
          <a:spLocks noChangeShapeType="1"/>
        </xdr:cNvSpPr>
      </xdr:nvSpPr>
      <xdr:spPr bwMode="auto">
        <a:xfrm>
          <a:off x="3345180" y="326136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13</xdr:row>
      <xdr:rowOff>0</xdr:rowOff>
    </xdr:from>
    <xdr:to>
      <xdr:col>6</xdr:col>
      <xdr:colOff>0</xdr:colOff>
      <xdr:row>13</xdr:row>
      <xdr:rowOff>0</xdr:rowOff>
    </xdr:to>
    <xdr:sp macro="" textlink="">
      <xdr:nvSpPr>
        <xdr:cNvPr id="38" name="Line 3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>
          <a:spLocks noChangeShapeType="1"/>
        </xdr:cNvSpPr>
      </xdr:nvSpPr>
      <xdr:spPr bwMode="auto">
        <a:xfrm>
          <a:off x="3345180" y="326136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289560</xdr:rowOff>
    </xdr:from>
    <xdr:to>
      <xdr:col>6</xdr:col>
      <xdr:colOff>0</xdr:colOff>
      <xdr:row>9</xdr:row>
      <xdr:rowOff>289560</xdr:rowOff>
    </xdr:to>
    <xdr:sp macro="" textlink="">
      <xdr:nvSpPr>
        <xdr:cNvPr id="39" name="Line 10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>
          <a:spLocks noChangeShapeType="1"/>
        </xdr:cNvSpPr>
      </xdr:nvSpPr>
      <xdr:spPr bwMode="auto">
        <a:xfrm>
          <a:off x="3345180" y="2255520"/>
          <a:ext cx="0" cy="25146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289560</xdr:rowOff>
    </xdr:from>
    <xdr:to>
      <xdr:col>6</xdr:col>
      <xdr:colOff>0</xdr:colOff>
      <xdr:row>9</xdr:row>
      <xdr:rowOff>289560</xdr:rowOff>
    </xdr:to>
    <xdr:sp macro="" textlink="">
      <xdr:nvSpPr>
        <xdr:cNvPr id="40" name="Line 10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>
          <a:spLocks noChangeShapeType="1"/>
        </xdr:cNvSpPr>
      </xdr:nvSpPr>
      <xdr:spPr bwMode="auto">
        <a:xfrm>
          <a:off x="3345180" y="2255520"/>
          <a:ext cx="0" cy="25146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450215</xdr:colOff>
      <xdr:row>6</xdr:row>
      <xdr:rowOff>99579</xdr:rowOff>
    </xdr:from>
    <xdr:to>
      <xdr:col>2</xdr:col>
      <xdr:colOff>450215</xdr:colOff>
      <xdr:row>7</xdr:row>
      <xdr:rowOff>152400</xdr:rowOff>
    </xdr:to>
    <xdr:cxnSp macro="">
      <xdr:nvCxnSpPr>
        <xdr:cNvPr id="2" name="直線矢印コネクタ 1">
          <a:extLst>
            <a:ext uri="{FF2B5EF4-FFF2-40B4-BE49-F238E27FC236}">
              <a16:creationId xmlns:a16="http://schemas.microsoft.com/office/drawing/2014/main" id="{D5CEC8B6-58E2-41E2-8A63-3A5D4A6372FC}"/>
            </a:ext>
          </a:extLst>
        </xdr:cNvPr>
        <xdr:cNvCxnSpPr/>
      </xdr:nvCxnSpPr>
      <xdr:spPr>
        <a:xfrm>
          <a:off x="1758315" y="1661679"/>
          <a:ext cx="0" cy="363971"/>
        </a:xfrm>
        <a:prstGeom prst="straightConnector1">
          <a:avLst/>
        </a:prstGeom>
        <a:ln w="19050"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431165</xdr:colOff>
      <xdr:row>6</xdr:row>
      <xdr:rowOff>101061</xdr:rowOff>
    </xdr:from>
    <xdr:to>
      <xdr:col>4</xdr:col>
      <xdr:colOff>436572</xdr:colOff>
      <xdr:row>6</xdr:row>
      <xdr:rowOff>101061</xdr:rowOff>
    </xdr:to>
    <xdr:cxnSp macro="">
      <xdr:nvCxnSpPr>
        <xdr:cNvPr id="3" name="直線コネクタ 2">
          <a:extLst>
            <a:ext uri="{FF2B5EF4-FFF2-40B4-BE49-F238E27FC236}">
              <a16:creationId xmlns:a16="http://schemas.microsoft.com/office/drawing/2014/main" id="{5E1CB49F-2D9E-4373-896B-E5729D223239}"/>
            </a:ext>
          </a:extLst>
        </xdr:cNvPr>
        <xdr:cNvCxnSpPr/>
      </xdr:nvCxnSpPr>
      <xdr:spPr>
        <a:xfrm>
          <a:off x="1739265" y="1663161"/>
          <a:ext cx="1592907" cy="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426056</xdr:colOff>
      <xdr:row>6</xdr:row>
      <xdr:rowOff>24885</xdr:rowOff>
    </xdr:from>
    <xdr:to>
      <xdr:col>4</xdr:col>
      <xdr:colOff>426056</xdr:colOff>
      <xdr:row>6</xdr:row>
      <xdr:rowOff>114944</xdr:rowOff>
    </xdr:to>
    <xdr:cxnSp macro="">
      <xdr:nvCxnSpPr>
        <xdr:cNvPr id="4" name="直線コネクタ 3">
          <a:extLst>
            <a:ext uri="{FF2B5EF4-FFF2-40B4-BE49-F238E27FC236}">
              <a16:creationId xmlns:a16="http://schemas.microsoft.com/office/drawing/2014/main" id="{FE4C885E-0223-4FA5-8A6E-A8CB7FBDD6D1}"/>
            </a:ext>
          </a:extLst>
        </xdr:cNvPr>
        <xdr:cNvCxnSpPr/>
      </xdr:nvCxnSpPr>
      <xdr:spPr>
        <a:xfrm flipV="1">
          <a:off x="3321656" y="1586985"/>
          <a:ext cx="0" cy="90059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426036</xdr:colOff>
      <xdr:row>6</xdr:row>
      <xdr:rowOff>203576</xdr:rowOff>
    </xdr:from>
    <xdr:to>
      <xdr:col>3</xdr:col>
      <xdr:colOff>426036</xdr:colOff>
      <xdr:row>7</xdr:row>
      <xdr:rowOff>152630</xdr:rowOff>
    </xdr:to>
    <xdr:cxnSp macro="">
      <xdr:nvCxnSpPr>
        <xdr:cNvPr id="5" name="直線矢印コネクタ 4">
          <a:extLst>
            <a:ext uri="{FF2B5EF4-FFF2-40B4-BE49-F238E27FC236}">
              <a16:creationId xmlns:a16="http://schemas.microsoft.com/office/drawing/2014/main" id="{CEFA856C-FAF1-4480-9304-D997BFBD2100}"/>
            </a:ext>
          </a:extLst>
        </xdr:cNvPr>
        <xdr:cNvCxnSpPr/>
      </xdr:nvCxnSpPr>
      <xdr:spPr>
        <a:xfrm>
          <a:off x="2546936" y="1765676"/>
          <a:ext cx="0" cy="260204"/>
        </a:xfrm>
        <a:prstGeom prst="straightConnector1">
          <a:avLst/>
        </a:prstGeom>
        <a:ln w="19050"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420994</xdr:colOff>
      <xdr:row>6</xdr:row>
      <xdr:rowOff>38741</xdr:rowOff>
    </xdr:from>
    <xdr:to>
      <xdr:col>5</xdr:col>
      <xdr:colOff>420994</xdr:colOff>
      <xdr:row>6</xdr:row>
      <xdr:rowOff>206644</xdr:rowOff>
    </xdr:to>
    <xdr:cxnSp macro="">
      <xdr:nvCxnSpPr>
        <xdr:cNvPr id="6" name="直線コネクタ 5">
          <a:extLst>
            <a:ext uri="{FF2B5EF4-FFF2-40B4-BE49-F238E27FC236}">
              <a16:creationId xmlns:a16="http://schemas.microsoft.com/office/drawing/2014/main" id="{939DC840-63A9-4609-B332-9D2F462F2B4E}"/>
            </a:ext>
          </a:extLst>
        </xdr:cNvPr>
        <xdr:cNvCxnSpPr/>
      </xdr:nvCxnSpPr>
      <xdr:spPr>
        <a:xfrm flipV="1">
          <a:off x="4091294" y="1600841"/>
          <a:ext cx="0" cy="167903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421273</xdr:colOff>
      <xdr:row>6</xdr:row>
      <xdr:rowOff>209363</xdr:rowOff>
    </xdr:from>
    <xdr:to>
      <xdr:col>5</xdr:col>
      <xdr:colOff>426572</xdr:colOff>
      <xdr:row>6</xdr:row>
      <xdr:rowOff>209363</xdr:rowOff>
    </xdr:to>
    <xdr:cxnSp macro="">
      <xdr:nvCxnSpPr>
        <xdr:cNvPr id="7" name="直線コネクタ 6">
          <a:extLst>
            <a:ext uri="{FF2B5EF4-FFF2-40B4-BE49-F238E27FC236}">
              <a16:creationId xmlns:a16="http://schemas.microsoft.com/office/drawing/2014/main" id="{77D7D9D6-6442-41A4-BDB8-EB4ED7EAE96F}"/>
            </a:ext>
          </a:extLst>
        </xdr:cNvPr>
        <xdr:cNvCxnSpPr/>
      </xdr:nvCxnSpPr>
      <xdr:spPr>
        <a:xfrm>
          <a:off x="2542173" y="1771463"/>
          <a:ext cx="1554699" cy="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459735</xdr:colOff>
      <xdr:row>6</xdr:row>
      <xdr:rowOff>262676</xdr:rowOff>
    </xdr:from>
    <xdr:to>
      <xdr:col>4</xdr:col>
      <xdr:colOff>459735</xdr:colOff>
      <xdr:row>7</xdr:row>
      <xdr:rowOff>152824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D3B58BCC-5939-4122-AE25-0123B1620907}"/>
            </a:ext>
          </a:extLst>
        </xdr:cNvPr>
        <xdr:cNvCxnSpPr/>
      </xdr:nvCxnSpPr>
      <xdr:spPr>
        <a:xfrm>
          <a:off x="3355335" y="1824776"/>
          <a:ext cx="0" cy="201298"/>
        </a:xfrm>
        <a:prstGeom prst="straightConnector1">
          <a:avLst/>
        </a:prstGeom>
        <a:ln w="19050"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414304</xdr:colOff>
      <xdr:row>6</xdr:row>
      <xdr:rowOff>38743</xdr:rowOff>
    </xdr:from>
    <xdr:to>
      <xdr:col>11</xdr:col>
      <xdr:colOff>414304</xdr:colOff>
      <xdr:row>6</xdr:row>
      <xdr:rowOff>266267</xdr:rowOff>
    </xdr:to>
    <xdr:cxnSp macro="">
      <xdr:nvCxnSpPr>
        <xdr:cNvPr id="9" name="直線コネクタ 8">
          <a:extLst>
            <a:ext uri="{FF2B5EF4-FFF2-40B4-BE49-F238E27FC236}">
              <a16:creationId xmlns:a16="http://schemas.microsoft.com/office/drawing/2014/main" id="{1F65F20E-D489-4343-B7BB-2858959AC2BF}"/>
            </a:ext>
          </a:extLst>
        </xdr:cNvPr>
        <xdr:cNvCxnSpPr/>
      </xdr:nvCxnSpPr>
      <xdr:spPr>
        <a:xfrm flipV="1">
          <a:off x="8485154" y="1600843"/>
          <a:ext cx="0" cy="227524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463071</xdr:colOff>
      <xdr:row>6</xdr:row>
      <xdr:rowOff>268360</xdr:rowOff>
    </xdr:from>
    <xdr:to>
      <xdr:col>11</xdr:col>
      <xdr:colOff>413385</xdr:colOff>
      <xdr:row>6</xdr:row>
      <xdr:rowOff>268360</xdr:rowOff>
    </xdr:to>
    <xdr:cxnSp macro="">
      <xdr:nvCxnSpPr>
        <xdr:cNvPr id="10" name="直線コネクタ 9">
          <a:extLst>
            <a:ext uri="{FF2B5EF4-FFF2-40B4-BE49-F238E27FC236}">
              <a16:creationId xmlns:a16="http://schemas.microsoft.com/office/drawing/2014/main" id="{7A2AC78B-C2B0-407F-84E5-E791709FA819}"/>
            </a:ext>
          </a:extLst>
        </xdr:cNvPr>
        <xdr:cNvCxnSpPr/>
      </xdr:nvCxnSpPr>
      <xdr:spPr>
        <a:xfrm>
          <a:off x="3358671" y="1830460"/>
          <a:ext cx="5125564" cy="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104775</xdr:colOff>
      <xdr:row>28</xdr:row>
      <xdr:rowOff>0</xdr:rowOff>
    </xdr:from>
    <xdr:to>
      <xdr:col>11</xdr:col>
      <xdr:colOff>607695</xdr:colOff>
      <xdr:row>29</xdr:row>
      <xdr:rowOff>66675</xdr:rowOff>
    </xdr:to>
    <xdr:grpSp>
      <xdr:nvGrpSpPr>
        <xdr:cNvPr id="11" name="グループ化 10">
          <a:extLst>
            <a:ext uri="{FF2B5EF4-FFF2-40B4-BE49-F238E27FC236}">
              <a16:creationId xmlns:a16="http://schemas.microsoft.com/office/drawing/2014/main" id="{004E36F4-4664-40D7-BF8C-FB687079C147}"/>
            </a:ext>
          </a:extLst>
        </xdr:cNvPr>
        <xdr:cNvGrpSpPr>
          <a:grpSpLocks/>
        </xdr:cNvGrpSpPr>
      </xdr:nvGrpSpPr>
      <xdr:grpSpPr bwMode="auto">
        <a:xfrm>
          <a:off x="7343775" y="6661150"/>
          <a:ext cx="1334770" cy="295275"/>
          <a:chOff x="7929323" y="6242519"/>
          <a:chExt cx="1478499" cy="349154"/>
        </a:xfrm>
      </xdr:grpSpPr>
      <xdr:sp macro="" textlink="">
        <xdr:nvSpPr>
          <xdr:cNvPr id="12" name="テキスト ボックス 11">
            <a:extLst>
              <a:ext uri="{FF2B5EF4-FFF2-40B4-BE49-F238E27FC236}">
                <a16:creationId xmlns:a16="http://schemas.microsoft.com/office/drawing/2014/main" id="{01CB5223-05C0-506E-2819-4ADC84C6F495}"/>
              </a:ext>
            </a:extLst>
          </xdr:cNvPr>
          <xdr:cNvSpPr txBox="1"/>
        </xdr:nvSpPr>
        <xdr:spPr>
          <a:xfrm>
            <a:off x="7929323" y="6242519"/>
            <a:ext cx="1478499" cy="34915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kumimoji="1" lang="ja-JP" altLang="en-US" sz="1100">
                <a:latin typeface="AR PＰＯＰ体B" panose="020B0600010101010101" pitchFamily="50" charset="-128"/>
                <a:ea typeface="AR PＰＯＰ体B" panose="020B0600010101010101" pitchFamily="50" charset="-128"/>
              </a:rPr>
              <a:t>会計算出フォーム</a:t>
            </a:r>
          </a:p>
        </xdr:txBody>
      </xdr:sp>
      <xdr:pic>
        <xdr:nvPicPr>
          <xdr:cNvPr id="13" name="図 16">
            <a:extLst>
              <a:ext uri="{FF2B5EF4-FFF2-40B4-BE49-F238E27FC236}">
                <a16:creationId xmlns:a16="http://schemas.microsoft.com/office/drawing/2014/main" id="{C7A168D9-EBD8-1FD7-EA4B-942902D3E1B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258050" y="5943600"/>
            <a:ext cx="685800" cy="5238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14" name="図 14">
            <a:extLst>
              <a:ext uri="{FF2B5EF4-FFF2-40B4-BE49-F238E27FC236}">
                <a16:creationId xmlns:a16="http://schemas.microsoft.com/office/drawing/2014/main" id="{5ADD731E-30BF-6185-5498-01FFFDB0003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762875" y="5895975"/>
            <a:ext cx="1857375" cy="40005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2</xdr:col>
      <xdr:colOff>466544</xdr:colOff>
      <xdr:row>28</xdr:row>
      <xdr:rowOff>123009</xdr:rowOff>
    </xdr:from>
    <xdr:to>
      <xdr:col>3</xdr:col>
      <xdr:colOff>803787</xdr:colOff>
      <xdr:row>28</xdr:row>
      <xdr:rowOff>123009</xdr:rowOff>
    </xdr:to>
    <xdr:cxnSp macro="">
      <xdr:nvCxnSpPr>
        <xdr:cNvPr id="15" name="直線矢印コネクタ 14">
          <a:extLst>
            <a:ext uri="{FF2B5EF4-FFF2-40B4-BE49-F238E27FC236}">
              <a16:creationId xmlns:a16="http://schemas.microsoft.com/office/drawing/2014/main" id="{6CE9C9DA-2A52-4D69-87A9-8E5E9E34D1C3}"/>
            </a:ext>
          </a:extLst>
        </xdr:cNvPr>
        <xdr:cNvCxnSpPr/>
      </xdr:nvCxnSpPr>
      <xdr:spPr>
        <a:xfrm>
          <a:off x="1774644" y="6784159"/>
          <a:ext cx="1118293" cy="0"/>
        </a:xfrm>
        <a:prstGeom prst="straightConnector1">
          <a:avLst/>
        </a:prstGeom>
        <a:ln w="19050"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366261</xdr:colOff>
      <xdr:row>27</xdr:row>
      <xdr:rowOff>125187</xdr:rowOff>
    </xdr:from>
    <xdr:to>
      <xdr:col>3</xdr:col>
      <xdr:colOff>841837</xdr:colOff>
      <xdr:row>27</xdr:row>
      <xdr:rowOff>125187</xdr:rowOff>
    </xdr:to>
    <xdr:cxnSp macro="">
      <xdr:nvCxnSpPr>
        <xdr:cNvPr id="16" name="直線矢印コネクタ 15">
          <a:extLst>
            <a:ext uri="{FF2B5EF4-FFF2-40B4-BE49-F238E27FC236}">
              <a16:creationId xmlns:a16="http://schemas.microsoft.com/office/drawing/2014/main" id="{D01F34D9-A3DD-4643-A66A-C8853A7DCCF3}"/>
            </a:ext>
          </a:extLst>
        </xdr:cNvPr>
        <xdr:cNvCxnSpPr/>
      </xdr:nvCxnSpPr>
      <xdr:spPr>
        <a:xfrm>
          <a:off x="2487161" y="6557737"/>
          <a:ext cx="405726" cy="0"/>
        </a:xfrm>
        <a:prstGeom prst="straightConnector1">
          <a:avLst/>
        </a:prstGeom>
        <a:ln w="19050"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371659</xdr:colOff>
      <xdr:row>26</xdr:row>
      <xdr:rowOff>0</xdr:rowOff>
    </xdr:from>
    <xdr:to>
      <xdr:col>3</xdr:col>
      <xdr:colOff>371659</xdr:colOff>
      <xdr:row>27</xdr:row>
      <xdr:rowOff>126050</xdr:rowOff>
    </xdr:to>
    <xdr:cxnSp macro="">
      <xdr:nvCxnSpPr>
        <xdr:cNvPr id="17" name="直線コネクタ 16">
          <a:extLst>
            <a:ext uri="{FF2B5EF4-FFF2-40B4-BE49-F238E27FC236}">
              <a16:creationId xmlns:a16="http://schemas.microsoft.com/office/drawing/2014/main" id="{5AD24972-B6B8-4218-83EC-5FAD648E9F78}"/>
            </a:ext>
          </a:extLst>
        </xdr:cNvPr>
        <xdr:cNvCxnSpPr/>
      </xdr:nvCxnSpPr>
      <xdr:spPr>
        <a:xfrm flipV="1">
          <a:off x="2492559" y="6203950"/>
          <a:ext cx="0" cy="35465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465072</xdr:colOff>
      <xdr:row>26</xdr:row>
      <xdr:rowOff>1</xdr:rowOff>
    </xdr:from>
    <xdr:to>
      <xdr:col>2</xdr:col>
      <xdr:colOff>465072</xdr:colOff>
      <xdr:row>28</xdr:row>
      <xdr:rowOff>124333</xdr:rowOff>
    </xdr:to>
    <xdr:cxnSp macro="">
      <xdr:nvCxnSpPr>
        <xdr:cNvPr id="18" name="直線コネクタ 17">
          <a:extLst>
            <a:ext uri="{FF2B5EF4-FFF2-40B4-BE49-F238E27FC236}">
              <a16:creationId xmlns:a16="http://schemas.microsoft.com/office/drawing/2014/main" id="{4B5577F0-D159-4A0F-BC9F-C48EEAE1DC90}"/>
            </a:ext>
          </a:extLst>
        </xdr:cNvPr>
        <xdr:cNvCxnSpPr/>
      </xdr:nvCxnSpPr>
      <xdr:spPr>
        <a:xfrm flipV="1">
          <a:off x="1773172" y="6203951"/>
          <a:ext cx="0" cy="581532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133668</xdr:colOff>
      <xdr:row>27</xdr:row>
      <xdr:rowOff>125187</xdr:rowOff>
    </xdr:from>
    <xdr:to>
      <xdr:col>6</xdr:col>
      <xdr:colOff>132637</xdr:colOff>
      <xdr:row>27</xdr:row>
      <xdr:rowOff>125187</xdr:rowOff>
    </xdr:to>
    <xdr:cxnSp macro="">
      <xdr:nvCxnSpPr>
        <xdr:cNvPr id="19" name="直線矢印コネクタ 18">
          <a:extLst>
            <a:ext uri="{FF2B5EF4-FFF2-40B4-BE49-F238E27FC236}">
              <a16:creationId xmlns:a16="http://schemas.microsoft.com/office/drawing/2014/main" id="{1F3D3EDE-D05E-4D3F-98D4-2A779E4D5604}"/>
            </a:ext>
          </a:extLst>
        </xdr:cNvPr>
        <xdr:cNvCxnSpPr/>
      </xdr:nvCxnSpPr>
      <xdr:spPr>
        <a:xfrm>
          <a:off x="3803968" y="6557737"/>
          <a:ext cx="773669" cy="0"/>
        </a:xfrm>
        <a:prstGeom prst="straightConnector1">
          <a:avLst/>
        </a:prstGeom>
        <a:ln w="19050"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115253</xdr:colOff>
      <xdr:row>28</xdr:row>
      <xdr:rowOff>123009</xdr:rowOff>
    </xdr:from>
    <xdr:to>
      <xdr:col>6</xdr:col>
      <xdr:colOff>156657</xdr:colOff>
      <xdr:row>28</xdr:row>
      <xdr:rowOff>123009</xdr:rowOff>
    </xdr:to>
    <xdr:cxnSp macro="">
      <xdr:nvCxnSpPr>
        <xdr:cNvPr id="20" name="直線矢印コネクタ 19">
          <a:extLst>
            <a:ext uri="{FF2B5EF4-FFF2-40B4-BE49-F238E27FC236}">
              <a16:creationId xmlns:a16="http://schemas.microsoft.com/office/drawing/2014/main" id="{61562BC2-B446-48B5-B899-8C93BFA1B8C5}"/>
            </a:ext>
          </a:extLst>
        </xdr:cNvPr>
        <xdr:cNvCxnSpPr/>
      </xdr:nvCxnSpPr>
      <xdr:spPr>
        <a:xfrm>
          <a:off x="3785553" y="6784159"/>
          <a:ext cx="816104" cy="0"/>
        </a:xfrm>
        <a:prstGeom prst="straightConnector1">
          <a:avLst/>
        </a:prstGeom>
        <a:ln w="19050"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0</xdr:row>
      <xdr:rowOff>0</xdr:rowOff>
    </xdr:from>
    <xdr:to>
      <xdr:col>6</xdr:col>
      <xdr:colOff>0</xdr:colOff>
      <xdr:row>0</xdr:row>
      <xdr:rowOff>0</xdr:rowOff>
    </xdr:to>
    <xdr:sp macro="" textlink="">
      <xdr:nvSpPr>
        <xdr:cNvPr id="2049" name="Line 1">
          <a:extLst>
            <a:ext uri="{FF2B5EF4-FFF2-40B4-BE49-F238E27FC236}">
              <a16:creationId xmlns:a16="http://schemas.microsoft.com/office/drawing/2014/main" id="{00000000-0008-0000-0400-000001080000}"/>
            </a:ext>
          </a:extLst>
        </xdr:cNvPr>
        <xdr:cNvSpPr>
          <a:spLocks noChangeShapeType="1"/>
        </xdr:cNvSpPr>
      </xdr:nvSpPr>
      <xdr:spPr bwMode="auto">
        <a:xfrm>
          <a:off x="372427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0</xdr:row>
      <xdr:rowOff>0</xdr:rowOff>
    </xdr:from>
    <xdr:to>
      <xdr:col>6</xdr:col>
      <xdr:colOff>0</xdr:colOff>
      <xdr:row>0</xdr:row>
      <xdr:rowOff>0</xdr:rowOff>
    </xdr:to>
    <xdr:sp macro="" textlink="">
      <xdr:nvSpPr>
        <xdr:cNvPr id="2050" name="Line 2">
          <a:extLst>
            <a:ext uri="{FF2B5EF4-FFF2-40B4-BE49-F238E27FC236}">
              <a16:creationId xmlns:a16="http://schemas.microsoft.com/office/drawing/2014/main" id="{00000000-0008-0000-0400-000002080000}"/>
            </a:ext>
          </a:extLst>
        </xdr:cNvPr>
        <xdr:cNvSpPr>
          <a:spLocks noChangeShapeType="1"/>
        </xdr:cNvSpPr>
      </xdr:nvSpPr>
      <xdr:spPr bwMode="auto">
        <a:xfrm>
          <a:off x="372427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0</xdr:row>
      <xdr:rowOff>0</xdr:rowOff>
    </xdr:from>
    <xdr:to>
      <xdr:col>6</xdr:col>
      <xdr:colOff>0</xdr:colOff>
      <xdr:row>0</xdr:row>
      <xdr:rowOff>0</xdr:rowOff>
    </xdr:to>
    <xdr:sp macro="" textlink="">
      <xdr:nvSpPr>
        <xdr:cNvPr id="2051" name="Line 3">
          <a:extLst>
            <a:ext uri="{FF2B5EF4-FFF2-40B4-BE49-F238E27FC236}">
              <a16:creationId xmlns:a16="http://schemas.microsoft.com/office/drawing/2014/main" id="{00000000-0008-0000-0400-000003080000}"/>
            </a:ext>
          </a:extLst>
        </xdr:cNvPr>
        <xdr:cNvSpPr>
          <a:spLocks noChangeShapeType="1"/>
        </xdr:cNvSpPr>
      </xdr:nvSpPr>
      <xdr:spPr bwMode="auto">
        <a:xfrm>
          <a:off x="372427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0</xdr:row>
      <xdr:rowOff>0</xdr:rowOff>
    </xdr:from>
    <xdr:to>
      <xdr:col>6</xdr:col>
      <xdr:colOff>0</xdr:colOff>
      <xdr:row>0</xdr:row>
      <xdr:rowOff>0</xdr:rowOff>
    </xdr:to>
    <xdr:sp macro="" textlink="">
      <xdr:nvSpPr>
        <xdr:cNvPr id="2052" name="Line 4">
          <a:extLst>
            <a:ext uri="{FF2B5EF4-FFF2-40B4-BE49-F238E27FC236}">
              <a16:creationId xmlns:a16="http://schemas.microsoft.com/office/drawing/2014/main" id="{00000000-0008-0000-0400-000004080000}"/>
            </a:ext>
          </a:extLst>
        </xdr:cNvPr>
        <xdr:cNvSpPr>
          <a:spLocks noChangeShapeType="1"/>
        </xdr:cNvSpPr>
      </xdr:nvSpPr>
      <xdr:spPr bwMode="auto">
        <a:xfrm>
          <a:off x="372427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55"/>
  <sheetViews>
    <sheetView topLeftCell="A32" workbookViewId="0">
      <selection activeCell="K11" sqref="K11"/>
    </sheetView>
  </sheetViews>
  <sheetFormatPr defaultRowHeight="13" x14ac:dyDescent="0.2"/>
  <cols>
    <col min="1" max="1" width="12" customWidth="1"/>
    <col min="2" max="2" width="7.36328125" customWidth="1"/>
    <col min="3" max="3" width="7.1796875" customWidth="1"/>
    <col min="4" max="5" width="6.6328125" customWidth="1"/>
    <col min="7" max="7" width="9.81640625" customWidth="1"/>
    <col min="8" max="8" width="15" customWidth="1"/>
    <col min="9" max="9" width="13.6328125" customWidth="1"/>
    <col min="10" max="10" width="9.36328125" customWidth="1"/>
  </cols>
  <sheetData>
    <row r="1" spans="1:12" x14ac:dyDescent="0.2">
      <c r="I1" s="232" t="s">
        <v>223</v>
      </c>
      <c r="J1" s="232"/>
    </row>
    <row r="2" spans="1:12" ht="21.65" customHeight="1" thickBot="1" x14ac:dyDescent="0.35">
      <c r="B2" s="274" t="s">
        <v>225</v>
      </c>
      <c r="C2" s="274"/>
      <c r="D2" s="274"/>
      <c r="E2" s="274"/>
      <c r="F2" s="274"/>
      <c r="G2" s="274"/>
      <c r="H2" s="7"/>
      <c r="I2" s="240" t="s">
        <v>222</v>
      </c>
      <c r="J2" s="240"/>
    </row>
    <row r="3" spans="1:12" ht="17.25" customHeight="1" thickBot="1" x14ac:dyDescent="0.4">
      <c r="A3" s="118" t="s">
        <v>311</v>
      </c>
      <c r="C3" s="6"/>
      <c r="D3" s="6"/>
      <c r="E3" s="6"/>
      <c r="F3" s="6"/>
      <c r="G3" s="6"/>
      <c r="H3" s="30" t="s">
        <v>137</v>
      </c>
      <c r="I3" s="255" t="s">
        <v>136</v>
      </c>
      <c r="J3" s="256"/>
    </row>
    <row r="4" spans="1:12" ht="31.5" customHeight="1" x14ac:dyDescent="0.2">
      <c r="A4" s="257" t="s">
        <v>10</v>
      </c>
      <c r="B4" s="258"/>
      <c r="C4" s="258"/>
      <c r="D4" s="258"/>
      <c r="E4" s="258"/>
      <c r="F4" s="259"/>
      <c r="G4" s="29" t="s">
        <v>0</v>
      </c>
      <c r="H4" s="271" t="s">
        <v>310</v>
      </c>
      <c r="I4" s="272"/>
      <c r="J4" s="273"/>
      <c r="K4" s="8"/>
      <c r="L4" s="8"/>
    </row>
    <row r="5" spans="1:12" ht="15" customHeight="1" x14ac:dyDescent="0.2">
      <c r="A5" s="260" t="s">
        <v>9</v>
      </c>
      <c r="B5" s="268"/>
      <c r="C5" s="269"/>
      <c r="D5" s="269"/>
      <c r="E5" s="269"/>
      <c r="F5" s="270"/>
      <c r="G5" s="251" t="s">
        <v>2</v>
      </c>
      <c r="H5" s="41" t="s">
        <v>7</v>
      </c>
      <c r="I5" s="247" t="s">
        <v>79</v>
      </c>
      <c r="J5" s="248"/>
    </row>
    <row r="6" spans="1:12" ht="15" customHeight="1" x14ac:dyDescent="0.2">
      <c r="A6" s="260"/>
      <c r="B6" s="241"/>
      <c r="C6" s="242"/>
      <c r="D6" s="242"/>
      <c r="E6" s="242"/>
      <c r="F6" s="243"/>
      <c r="G6" s="251"/>
      <c r="H6" s="201"/>
      <c r="I6" s="253"/>
      <c r="J6" s="254"/>
    </row>
    <row r="7" spans="1:12" ht="15" customHeight="1" x14ac:dyDescent="0.2">
      <c r="A7" s="261"/>
      <c r="B7" s="244"/>
      <c r="C7" s="245"/>
      <c r="D7" s="245"/>
      <c r="E7" s="245"/>
      <c r="F7" s="246"/>
      <c r="G7" s="252"/>
      <c r="H7" s="225"/>
      <c r="I7" s="249"/>
      <c r="J7" s="250"/>
    </row>
    <row r="8" spans="1:12" ht="20.149999999999999" customHeight="1" x14ac:dyDescent="0.2">
      <c r="A8" s="3" t="s">
        <v>85</v>
      </c>
      <c r="B8" s="265"/>
      <c r="C8" s="266"/>
      <c r="D8" s="266"/>
      <c r="E8" s="266"/>
      <c r="F8" s="267"/>
      <c r="G8" s="42" t="s">
        <v>8</v>
      </c>
      <c r="H8" s="233" t="s">
        <v>306</v>
      </c>
      <c r="I8" s="234"/>
      <c r="J8" s="235"/>
    </row>
    <row r="9" spans="1:12" ht="20.149999999999999" customHeight="1" x14ac:dyDescent="0.2">
      <c r="A9" s="4" t="s">
        <v>3</v>
      </c>
      <c r="B9" s="236"/>
      <c r="C9" s="210"/>
      <c r="D9" s="210"/>
      <c r="E9" s="210"/>
      <c r="F9" s="237"/>
      <c r="G9" s="9" t="s">
        <v>1</v>
      </c>
      <c r="H9" s="209"/>
      <c r="I9" s="210"/>
      <c r="J9" s="211"/>
    </row>
    <row r="10" spans="1:12" ht="20.149999999999999" customHeight="1" x14ac:dyDescent="0.2">
      <c r="A10" s="176" t="s">
        <v>305</v>
      </c>
      <c r="B10" s="209"/>
      <c r="C10" s="238"/>
      <c r="D10" s="238"/>
      <c r="E10" s="238"/>
      <c r="F10" s="239"/>
      <c r="G10" s="9" t="s">
        <v>81</v>
      </c>
      <c r="H10" s="12" t="s">
        <v>309</v>
      </c>
      <c r="I10" s="249" t="s">
        <v>308</v>
      </c>
      <c r="J10" s="250"/>
    </row>
    <row r="11" spans="1:12" ht="20.149999999999999" customHeight="1" x14ac:dyDescent="0.2">
      <c r="A11" s="4" t="s">
        <v>84</v>
      </c>
      <c r="B11" s="209"/>
      <c r="C11" s="210"/>
      <c r="D11" s="210"/>
      <c r="E11" s="210"/>
      <c r="F11" s="237"/>
      <c r="G11" s="42" t="s">
        <v>82</v>
      </c>
      <c r="H11" s="275" t="s">
        <v>312</v>
      </c>
      <c r="I11" s="276"/>
      <c r="J11" s="277"/>
    </row>
    <row r="12" spans="1:12" ht="20.149999999999999" customHeight="1" x14ac:dyDescent="0.2">
      <c r="A12" s="43" t="s">
        <v>129</v>
      </c>
      <c r="B12" s="44"/>
      <c r="C12" s="45"/>
      <c r="D12" s="46"/>
      <c r="E12" s="46"/>
      <c r="F12" s="47"/>
      <c r="G12" s="123" t="s">
        <v>83</v>
      </c>
      <c r="H12" s="124" t="s">
        <v>313</v>
      </c>
      <c r="I12" s="280" t="s">
        <v>314</v>
      </c>
      <c r="J12" s="281"/>
    </row>
    <row r="13" spans="1:12" ht="20.149999999999999" customHeight="1" thickBot="1" x14ac:dyDescent="0.25">
      <c r="A13" s="24" t="s">
        <v>93</v>
      </c>
      <c r="B13" s="279"/>
      <c r="C13" s="279"/>
      <c r="D13" s="279"/>
      <c r="E13" s="279"/>
      <c r="F13" s="279"/>
      <c r="G13" s="278" t="s">
        <v>126</v>
      </c>
      <c r="H13" s="278"/>
      <c r="I13" s="177" t="s">
        <v>224</v>
      </c>
      <c r="J13" s="179"/>
      <c r="K13" s="178"/>
      <c r="L13" s="178"/>
    </row>
    <row r="14" spans="1:12" ht="20.149999999999999" customHeight="1" thickBot="1" x14ac:dyDescent="0.25">
      <c r="A14" s="194" t="s">
        <v>307</v>
      </c>
      <c r="B14" s="195"/>
      <c r="C14" s="195"/>
      <c r="D14" s="195"/>
      <c r="E14" s="195"/>
      <c r="F14" s="195"/>
      <c r="G14" s="195"/>
      <c r="H14" s="195"/>
      <c r="I14" s="195"/>
      <c r="J14" s="196"/>
    </row>
    <row r="15" spans="1:12" ht="20.149999999999999" customHeight="1" x14ac:dyDescent="0.2">
      <c r="A15" s="186" t="s">
        <v>6</v>
      </c>
      <c r="B15" s="187"/>
      <c r="C15" s="187"/>
      <c r="D15" s="187"/>
      <c r="E15" s="187"/>
      <c r="F15" s="187"/>
      <c r="G15" s="187"/>
      <c r="H15" s="187"/>
      <c r="I15" s="187"/>
      <c r="J15" s="188"/>
    </row>
    <row r="16" spans="1:12" ht="18" customHeight="1" x14ac:dyDescent="0.2">
      <c r="A16" s="22"/>
      <c r="B16" s="262"/>
      <c r="C16" s="263"/>
      <c r="D16" s="263"/>
      <c r="E16" s="263"/>
      <c r="F16" s="263"/>
      <c r="G16" s="263"/>
      <c r="H16" s="263"/>
      <c r="I16" s="263"/>
      <c r="J16" s="264"/>
    </row>
    <row r="17" spans="1:10" ht="18" customHeight="1" x14ac:dyDescent="0.2">
      <c r="A17" s="13"/>
      <c r="B17" s="183"/>
      <c r="C17" s="184"/>
      <c r="D17" s="184"/>
      <c r="E17" s="184"/>
      <c r="F17" s="184"/>
      <c r="G17" s="184"/>
      <c r="H17" s="184"/>
      <c r="I17" s="184"/>
      <c r="J17" s="185"/>
    </row>
    <row r="18" spans="1:10" ht="18" customHeight="1" x14ac:dyDescent="0.2">
      <c r="A18" s="13"/>
      <c r="B18" s="183"/>
      <c r="C18" s="184"/>
      <c r="D18" s="184"/>
      <c r="E18" s="184"/>
      <c r="F18" s="184"/>
      <c r="G18" s="184"/>
      <c r="H18" s="184"/>
      <c r="I18" s="184"/>
      <c r="J18" s="185"/>
    </row>
    <row r="19" spans="1:10" ht="18" customHeight="1" x14ac:dyDescent="0.2">
      <c r="A19" s="13"/>
      <c r="B19" s="183"/>
      <c r="C19" s="184"/>
      <c r="D19" s="184"/>
      <c r="E19" s="184"/>
      <c r="F19" s="184"/>
      <c r="G19" s="184"/>
      <c r="H19" s="184"/>
      <c r="I19" s="184"/>
      <c r="J19" s="185"/>
    </row>
    <row r="20" spans="1:10" ht="18" customHeight="1" x14ac:dyDescent="0.2">
      <c r="A20" s="13"/>
      <c r="B20" s="183"/>
      <c r="C20" s="184"/>
      <c r="D20" s="184"/>
      <c r="E20" s="184"/>
      <c r="F20" s="184"/>
      <c r="G20" s="184"/>
      <c r="H20" s="184"/>
      <c r="I20" s="184"/>
      <c r="J20" s="185"/>
    </row>
    <row r="21" spans="1:10" ht="18" customHeight="1" x14ac:dyDescent="0.2">
      <c r="A21" s="13"/>
      <c r="B21" s="183"/>
      <c r="C21" s="184"/>
      <c r="D21" s="184"/>
      <c r="E21" s="184"/>
      <c r="F21" s="184"/>
      <c r="G21" s="184"/>
      <c r="H21" s="184"/>
      <c r="I21" s="184"/>
      <c r="J21" s="185"/>
    </row>
    <row r="22" spans="1:10" ht="18" customHeight="1" x14ac:dyDescent="0.2">
      <c r="A22" s="13"/>
      <c r="B22" s="183"/>
      <c r="C22" s="184"/>
      <c r="D22" s="184"/>
      <c r="E22" s="184"/>
      <c r="F22" s="184"/>
      <c r="G22" s="184"/>
      <c r="H22" s="184"/>
      <c r="I22" s="184"/>
      <c r="J22" s="185"/>
    </row>
    <row r="23" spans="1:10" ht="18" customHeight="1" x14ac:dyDescent="0.2">
      <c r="A23" s="13"/>
      <c r="B23" s="215"/>
      <c r="C23" s="183"/>
      <c r="D23" s="183"/>
      <c r="E23" s="183"/>
      <c r="F23" s="183"/>
      <c r="G23" s="183"/>
      <c r="H23" s="183"/>
      <c r="I23" s="183"/>
      <c r="J23" s="216"/>
    </row>
    <row r="24" spans="1:10" ht="18" customHeight="1" x14ac:dyDescent="0.2">
      <c r="A24" s="13"/>
      <c r="B24" s="183"/>
      <c r="C24" s="184"/>
      <c r="D24" s="184"/>
      <c r="E24" s="184"/>
      <c r="F24" s="184"/>
      <c r="G24" s="184"/>
      <c r="H24" s="184"/>
      <c r="I24" s="184"/>
      <c r="J24" s="185"/>
    </row>
    <row r="25" spans="1:10" ht="18" customHeight="1" x14ac:dyDescent="0.2">
      <c r="A25" s="33"/>
      <c r="B25" s="206"/>
      <c r="C25" s="207"/>
      <c r="D25" s="207"/>
      <c r="E25" s="207"/>
      <c r="F25" s="207"/>
      <c r="G25" s="207"/>
      <c r="H25" s="207"/>
      <c r="I25" s="207"/>
      <c r="J25" s="208"/>
    </row>
    <row r="26" spans="1:10" ht="18" customHeight="1" x14ac:dyDescent="0.2">
      <c r="A26" s="34" t="s">
        <v>123</v>
      </c>
      <c r="B26" s="209"/>
      <c r="C26" s="210"/>
      <c r="D26" s="210"/>
      <c r="E26" s="210"/>
      <c r="F26" s="210"/>
      <c r="G26" s="210"/>
      <c r="H26" s="210"/>
      <c r="I26" s="210"/>
      <c r="J26" s="211"/>
    </row>
    <row r="27" spans="1:10" ht="17.399999999999999" customHeight="1" thickBot="1" x14ac:dyDescent="0.25">
      <c r="A27" s="25" t="s">
        <v>89</v>
      </c>
      <c r="B27" s="212"/>
      <c r="C27" s="213"/>
      <c r="D27" s="213"/>
      <c r="E27" s="213"/>
      <c r="F27" s="213"/>
      <c r="G27" s="213"/>
      <c r="H27" s="213"/>
      <c r="I27" s="213"/>
      <c r="J27" s="214"/>
    </row>
    <row r="28" spans="1:10" ht="30" customHeight="1" x14ac:dyDescent="0.2">
      <c r="A28" s="5" t="s">
        <v>5</v>
      </c>
      <c r="B28" s="189" t="s">
        <v>4</v>
      </c>
      <c r="C28" s="190"/>
      <c r="D28" s="10" t="s">
        <v>16</v>
      </c>
      <c r="E28" s="27" t="s">
        <v>80</v>
      </c>
      <c r="F28" s="217" t="s">
        <v>11</v>
      </c>
      <c r="G28" s="218"/>
      <c r="H28" s="219"/>
      <c r="I28" s="40" t="s">
        <v>95</v>
      </c>
      <c r="J28" s="31" t="s">
        <v>260</v>
      </c>
    </row>
    <row r="29" spans="1:10" ht="15.75" customHeight="1" x14ac:dyDescent="0.2">
      <c r="A29" s="197" t="s">
        <v>130</v>
      </c>
      <c r="B29" s="121"/>
      <c r="C29" s="122"/>
      <c r="D29" s="11"/>
      <c r="E29" s="201"/>
      <c r="F29" s="191"/>
      <c r="G29" s="192"/>
      <c r="H29" s="193"/>
      <c r="I29" s="11"/>
      <c r="J29" s="125"/>
    </row>
    <row r="30" spans="1:10" ht="15.75" customHeight="1" x14ac:dyDescent="0.2">
      <c r="A30" s="198"/>
      <c r="B30" s="199"/>
      <c r="C30" s="200"/>
      <c r="D30" s="11"/>
      <c r="E30" s="202"/>
      <c r="F30" s="203"/>
      <c r="G30" s="204"/>
      <c r="H30" s="205"/>
      <c r="I30" s="35"/>
      <c r="J30" s="126"/>
    </row>
    <row r="31" spans="1:10" ht="16.5" customHeight="1" x14ac:dyDescent="0.2">
      <c r="A31" s="220" t="s">
        <v>127</v>
      </c>
      <c r="B31" s="121"/>
      <c r="C31" s="122"/>
      <c r="D31" s="11"/>
      <c r="E31" s="201"/>
      <c r="F31" s="191"/>
      <c r="G31" s="192"/>
      <c r="H31" s="193"/>
      <c r="I31" s="11"/>
      <c r="J31" s="125"/>
    </row>
    <row r="32" spans="1:10" ht="14.25" customHeight="1" x14ac:dyDescent="0.2">
      <c r="A32" s="198"/>
      <c r="B32" s="199"/>
      <c r="C32" s="200"/>
      <c r="D32" s="11"/>
      <c r="E32" s="202"/>
      <c r="F32" s="203"/>
      <c r="G32" s="204"/>
      <c r="H32" s="205"/>
      <c r="I32" s="35"/>
      <c r="J32" s="126"/>
    </row>
    <row r="33" spans="1:11" ht="16.5" customHeight="1" x14ac:dyDescent="0.2">
      <c r="A33" s="220"/>
      <c r="B33" s="121"/>
      <c r="C33" s="122"/>
      <c r="D33" s="11"/>
      <c r="E33" s="201"/>
      <c r="F33" s="191"/>
      <c r="G33" s="192"/>
      <c r="H33" s="193"/>
      <c r="I33" s="11"/>
      <c r="J33" s="125"/>
    </row>
    <row r="34" spans="1:11" ht="16.5" customHeight="1" x14ac:dyDescent="0.2">
      <c r="A34" s="198"/>
      <c r="B34" s="199"/>
      <c r="C34" s="200"/>
      <c r="D34" s="11"/>
      <c r="E34" s="202"/>
      <c r="F34" s="203"/>
      <c r="G34" s="204"/>
      <c r="H34" s="205"/>
      <c r="I34" s="35"/>
      <c r="J34" s="126"/>
    </row>
    <row r="35" spans="1:11" ht="16.5" customHeight="1" x14ac:dyDescent="0.2">
      <c r="A35" s="220"/>
      <c r="B35" s="121"/>
      <c r="C35" s="122"/>
      <c r="D35" s="11"/>
      <c r="E35" s="201"/>
      <c r="F35" s="191"/>
      <c r="G35" s="192"/>
      <c r="H35" s="193"/>
      <c r="I35" s="11"/>
      <c r="J35" s="125"/>
    </row>
    <row r="36" spans="1:11" ht="16.5" customHeight="1" x14ac:dyDescent="0.2">
      <c r="A36" s="198"/>
      <c r="B36" s="199"/>
      <c r="C36" s="200"/>
      <c r="D36" s="11"/>
      <c r="E36" s="202"/>
      <c r="F36" s="203"/>
      <c r="G36" s="204"/>
      <c r="H36" s="205"/>
      <c r="I36" s="35"/>
      <c r="J36" s="126"/>
    </row>
    <row r="37" spans="1:11" ht="16.5" customHeight="1" x14ac:dyDescent="0.2">
      <c r="A37" s="220"/>
      <c r="B37" s="121"/>
      <c r="C37" s="122"/>
      <c r="D37" s="11"/>
      <c r="E37" s="201"/>
      <c r="F37" s="191"/>
      <c r="G37" s="192"/>
      <c r="H37" s="193"/>
      <c r="I37" s="11"/>
      <c r="J37" s="125"/>
    </row>
    <row r="38" spans="1:11" ht="16.5" customHeight="1" x14ac:dyDescent="0.2">
      <c r="A38" s="198"/>
      <c r="B38" s="199"/>
      <c r="C38" s="200"/>
      <c r="D38" s="11"/>
      <c r="E38" s="202"/>
      <c r="F38" s="203"/>
      <c r="G38" s="204"/>
      <c r="H38" s="205"/>
      <c r="I38" s="35"/>
      <c r="J38" s="126"/>
    </row>
    <row r="39" spans="1:11" ht="14.25" customHeight="1" x14ac:dyDescent="0.2">
      <c r="A39" s="220"/>
      <c r="B39" s="121"/>
      <c r="C39" s="122"/>
      <c r="D39" s="11"/>
      <c r="E39" s="201"/>
      <c r="F39" s="191"/>
      <c r="G39" s="192"/>
      <c r="H39" s="193"/>
      <c r="I39" s="11"/>
      <c r="J39" s="125"/>
    </row>
    <row r="40" spans="1:11" ht="14.25" customHeight="1" x14ac:dyDescent="0.2">
      <c r="A40" s="198"/>
      <c r="B40" s="199"/>
      <c r="C40" s="200"/>
      <c r="D40" s="11"/>
      <c r="E40" s="202"/>
      <c r="F40" s="203"/>
      <c r="G40" s="204"/>
      <c r="H40" s="205"/>
      <c r="I40" s="35"/>
      <c r="J40" s="126"/>
    </row>
    <row r="41" spans="1:11" ht="14.25" customHeight="1" x14ac:dyDescent="0.2">
      <c r="A41" s="220"/>
      <c r="B41" s="121"/>
      <c r="C41" s="122"/>
      <c r="D41" s="11"/>
      <c r="E41" s="201"/>
      <c r="F41" s="191"/>
      <c r="G41" s="192"/>
      <c r="H41" s="193"/>
      <c r="I41" s="11"/>
      <c r="J41" s="125"/>
    </row>
    <row r="42" spans="1:11" ht="14.25" customHeight="1" x14ac:dyDescent="0.2">
      <c r="A42" s="198"/>
      <c r="B42" s="199"/>
      <c r="C42" s="200"/>
      <c r="D42" s="11"/>
      <c r="E42" s="202"/>
      <c r="F42" s="203"/>
      <c r="G42" s="204"/>
      <c r="H42" s="205"/>
      <c r="I42" s="35"/>
      <c r="J42" s="126"/>
    </row>
    <row r="43" spans="1:11" ht="14.25" customHeight="1" x14ac:dyDescent="0.2">
      <c r="A43" s="38"/>
      <c r="B43" s="121"/>
      <c r="C43" s="122"/>
      <c r="D43" s="11"/>
      <c r="E43" s="201"/>
      <c r="F43" s="191"/>
      <c r="G43" s="192"/>
      <c r="H43" s="193"/>
      <c r="I43" s="11"/>
      <c r="J43" s="125"/>
    </row>
    <row r="44" spans="1:11" ht="14.25" customHeight="1" x14ac:dyDescent="0.2">
      <c r="A44" s="39"/>
      <c r="B44" s="199"/>
      <c r="C44" s="200"/>
      <c r="D44" s="11"/>
      <c r="E44" s="202"/>
      <c r="F44" s="203"/>
      <c r="G44" s="204"/>
      <c r="H44" s="205"/>
      <c r="I44" s="35"/>
      <c r="J44" s="126"/>
    </row>
    <row r="45" spans="1:11" ht="14.25" customHeight="1" x14ac:dyDescent="0.2">
      <c r="A45" s="38"/>
      <c r="B45" s="121"/>
      <c r="C45" s="122"/>
      <c r="D45" s="11"/>
      <c r="E45" s="201"/>
      <c r="F45" s="191"/>
      <c r="G45" s="192"/>
      <c r="H45" s="193"/>
      <c r="I45" s="11"/>
      <c r="J45" s="125"/>
    </row>
    <row r="46" spans="1:11" ht="14.25" customHeight="1" x14ac:dyDescent="0.2">
      <c r="A46" s="39"/>
      <c r="B46" s="199"/>
      <c r="C46" s="200"/>
      <c r="D46" s="11"/>
      <c r="E46" s="202"/>
      <c r="F46" s="203"/>
      <c r="G46" s="204"/>
      <c r="H46" s="205"/>
      <c r="I46" s="35"/>
      <c r="J46" s="126"/>
    </row>
    <row r="47" spans="1:11" ht="16.5" customHeight="1" x14ac:dyDescent="0.2">
      <c r="A47" s="38"/>
      <c r="B47" s="119"/>
      <c r="C47" s="120"/>
      <c r="D47" s="11"/>
      <c r="E47" s="201"/>
      <c r="F47" s="191"/>
      <c r="G47" s="192"/>
      <c r="H47" s="193"/>
      <c r="I47" s="11"/>
      <c r="J47" s="125"/>
      <c r="K47" s="28"/>
    </row>
    <row r="48" spans="1:11" ht="16.5" customHeight="1" thickBot="1" x14ac:dyDescent="0.25">
      <c r="A48" s="39"/>
      <c r="B48" s="199"/>
      <c r="C48" s="200"/>
      <c r="D48" s="11"/>
      <c r="E48" s="202"/>
      <c r="F48" s="203"/>
      <c r="G48" s="204"/>
      <c r="H48" s="205"/>
      <c r="I48" s="35"/>
      <c r="J48" s="126"/>
    </row>
    <row r="49" spans="1:10" ht="16.5" hidden="1" customHeight="1" x14ac:dyDescent="0.2">
      <c r="A49" s="220"/>
      <c r="B49" s="1"/>
      <c r="C49" s="2"/>
      <c r="D49" s="11" t="str">
        <f>IFERROR(VLOOKUP(B49&amp;C49,#REF!,3,FALSE),"")</f>
        <v/>
      </c>
      <c r="E49" s="201" t="str">
        <f>IFERROR(VLOOKUP(B49&amp;C49,#REF!,5,FALSE),"")</f>
        <v/>
      </c>
      <c r="F49" s="192" t="str">
        <f>IFERROR(VLOOKUP(B49&amp;C49,#REF!,6,FALSE),"")</f>
        <v/>
      </c>
      <c r="G49" s="226"/>
      <c r="H49" s="227"/>
      <c r="I49" s="11"/>
      <c r="J49" s="230"/>
    </row>
    <row r="50" spans="1:10" ht="16.5" hidden="1" customHeight="1" thickBot="1" x14ac:dyDescent="0.25">
      <c r="A50" s="198"/>
      <c r="B50" s="228" t="str">
        <f>IFERROR(VLOOKUP(B49&amp;C49,#REF!,2,FALSE),"")</f>
        <v/>
      </c>
      <c r="C50" s="229"/>
      <c r="D50" s="35" t="str">
        <f>IFERROR(VLOOKUP(B49&amp;C49,#REF!,4,FALSE),"")</f>
        <v/>
      </c>
      <c r="E50" s="225"/>
      <c r="F50" s="204" t="str">
        <f>IFERROR(VLOOKUP(B49&amp;C49,#REF!,7,FALSE),"")</f>
        <v/>
      </c>
      <c r="G50" s="223"/>
      <c r="H50" s="224"/>
      <c r="I50" s="32"/>
      <c r="J50" s="231"/>
    </row>
    <row r="51" spans="1:10" x14ac:dyDescent="0.2">
      <c r="A51" s="26" t="s">
        <v>86</v>
      </c>
      <c r="B51" s="26"/>
      <c r="C51" s="26"/>
      <c r="D51" s="26"/>
      <c r="E51" s="26"/>
      <c r="F51" s="26"/>
      <c r="G51" s="26"/>
      <c r="H51" s="26"/>
      <c r="I51" s="26"/>
      <c r="J51" s="26"/>
    </row>
    <row r="52" spans="1:10" x14ac:dyDescent="0.2">
      <c r="A52" s="221" t="s">
        <v>87</v>
      </c>
      <c r="B52" s="222"/>
      <c r="C52" s="222"/>
      <c r="D52" s="222"/>
      <c r="E52" s="222"/>
      <c r="F52" s="222"/>
      <c r="G52" s="222"/>
      <c r="H52" s="222"/>
      <c r="I52" s="222"/>
      <c r="J52" s="222"/>
    </row>
    <row r="53" spans="1:10" x14ac:dyDescent="0.2">
      <c r="A53" t="s">
        <v>259</v>
      </c>
    </row>
    <row r="55" spans="1:10" x14ac:dyDescent="0.2">
      <c r="B55" s="37"/>
    </row>
  </sheetData>
  <mergeCells count="95">
    <mergeCell ref="B16:J16"/>
    <mergeCell ref="B8:F8"/>
    <mergeCell ref="B5:F5"/>
    <mergeCell ref="H4:J4"/>
    <mergeCell ref="B2:G2"/>
    <mergeCell ref="H11:J11"/>
    <mergeCell ref="G13:H13"/>
    <mergeCell ref="B13:F13"/>
    <mergeCell ref="I12:J12"/>
    <mergeCell ref="B11:F11"/>
    <mergeCell ref="I1:J1"/>
    <mergeCell ref="H8:J8"/>
    <mergeCell ref="B9:F9"/>
    <mergeCell ref="H9:J9"/>
    <mergeCell ref="B10:F10"/>
    <mergeCell ref="I2:J2"/>
    <mergeCell ref="B6:F7"/>
    <mergeCell ref="I5:J5"/>
    <mergeCell ref="I7:J7"/>
    <mergeCell ref="G5:G7"/>
    <mergeCell ref="H6:H7"/>
    <mergeCell ref="I6:J6"/>
    <mergeCell ref="I3:J3"/>
    <mergeCell ref="A4:F4"/>
    <mergeCell ref="A5:A7"/>
    <mergeCell ref="I10:J10"/>
    <mergeCell ref="F38:H38"/>
    <mergeCell ref="F36:H36"/>
    <mergeCell ref="E31:E32"/>
    <mergeCell ref="F31:H31"/>
    <mergeCell ref="A37:A38"/>
    <mergeCell ref="A31:A32"/>
    <mergeCell ref="B36:C36"/>
    <mergeCell ref="A33:A34"/>
    <mergeCell ref="B34:C34"/>
    <mergeCell ref="E43:E44"/>
    <mergeCell ref="F43:H43"/>
    <mergeCell ref="B44:C44"/>
    <mergeCell ref="F44:H44"/>
    <mergeCell ref="E41:E42"/>
    <mergeCell ref="F41:H41"/>
    <mergeCell ref="E45:E46"/>
    <mergeCell ref="F45:H45"/>
    <mergeCell ref="B46:C46"/>
    <mergeCell ref="F46:H46"/>
    <mergeCell ref="J49:J50"/>
    <mergeCell ref="B48:C48"/>
    <mergeCell ref="F48:H48"/>
    <mergeCell ref="A52:J52"/>
    <mergeCell ref="F50:H50"/>
    <mergeCell ref="E49:E50"/>
    <mergeCell ref="F49:H49"/>
    <mergeCell ref="E47:E48"/>
    <mergeCell ref="F47:H47"/>
    <mergeCell ref="A49:A50"/>
    <mergeCell ref="B50:C50"/>
    <mergeCell ref="B21:J21"/>
    <mergeCell ref="A41:A42"/>
    <mergeCell ref="F42:H42"/>
    <mergeCell ref="A39:A40"/>
    <mergeCell ref="B42:C42"/>
    <mergeCell ref="E39:E40"/>
    <mergeCell ref="F39:H39"/>
    <mergeCell ref="B40:C40"/>
    <mergeCell ref="F40:H40"/>
    <mergeCell ref="B32:C32"/>
    <mergeCell ref="F32:H32"/>
    <mergeCell ref="E37:E38"/>
    <mergeCell ref="F37:H37"/>
    <mergeCell ref="B38:C38"/>
    <mergeCell ref="A35:A36"/>
    <mergeCell ref="E35:E36"/>
    <mergeCell ref="B27:J27"/>
    <mergeCell ref="B23:J23"/>
    <mergeCell ref="F28:H28"/>
    <mergeCell ref="E33:E34"/>
    <mergeCell ref="F35:H35"/>
    <mergeCell ref="F34:H34"/>
    <mergeCell ref="F33:H33"/>
    <mergeCell ref="B22:J22"/>
    <mergeCell ref="A15:J15"/>
    <mergeCell ref="B28:C28"/>
    <mergeCell ref="F29:H29"/>
    <mergeCell ref="A14:J14"/>
    <mergeCell ref="A29:A30"/>
    <mergeCell ref="B30:C30"/>
    <mergeCell ref="B20:J20"/>
    <mergeCell ref="B24:J24"/>
    <mergeCell ref="B17:J17"/>
    <mergeCell ref="B18:J18"/>
    <mergeCell ref="B19:J19"/>
    <mergeCell ref="E29:E30"/>
    <mergeCell ref="F30:H30"/>
    <mergeCell ref="B25:J25"/>
    <mergeCell ref="B26:J26"/>
  </mergeCells>
  <phoneticPr fontId="1"/>
  <printOptions horizontalCentered="1" verticalCentered="1"/>
  <pageMargins left="0.51181102362204722" right="0.39370078740157483" top="0.55118110236220474" bottom="0.27559055118110237" header="0.27559055118110237" footer="0"/>
  <pageSetup paperSize="9" scale="97" fitToWidth="0" orientation="portrait" horizontalDpi="4294967292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pageSetUpPr fitToPage="1"/>
  </sheetPr>
  <dimension ref="A1:AH60"/>
  <sheetViews>
    <sheetView topLeftCell="A31" zoomScaleNormal="100" workbookViewId="0">
      <selection activeCell="A20" sqref="A20:AH20"/>
    </sheetView>
  </sheetViews>
  <sheetFormatPr defaultRowHeight="13" x14ac:dyDescent="0.2"/>
  <cols>
    <col min="1" max="47" width="2.6328125" customWidth="1"/>
  </cols>
  <sheetData>
    <row r="1" spans="1:34" ht="19.5" customHeight="1" x14ac:dyDescent="0.2">
      <c r="A1" s="282" t="s">
        <v>252</v>
      </c>
      <c r="B1" s="283"/>
      <c r="C1" s="283"/>
      <c r="D1" s="283"/>
      <c r="E1" s="283"/>
      <c r="F1" s="283"/>
      <c r="G1" s="283"/>
      <c r="H1" s="283"/>
      <c r="I1" s="283"/>
      <c r="J1" s="283"/>
      <c r="K1" s="283"/>
      <c r="L1" s="283"/>
      <c r="M1" s="283"/>
      <c r="N1" s="283"/>
      <c r="O1" s="283"/>
      <c r="P1" s="283"/>
      <c r="Q1" s="283"/>
      <c r="R1" s="283"/>
      <c r="S1" s="283"/>
      <c r="T1" s="283"/>
      <c r="U1" s="283"/>
      <c r="V1" s="283"/>
      <c r="W1" s="283"/>
      <c r="X1" s="283"/>
      <c r="Y1" s="283"/>
      <c r="Z1" s="283"/>
      <c r="AA1" s="283"/>
      <c r="AB1" s="283"/>
      <c r="AC1" s="283"/>
      <c r="AD1" s="283"/>
      <c r="AE1" s="283"/>
      <c r="AF1" s="283"/>
      <c r="AG1" s="283"/>
      <c r="AH1" s="284"/>
    </row>
    <row r="2" spans="1:34" x14ac:dyDescent="0.2">
      <c r="A2" s="285" t="s">
        <v>34</v>
      </c>
      <c r="B2" s="286"/>
      <c r="C2" s="286"/>
      <c r="D2" s="286"/>
      <c r="E2" s="286"/>
      <c r="F2" s="286"/>
      <c r="G2" s="17" t="s">
        <v>35</v>
      </c>
      <c r="H2" s="285" t="s">
        <v>34</v>
      </c>
      <c r="I2" s="286"/>
      <c r="J2" s="286"/>
      <c r="K2" s="286"/>
      <c r="L2" s="286"/>
      <c r="M2" s="286"/>
      <c r="N2" s="17" t="s">
        <v>35</v>
      </c>
      <c r="O2" s="285" t="s">
        <v>34</v>
      </c>
      <c r="P2" s="286"/>
      <c r="Q2" s="286"/>
      <c r="R2" s="286"/>
      <c r="S2" s="286"/>
      <c r="T2" s="286"/>
      <c r="U2" s="17" t="s">
        <v>35</v>
      </c>
      <c r="V2" s="285" t="s">
        <v>34</v>
      </c>
      <c r="W2" s="286"/>
      <c r="X2" s="286"/>
      <c r="Y2" s="286"/>
      <c r="Z2" s="286"/>
      <c r="AA2" s="286"/>
      <c r="AB2" s="17" t="s">
        <v>35</v>
      </c>
      <c r="AC2" s="285" t="s">
        <v>34</v>
      </c>
      <c r="AD2" s="286"/>
      <c r="AE2" s="286"/>
      <c r="AF2" s="286"/>
      <c r="AG2" s="286"/>
      <c r="AH2" s="17" t="s">
        <v>35</v>
      </c>
    </row>
    <row r="3" spans="1:34" x14ac:dyDescent="0.2">
      <c r="A3" s="287" t="s">
        <v>40</v>
      </c>
      <c r="B3" s="288"/>
      <c r="C3" s="288"/>
      <c r="D3" s="288"/>
      <c r="E3" s="288"/>
      <c r="F3" s="289"/>
      <c r="G3" s="36" t="s">
        <v>111</v>
      </c>
      <c r="H3" s="287" t="s">
        <v>22</v>
      </c>
      <c r="I3" s="288"/>
      <c r="J3" s="288"/>
      <c r="K3" s="288"/>
      <c r="L3" s="288"/>
      <c r="M3" s="289"/>
      <c r="N3" s="36" t="s">
        <v>111</v>
      </c>
      <c r="O3" s="287" t="s">
        <v>30</v>
      </c>
      <c r="P3" s="288"/>
      <c r="Q3" s="288"/>
      <c r="R3" s="288"/>
      <c r="S3" s="288"/>
      <c r="T3" s="289"/>
      <c r="U3" s="36" t="s">
        <v>111</v>
      </c>
      <c r="V3" s="287"/>
      <c r="W3" s="288"/>
      <c r="X3" s="288"/>
      <c r="Y3" s="288"/>
      <c r="Z3" s="288"/>
      <c r="AA3" s="289"/>
      <c r="AB3" s="16"/>
      <c r="AC3" s="287"/>
      <c r="AD3" s="288"/>
      <c r="AE3" s="288"/>
      <c r="AF3" s="288"/>
      <c r="AG3" s="289"/>
      <c r="AH3" s="16"/>
    </row>
    <row r="4" spans="1:34" x14ac:dyDescent="0.2">
      <c r="A4" s="290" t="s">
        <v>18</v>
      </c>
      <c r="B4" s="291"/>
      <c r="C4" s="291"/>
      <c r="D4" s="291"/>
      <c r="E4" s="291"/>
      <c r="F4" s="292"/>
      <c r="G4" s="14" t="s">
        <v>111</v>
      </c>
      <c r="H4" s="290" t="s">
        <v>23</v>
      </c>
      <c r="I4" s="291"/>
      <c r="J4" s="291"/>
      <c r="K4" s="291"/>
      <c r="L4" s="291"/>
      <c r="M4" s="292"/>
      <c r="N4" s="14" t="s">
        <v>111</v>
      </c>
      <c r="O4" s="290" t="s">
        <v>134</v>
      </c>
      <c r="P4" s="291"/>
      <c r="Q4" s="291"/>
      <c r="R4" s="291"/>
      <c r="S4" s="291"/>
      <c r="T4" s="292"/>
      <c r="U4" s="14" t="s">
        <v>111</v>
      </c>
      <c r="V4" s="290"/>
      <c r="W4" s="291"/>
      <c r="X4" s="291"/>
      <c r="Y4" s="291"/>
      <c r="Z4" s="291"/>
      <c r="AA4" s="292"/>
      <c r="AB4" s="16"/>
      <c r="AC4" s="290"/>
      <c r="AD4" s="291"/>
      <c r="AE4" s="291"/>
      <c r="AF4" s="291"/>
      <c r="AG4" s="292"/>
      <c r="AH4" s="14"/>
    </row>
    <row r="5" spans="1:34" x14ac:dyDescent="0.2">
      <c r="A5" s="290" t="s">
        <v>88</v>
      </c>
      <c r="B5" s="291"/>
      <c r="C5" s="291"/>
      <c r="D5" s="291"/>
      <c r="E5" s="291"/>
      <c r="F5" s="292"/>
      <c r="G5" s="14" t="s">
        <v>111</v>
      </c>
      <c r="H5" s="290" t="s">
        <v>41</v>
      </c>
      <c r="I5" s="291"/>
      <c r="J5" s="291"/>
      <c r="K5" s="291"/>
      <c r="L5" s="291"/>
      <c r="M5" s="292"/>
      <c r="N5" s="14" t="s">
        <v>111</v>
      </c>
      <c r="O5" s="290" t="s">
        <v>151</v>
      </c>
      <c r="P5" s="291"/>
      <c r="Q5" s="291"/>
      <c r="R5" s="291"/>
      <c r="S5" s="291"/>
      <c r="T5" s="292"/>
      <c r="U5" s="14" t="s">
        <v>111</v>
      </c>
      <c r="V5" s="290"/>
      <c r="W5" s="291"/>
      <c r="X5" s="291"/>
      <c r="Y5" s="291"/>
      <c r="Z5" s="291"/>
      <c r="AA5" s="292"/>
      <c r="AB5" s="16"/>
      <c r="AC5" s="290"/>
      <c r="AD5" s="291"/>
      <c r="AE5" s="291"/>
      <c r="AF5" s="291"/>
      <c r="AG5" s="292"/>
      <c r="AH5" s="14"/>
    </row>
    <row r="6" spans="1:34" x14ac:dyDescent="0.2">
      <c r="A6" s="290" t="s">
        <v>19</v>
      </c>
      <c r="B6" s="291"/>
      <c r="C6" s="291"/>
      <c r="D6" s="291"/>
      <c r="E6" s="291"/>
      <c r="F6" s="292"/>
      <c r="G6" s="14" t="s">
        <v>111</v>
      </c>
      <c r="H6" s="290" t="s">
        <v>24</v>
      </c>
      <c r="I6" s="291"/>
      <c r="J6" s="291"/>
      <c r="K6" s="291"/>
      <c r="L6" s="291"/>
      <c r="M6" s="292"/>
      <c r="N6" s="14" t="s">
        <v>111</v>
      </c>
      <c r="O6" s="290" t="s">
        <v>125</v>
      </c>
      <c r="P6" s="291"/>
      <c r="Q6" s="291"/>
      <c r="R6" s="291"/>
      <c r="S6" s="291"/>
      <c r="T6" s="292"/>
      <c r="U6" s="14" t="s">
        <v>111</v>
      </c>
      <c r="V6" s="290"/>
      <c r="W6" s="291"/>
      <c r="X6" s="291"/>
      <c r="Y6" s="291"/>
      <c r="Z6" s="291"/>
      <c r="AA6" s="292"/>
      <c r="AB6" s="16"/>
      <c r="AC6" s="290" t="s">
        <v>116</v>
      </c>
      <c r="AD6" s="291"/>
      <c r="AE6" s="291"/>
      <c r="AF6" s="291"/>
      <c r="AG6" s="292"/>
      <c r="AH6" s="14"/>
    </row>
    <row r="7" spans="1:34" x14ac:dyDescent="0.2">
      <c r="A7" s="290" t="s">
        <v>20</v>
      </c>
      <c r="B7" s="291"/>
      <c r="C7" s="291"/>
      <c r="D7" s="291"/>
      <c r="E7" s="291"/>
      <c r="F7" s="292"/>
      <c r="G7" s="14"/>
      <c r="H7" s="290" t="s">
        <v>25</v>
      </c>
      <c r="I7" s="291"/>
      <c r="J7" s="291"/>
      <c r="K7" s="291"/>
      <c r="L7" s="291"/>
      <c r="M7" s="292"/>
      <c r="N7" s="14" t="s">
        <v>111</v>
      </c>
      <c r="O7" s="290" t="s">
        <v>106</v>
      </c>
      <c r="P7" s="291"/>
      <c r="Q7" s="291"/>
      <c r="R7" s="291"/>
      <c r="S7" s="291"/>
      <c r="T7" s="292"/>
      <c r="U7" s="14" t="s">
        <v>111</v>
      </c>
      <c r="V7" s="290"/>
      <c r="W7" s="291"/>
      <c r="X7" s="291"/>
      <c r="Y7" s="291"/>
      <c r="Z7" s="291"/>
      <c r="AA7" s="292"/>
      <c r="AB7" s="16"/>
      <c r="AC7" s="290"/>
      <c r="AD7" s="291"/>
      <c r="AE7" s="291"/>
      <c r="AF7" s="291"/>
      <c r="AG7" s="292"/>
      <c r="AH7" s="14"/>
    </row>
    <row r="8" spans="1:34" x14ac:dyDescent="0.2">
      <c r="A8" s="290" t="s">
        <v>44</v>
      </c>
      <c r="B8" s="291"/>
      <c r="C8" s="291"/>
      <c r="D8" s="291"/>
      <c r="E8" s="291"/>
      <c r="F8" s="292"/>
      <c r="G8" s="14" t="s">
        <v>132</v>
      </c>
      <c r="H8" s="290" t="s">
        <v>26</v>
      </c>
      <c r="I8" s="291"/>
      <c r="J8" s="291"/>
      <c r="K8" s="291"/>
      <c r="L8" s="291"/>
      <c r="M8" s="292"/>
      <c r="N8" s="14" t="s">
        <v>111</v>
      </c>
      <c r="O8" s="290" t="s">
        <v>31</v>
      </c>
      <c r="P8" s="291"/>
      <c r="Q8" s="291"/>
      <c r="R8" s="291"/>
      <c r="S8" s="291"/>
      <c r="T8" s="292"/>
      <c r="U8" s="14" t="s">
        <v>111</v>
      </c>
      <c r="V8" s="290"/>
      <c r="W8" s="291"/>
      <c r="X8" s="291"/>
      <c r="Y8" s="291"/>
      <c r="Z8" s="291"/>
      <c r="AA8" s="292"/>
      <c r="AB8" s="16"/>
      <c r="AC8" s="290"/>
      <c r="AD8" s="291"/>
      <c r="AE8" s="291"/>
      <c r="AF8" s="291"/>
      <c r="AG8" s="292"/>
      <c r="AH8" s="14"/>
    </row>
    <row r="9" spans="1:34" x14ac:dyDescent="0.2">
      <c r="A9" s="290" t="s">
        <v>38</v>
      </c>
      <c r="B9" s="291"/>
      <c r="C9" s="291"/>
      <c r="D9" s="291"/>
      <c r="E9" s="291"/>
      <c r="F9" s="292"/>
      <c r="G9" s="14" t="s">
        <v>111</v>
      </c>
      <c r="H9" s="290" t="s">
        <v>27</v>
      </c>
      <c r="I9" s="291"/>
      <c r="J9" s="291"/>
      <c r="K9" s="291"/>
      <c r="L9" s="291"/>
      <c r="M9" s="292"/>
      <c r="N9" s="14" t="s">
        <v>111</v>
      </c>
      <c r="O9" s="290" t="s">
        <v>32</v>
      </c>
      <c r="P9" s="291"/>
      <c r="Q9" s="291"/>
      <c r="R9" s="291"/>
      <c r="S9" s="291"/>
      <c r="T9" s="292"/>
      <c r="U9" s="14" t="s">
        <v>111</v>
      </c>
      <c r="V9" s="290" t="s">
        <v>45</v>
      </c>
      <c r="W9" s="291"/>
      <c r="X9" s="291"/>
      <c r="Y9" s="291"/>
      <c r="Z9" s="291"/>
      <c r="AA9" s="292"/>
      <c r="AB9" s="16">
        <v>1</v>
      </c>
      <c r="AC9" s="290"/>
      <c r="AD9" s="291"/>
      <c r="AE9" s="291"/>
      <c r="AF9" s="291"/>
      <c r="AG9" s="292"/>
      <c r="AH9" s="14"/>
    </row>
    <row r="10" spans="1:34" x14ac:dyDescent="0.2">
      <c r="A10" s="290" t="s">
        <v>21</v>
      </c>
      <c r="B10" s="291"/>
      <c r="C10" s="291"/>
      <c r="D10" s="291"/>
      <c r="E10" s="291"/>
      <c r="F10" s="292"/>
      <c r="G10" s="14" t="s">
        <v>111</v>
      </c>
      <c r="H10" s="290" t="s">
        <v>46</v>
      </c>
      <c r="I10" s="291"/>
      <c r="J10" s="291"/>
      <c r="K10" s="291"/>
      <c r="L10" s="291"/>
      <c r="M10" s="292"/>
      <c r="N10" s="14" t="s">
        <v>111</v>
      </c>
      <c r="O10" s="290" t="s">
        <v>107</v>
      </c>
      <c r="P10" s="291"/>
      <c r="Q10" s="291"/>
      <c r="R10" s="291"/>
      <c r="S10" s="291"/>
      <c r="T10" s="292"/>
      <c r="U10" s="14" t="s">
        <v>111</v>
      </c>
      <c r="V10" s="290" t="s">
        <v>48</v>
      </c>
      <c r="W10" s="291"/>
      <c r="X10" s="291"/>
      <c r="Y10" s="291"/>
      <c r="Z10" s="291"/>
      <c r="AA10" s="292"/>
      <c r="AB10" s="16">
        <v>1</v>
      </c>
      <c r="AC10" s="290"/>
      <c r="AD10" s="291"/>
      <c r="AE10" s="291"/>
      <c r="AF10" s="291"/>
      <c r="AG10" s="292"/>
      <c r="AH10" s="14"/>
    </row>
    <row r="11" spans="1:34" x14ac:dyDescent="0.2">
      <c r="A11" s="290" t="s">
        <v>49</v>
      </c>
      <c r="B11" s="291"/>
      <c r="C11" s="291"/>
      <c r="D11" s="291"/>
      <c r="E11" s="291"/>
      <c r="F11" s="292"/>
      <c r="G11" s="14" t="s">
        <v>112</v>
      </c>
      <c r="H11" s="290" t="s">
        <v>28</v>
      </c>
      <c r="I11" s="291"/>
      <c r="J11" s="291"/>
      <c r="K11" s="291"/>
      <c r="L11" s="291"/>
      <c r="M11" s="292"/>
      <c r="N11" s="14" t="s">
        <v>112</v>
      </c>
      <c r="O11" s="290" t="s">
        <v>47</v>
      </c>
      <c r="P11" s="291"/>
      <c r="Q11" s="291"/>
      <c r="R11" s="291"/>
      <c r="S11" s="291"/>
      <c r="T11" s="292"/>
      <c r="U11" s="14" t="s">
        <v>111</v>
      </c>
      <c r="V11" s="290" t="s">
        <v>96</v>
      </c>
      <c r="W11" s="291"/>
      <c r="X11" s="291"/>
      <c r="Y11" s="291"/>
      <c r="Z11" s="291"/>
      <c r="AA11" s="292"/>
      <c r="AB11" s="16">
        <v>3</v>
      </c>
      <c r="AC11" s="290"/>
      <c r="AD11" s="291"/>
      <c r="AE11" s="291"/>
      <c r="AF11" s="291"/>
      <c r="AG11" s="292"/>
      <c r="AH11" s="14"/>
    </row>
    <row r="12" spans="1:34" x14ac:dyDescent="0.2">
      <c r="A12" s="290" t="s">
        <v>51</v>
      </c>
      <c r="B12" s="291"/>
      <c r="C12" s="291"/>
      <c r="D12" s="291"/>
      <c r="E12" s="291"/>
      <c r="F12" s="292"/>
      <c r="G12" s="14" t="s">
        <v>111</v>
      </c>
      <c r="H12" s="290" t="s">
        <v>29</v>
      </c>
      <c r="I12" s="291"/>
      <c r="J12" s="291"/>
      <c r="K12" s="291"/>
      <c r="L12" s="291"/>
      <c r="M12" s="292"/>
      <c r="N12" s="14" t="s">
        <v>111</v>
      </c>
      <c r="O12" s="290" t="s">
        <v>50</v>
      </c>
      <c r="P12" s="291"/>
      <c r="Q12" s="291"/>
      <c r="R12" s="291"/>
      <c r="S12" s="291"/>
      <c r="T12" s="292"/>
      <c r="U12" s="14" t="s">
        <v>111</v>
      </c>
      <c r="V12" s="290" t="s">
        <v>97</v>
      </c>
      <c r="W12" s="291"/>
      <c r="X12" s="291"/>
      <c r="Y12" s="291"/>
      <c r="Z12" s="291"/>
      <c r="AA12" s="292"/>
      <c r="AB12" s="16">
        <v>3</v>
      </c>
      <c r="AC12" s="290" t="s">
        <v>115</v>
      </c>
      <c r="AD12" s="291"/>
      <c r="AE12" s="291"/>
      <c r="AF12" s="291"/>
      <c r="AG12" s="292"/>
      <c r="AH12" s="14"/>
    </row>
    <row r="13" spans="1:34" x14ac:dyDescent="0.2">
      <c r="A13" s="290" t="s">
        <v>53</v>
      </c>
      <c r="B13" s="291"/>
      <c r="C13" s="291"/>
      <c r="D13" s="291"/>
      <c r="E13" s="291"/>
      <c r="F13" s="292"/>
      <c r="G13" s="14" t="s">
        <v>111</v>
      </c>
      <c r="H13" s="290" t="s">
        <v>105</v>
      </c>
      <c r="I13" s="291"/>
      <c r="J13" s="291"/>
      <c r="K13" s="291"/>
      <c r="L13" s="291"/>
      <c r="M13" s="292"/>
      <c r="N13" s="14" t="s">
        <v>111</v>
      </c>
      <c r="O13" s="290" t="s">
        <v>52</v>
      </c>
      <c r="P13" s="291"/>
      <c r="Q13" s="291"/>
      <c r="R13" s="291"/>
      <c r="S13" s="291"/>
      <c r="T13" s="292"/>
      <c r="U13" s="14" t="s">
        <v>111</v>
      </c>
      <c r="V13" s="290" t="s">
        <v>131</v>
      </c>
      <c r="W13" s="291"/>
      <c r="X13" s="291"/>
      <c r="Y13" s="291"/>
      <c r="Z13" s="291"/>
      <c r="AA13" s="292"/>
      <c r="AB13" s="16">
        <v>1</v>
      </c>
      <c r="AC13" s="290"/>
      <c r="AD13" s="291"/>
      <c r="AE13" s="291"/>
      <c r="AF13" s="291"/>
      <c r="AG13" s="292"/>
      <c r="AH13" s="14"/>
    </row>
    <row r="14" spans="1:34" x14ac:dyDescent="0.2">
      <c r="A14" s="290" t="s">
        <v>90</v>
      </c>
      <c r="B14" s="291"/>
      <c r="C14" s="291"/>
      <c r="D14" s="291"/>
      <c r="E14" s="291"/>
      <c r="F14" s="292"/>
      <c r="G14" s="14" t="s">
        <v>111</v>
      </c>
      <c r="H14" s="290" t="s">
        <v>98</v>
      </c>
      <c r="I14" s="291"/>
      <c r="J14" s="291"/>
      <c r="K14" s="291"/>
      <c r="L14" s="291"/>
      <c r="M14" s="292"/>
      <c r="N14" s="14" t="s">
        <v>111</v>
      </c>
      <c r="O14" s="290" t="s">
        <v>39</v>
      </c>
      <c r="P14" s="291"/>
      <c r="Q14" s="291"/>
      <c r="R14" s="291"/>
      <c r="S14" s="291"/>
      <c r="T14" s="292"/>
      <c r="U14" s="14" t="s">
        <v>111</v>
      </c>
      <c r="V14" s="290" t="s">
        <v>114</v>
      </c>
      <c r="W14" s="291"/>
      <c r="X14" s="291"/>
      <c r="Y14" s="291"/>
      <c r="Z14" s="291"/>
      <c r="AA14" s="292"/>
      <c r="AB14" s="16">
        <v>3</v>
      </c>
      <c r="AC14" s="290"/>
      <c r="AD14" s="291"/>
      <c r="AE14" s="291"/>
      <c r="AF14" s="291"/>
      <c r="AG14" s="292"/>
      <c r="AH14" s="14"/>
    </row>
    <row r="15" spans="1:34" x14ac:dyDescent="0.2">
      <c r="A15" s="290" t="s">
        <v>91</v>
      </c>
      <c r="B15" s="291"/>
      <c r="C15" s="291"/>
      <c r="D15" s="291"/>
      <c r="E15" s="291"/>
      <c r="F15" s="292"/>
      <c r="G15" s="14" t="s">
        <v>111</v>
      </c>
      <c r="H15" s="290"/>
      <c r="I15" s="291"/>
      <c r="J15" s="291"/>
      <c r="K15" s="291"/>
      <c r="L15" s="291"/>
      <c r="M15" s="292"/>
      <c r="N15" s="14"/>
      <c r="O15" s="290"/>
      <c r="P15" s="291"/>
      <c r="Q15" s="291"/>
      <c r="R15" s="291"/>
      <c r="S15" s="291"/>
      <c r="T15" s="292"/>
      <c r="U15" s="14"/>
      <c r="V15" s="290" t="s">
        <v>113</v>
      </c>
      <c r="W15" s="291"/>
      <c r="X15" s="291"/>
      <c r="Y15" s="291"/>
      <c r="Z15" s="291"/>
      <c r="AA15" s="292"/>
      <c r="AB15" s="14">
        <v>2</v>
      </c>
      <c r="AC15" s="290" t="s">
        <v>155</v>
      </c>
      <c r="AD15" s="291"/>
      <c r="AE15" s="291"/>
      <c r="AF15" s="291"/>
      <c r="AG15" s="292"/>
      <c r="AH15" s="14"/>
    </row>
    <row r="16" spans="1:34" x14ac:dyDescent="0.2">
      <c r="A16" s="290" t="s">
        <v>92</v>
      </c>
      <c r="B16" s="291"/>
      <c r="C16" s="291"/>
      <c r="D16" s="291"/>
      <c r="E16" s="291"/>
      <c r="F16" s="292"/>
      <c r="G16" s="14" t="s">
        <v>111</v>
      </c>
      <c r="H16" s="290"/>
      <c r="I16" s="291"/>
      <c r="J16" s="291"/>
      <c r="K16" s="291"/>
      <c r="L16" s="291"/>
      <c r="M16" s="292"/>
      <c r="N16" s="14"/>
      <c r="O16" s="290" t="s">
        <v>78</v>
      </c>
      <c r="P16" s="291"/>
      <c r="Q16" s="291"/>
      <c r="R16" s="291"/>
      <c r="S16" s="291"/>
      <c r="T16" s="292"/>
      <c r="U16" s="14" t="s">
        <v>112</v>
      </c>
      <c r="V16" s="290" t="s">
        <v>121</v>
      </c>
      <c r="W16" s="291"/>
      <c r="X16" s="291"/>
      <c r="Y16" s="291"/>
      <c r="Z16" s="291"/>
      <c r="AA16" s="292"/>
      <c r="AB16" s="16">
        <v>1</v>
      </c>
      <c r="AC16" s="290" t="s">
        <v>133</v>
      </c>
      <c r="AD16" s="291"/>
      <c r="AE16" s="291"/>
      <c r="AF16" s="291"/>
      <c r="AG16" s="292"/>
      <c r="AH16" s="14"/>
    </row>
    <row r="17" spans="1:34" x14ac:dyDescent="0.2">
      <c r="A17" s="290"/>
      <c r="B17" s="291"/>
      <c r="C17" s="291"/>
      <c r="D17" s="291"/>
      <c r="E17" s="291"/>
      <c r="F17" s="292"/>
      <c r="G17" s="14"/>
      <c r="H17" s="290"/>
      <c r="I17" s="291"/>
      <c r="J17" s="291"/>
      <c r="K17" s="291"/>
      <c r="L17" s="291"/>
      <c r="M17" s="292"/>
      <c r="N17" s="14"/>
      <c r="O17" s="290"/>
      <c r="P17" s="291"/>
      <c r="Q17" s="291"/>
      <c r="R17" s="291"/>
      <c r="S17" s="291"/>
      <c r="T17" s="292"/>
      <c r="U17" s="14"/>
      <c r="V17" s="290"/>
      <c r="W17" s="291"/>
      <c r="X17" s="291"/>
      <c r="Y17" s="291"/>
      <c r="Z17" s="291"/>
      <c r="AA17" s="292"/>
      <c r="AB17" s="16"/>
      <c r="AC17" s="290"/>
      <c r="AD17" s="291"/>
      <c r="AE17" s="291"/>
      <c r="AF17" s="291"/>
      <c r="AG17" s="292"/>
      <c r="AH17" s="14"/>
    </row>
    <row r="18" spans="1:34" x14ac:dyDescent="0.2">
      <c r="A18" s="290"/>
      <c r="B18" s="291"/>
      <c r="C18" s="291"/>
      <c r="D18" s="291"/>
      <c r="E18" s="291"/>
      <c r="F18" s="292"/>
      <c r="G18" s="14"/>
      <c r="H18" s="290"/>
      <c r="I18" s="291"/>
      <c r="J18" s="291"/>
      <c r="K18" s="291"/>
      <c r="L18" s="291"/>
      <c r="M18" s="292"/>
      <c r="N18" s="14"/>
      <c r="O18" s="290"/>
      <c r="P18" s="291"/>
      <c r="Q18" s="291"/>
      <c r="R18" s="291"/>
      <c r="S18" s="291"/>
      <c r="T18" s="292"/>
      <c r="U18" s="14"/>
      <c r="V18" s="290"/>
      <c r="W18" s="291"/>
      <c r="X18" s="291"/>
      <c r="Y18" s="291"/>
      <c r="Z18" s="291"/>
      <c r="AA18" s="292"/>
      <c r="AB18" s="14"/>
      <c r="AC18" s="290"/>
      <c r="AD18" s="291"/>
      <c r="AE18" s="291"/>
      <c r="AF18" s="291"/>
      <c r="AG18" s="292"/>
      <c r="AH18" s="14"/>
    </row>
    <row r="19" spans="1:34" ht="13.5" customHeight="1" x14ac:dyDescent="0.2">
      <c r="A19" s="322"/>
      <c r="B19" s="323"/>
      <c r="C19" s="323"/>
      <c r="D19" s="323"/>
      <c r="E19" s="323"/>
      <c r="F19" s="324"/>
      <c r="G19" s="16"/>
      <c r="H19" s="322"/>
      <c r="I19" s="323"/>
      <c r="J19" s="323"/>
      <c r="K19" s="323"/>
      <c r="L19" s="323"/>
      <c r="M19" s="324"/>
      <c r="N19" s="15"/>
      <c r="O19" s="322"/>
      <c r="P19" s="323"/>
      <c r="Q19" s="323"/>
      <c r="R19" s="323"/>
      <c r="S19" s="323"/>
      <c r="T19" s="324"/>
      <c r="U19" s="14"/>
      <c r="V19" s="322"/>
      <c r="W19" s="323"/>
      <c r="X19" s="323"/>
      <c r="Y19" s="323"/>
      <c r="Z19" s="323"/>
      <c r="AA19" s="324"/>
      <c r="AB19" s="15"/>
      <c r="AC19" s="322"/>
      <c r="AD19" s="323"/>
      <c r="AE19" s="323"/>
      <c r="AF19" s="323"/>
      <c r="AG19" s="324"/>
      <c r="AH19" s="15"/>
    </row>
    <row r="20" spans="1:34" ht="19.5" customHeight="1" x14ac:dyDescent="0.2">
      <c r="A20" s="325" t="s">
        <v>253</v>
      </c>
      <c r="B20" s="283"/>
      <c r="C20" s="283"/>
      <c r="D20" s="283"/>
      <c r="E20" s="283"/>
      <c r="F20" s="283"/>
      <c r="G20" s="283"/>
      <c r="H20" s="283"/>
      <c r="I20" s="283"/>
      <c r="J20" s="283"/>
      <c r="K20" s="283"/>
      <c r="L20" s="283"/>
      <c r="M20" s="283"/>
      <c r="N20" s="283"/>
      <c r="O20" s="283"/>
      <c r="P20" s="283"/>
      <c r="Q20" s="283"/>
      <c r="R20" s="283"/>
      <c r="S20" s="283"/>
      <c r="T20" s="283"/>
      <c r="U20" s="283"/>
      <c r="V20" s="283"/>
      <c r="W20" s="283"/>
      <c r="X20" s="283"/>
      <c r="Y20" s="283"/>
      <c r="Z20" s="283"/>
      <c r="AA20" s="283"/>
      <c r="AB20" s="283"/>
      <c r="AC20" s="283"/>
      <c r="AD20" s="283"/>
      <c r="AE20" s="283"/>
      <c r="AF20" s="283"/>
      <c r="AG20" s="283"/>
      <c r="AH20" s="284"/>
    </row>
    <row r="21" spans="1:34" ht="13.5" customHeight="1" x14ac:dyDescent="0.2">
      <c r="A21" s="285" t="s">
        <v>34</v>
      </c>
      <c r="B21" s="286"/>
      <c r="C21" s="286"/>
      <c r="D21" s="286"/>
      <c r="E21" s="293"/>
      <c r="F21" s="285" t="s">
        <v>99</v>
      </c>
      <c r="G21" s="286"/>
      <c r="H21" s="294"/>
      <c r="I21" s="285" t="s">
        <v>100</v>
      </c>
      <c r="J21" s="286"/>
      <c r="K21" s="286"/>
      <c r="L21" s="285" t="s">
        <v>34</v>
      </c>
      <c r="M21" s="286"/>
      <c r="N21" s="286"/>
      <c r="O21" s="286"/>
      <c r="P21" s="293"/>
      <c r="Q21" s="285" t="s">
        <v>99</v>
      </c>
      <c r="R21" s="286"/>
      <c r="S21" s="294"/>
      <c r="T21" s="285" t="s">
        <v>100</v>
      </c>
      <c r="U21" s="286"/>
      <c r="V21" s="286"/>
      <c r="W21" s="285" t="s">
        <v>34</v>
      </c>
      <c r="X21" s="286"/>
      <c r="Y21" s="286"/>
      <c r="Z21" s="286"/>
      <c r="AA21" s="286"/>
      <c r="AB21" s="285" t="s">
        <v>99</v>
      </c>
      <c r="AC21" s="295"/>
      <c r="AD21" s="296"/>
      <c r="AE21" s="285" t="s">
        <v>100</v>
      </c>
      <c r="AF21" s="295"/>
      <c r="AG21" s="295"/>
      <c r="AH21" s="296"/>
    </row>
    <row r="22" spans="1:34" ht="13.5" customHeight="1" x14ac:dyDescent="0.2">
      <c r="A22" s="297" t="s">
        <v>145</v>
      </c>
      <c r="B22" s="298"/>
      <c r="C22" s="298"/>
      <c r="D22" s="298"/>
      <c r="E22" s="299"/>
      <c r="F22" s="300"/>
      <c r="G22" s="301"/>
      <c r="H22" s="301"/>
      <c r="I22" s="300"/>
      <c r="J22" s="301"/>
      <c r="K22" s="301"/>
      <c r="L22" s="290" t="s">
        <v>147</v>
      </c>
      <c r="M22" s="291"/>
      <c r="N22" s="291"/>
      <c r="O22" s="291"/>
      <c r="P22" s="302"/>
      <c r="Q22" s="300"/>
      <c r="R22" s="301"/>
      <c r="S22" s="301"/>
      <c r="T22" s="300"/>
      <c r="U22" s="301"/>
      <c r="V22" s="301"/>
      <c r="W22" s="303" t="s">
        <v>138</v>
      </c>
      <c r="X22" s="304"/>
      <c r="Y22" s="304"/>
      <c r="Z22" s="304"/>
      <c r="AA22" s="304"/>
      <c r="AB22" s="300"/>
      <c r="AC22" s="301"/>
      <c r="AD22" s="305"/>
      <c r="AE22" s="306"/>
      <c r="AF22" s="307"/>
      <c r="AG22" s="307"/>
      <c r="AH22" s="308"/>
    </row>
    <row r="23" spans="1:34" ht="13.5" customHeight="1" x14ac:dyDescent="0.2">
      <c r="A23" s="311" t="s">
        <v>139</v>
      </c>
      <c r="B23" s="312"/>
      <c r="C23" s="312"/>
      <c r="D23" s="312"/>
      <c r="E23" s="313"/>
      <c r="F23" s="300"/>
      <c r="G23" s="301"/>
      <c r="H23" s="301"/>
      <c r="I23" s="300"/>
      <c r="J23" s="301"/>
      <c r="K23" s="301"/>
      <c r="L23" s="290" t="s">
        <v>148</v>
      </c>
      <c r="M23" s="291"/>
      <c r="N23" s="291"/>
      <c r="O23" s="291"/>
      <c r="P23" s="302"/>
      <c r="Q23" s="300"/>
      <c r="R23" s="301"/>
      <c r="S23" s="301"/>
      <c r="T23" s="300"/>
      <c r="U23" s="301"/>
      <c r="V23" s="301"/>
      <c r="W23" s="309"/>
      <c r="X23" s="310"/>
      <c r="Y23" s="310"/>
      <c r="Z23" s="310"/>
      <c r="AA23" s="310"/>
      <c r="AB23" s="300"/>
      <c r="AC23" s="301"/>
      <c r="AD23" s="305"/>
      <c r="AE23" s="300"/>
      <c r="AF23" s="301"/>
      <c r="AG23" s="301"/>
      <c r="AH23" s="305"/>
    </row>
    <row r="24" spans="1:34" ht="13.5" customHeight="1" x14ac:dyDescent="0.2">
      <c r="A24" s="311" t="s">
        <v>140</v>
      </c>
      <c r="B24" s="312"/>
      <c r="C24" s="312"/>
      <c r="D24" s="312"/>
      <c r="E24" s="313"/>
      <c r="F24" s="300"/>
      <c r="G24" s="301"/>
      <c r="H24" s="301"/>
      <c r="I24" s="300"/>
      <c r="J24" s="301"/>
      <c r="K24" s="301"/>
      <c r="L24" s="290" t="s">
        <v>149</v>
      </c>
      <c r="M24" s="291"/>
      <c r="N24" s="291"/>
      <c r="O24" s="291"/>
      <c r="P24" s="302"/>
      <c r="Q24" s="300"/>
      <c r="R24" s="301"/>
      <c r="S24" s="301"/>
      <c r="T24" s="300"/>
      <c r="U24" s="301"/>
      <c r="V24" s="301"/>
      <c r="W24" s="309"/>
      <c r="X24" s="310"/>
      <c r="Y24" s="310"/>
      <c r="Z24" s="310"/>
      <c r="AA24" s="310"/>
      <c r="AB24" s="300"/>
      <c r="AC24" s="301"/>
      <c r="AD24" s="305"/>
      <c r="AE24" s="300"/>
      <c r="AF24" s="301"/>
      <c r="AG24" s="301"/>
      <c r="AH24" s="305"/>
    </row>
    <row r="25" spans="1:34" ht="13.5" customHeight="1" x14ac:dyDescent="0.2">
      <c r="A25" s="311" t="s">
        <v>142</v>
      </c>
      <c r="B25" s="312"/>
      <c r="C25" s="312"/>
      <c r="D25" s="312"/>
      <c r="E25" s="313"/>
      <c r="F25" s="300"/>
      <c r="G25" s="301"/>
      <c r="H25" s="301"/>
      <c r="I25" s="300"/>
      <c r="J25" s="301"/>
      <c r="K25" s="301"/>
      <c r="L25" s="108" t="s">
        <v>150</v>
      </c>
      <c r="M25" s="109"/>
      <c r="N25" s="109"/>
      <c r="O25" s="109"/>
      <c r="P25" s="110"/>
      <c r="Q25" s="300"/>
      <c r="R25" s="301"/>
      <c r="S25" s="301"/>
      <c r="T25" s="300"/>
      <c r="U25" s="301"/>
      <c r="V25" s="301"/>
      <c r="W25" s="309"/>
      <c r="X25" s="310"/>
      <c r="Y25" s="310"/>
      <c r="Z25" s="310"/>
      <c r="AA25" s="310"/>
      <c r="AB25" s="300"/>
      <c r="AC25" s="301"/>
      <c r="AD25" s="305"/>
      <c r="AE25" s="300"/>
      <c r="AF25" s="301"/>
      <c r="AG25" s="301"/>
      <c r="AH25" s="305"/>
    </row>
    <row r="26" spans="1:34" ht="13.5" customHeight="1" x14ac:dyDescent="0.2">
      <c r="A26" s="314" t="s">
        <v>231</v>
      </c>
      <c r="B26" s="301"/>
      <c r="C26" s="301"/>
      <c r="D26" s="301"/>
      <c r="E26" s="305"/>
      <c r="F26" s="300"/>
      <c r="G26" s="301"/>
      <c r="H26" s="301"/>
      <c r="I26" s="300"/>
      <c r="J26" s="301"/>
      <c r="K26" s="301"/>
      <c r="L26" s="108" t="s">
        <v>150</v>
      </c>
      <c r="M26" s="109"/>
      <c r="N26" s="109"/>
      <c r="O26" s="109"/>
      <c r="P26" s="110"/>
      <c r="Q26" s="300"/>
      <c r="R26" s="301"/>
      <c r="S26" s="301"/>
      <c r="T26" s="300"/>
      <c r="U26" s="301"/>
      <c r="V26" s="301"/>
      <c r="W26" s="309" t="s">
        <v>141</v>
      </c>
      <c r="X26" s="310"/>
      <c r="Y26" s="310"/>
      <c r="Z26" s="310"/>
      <c r="AA26" s="315"/>
      <c r="AB26" s="300"/>
      <c r="AC26" s="301"/>
      <c r="AD26" s="305"/>
      <c r="AE26" s="300"/>
      <c r="AF26" s="301"/>
      <c r="AG26" s="301"/>
      <c r="AH26" s="305"/>
    </row>
    <row r="27" spans="1:34" ht="13.5" customHeight="1" x14ac:dyDescent="0.2">
      <c r="A27" s="314" t="s">
        <v>231</v>
      </c>
      <c r="B27" s="301"/>
      <c r="C27" s="301"/>
      <c r="D27" s="301"/>
      <c r="E27" s="305"/>
      <c r="F27" s="300"/>
      <c r="G27" s="301"/>
      <c r="H27" s="305"/>
      <c r="I27" s="300"/>
      <c r="J27" s="301"/>
      <c r="K27" s="301"/>
      <c r="L27" s="105" t="s">
        <v>154</v>
      </c>
      <c r="M27" s="106"/>
      <c r="N27" s="106"/>
      <c r="O27" s="106"/>
      <c r="P27" s="106"/>
      <c r="Q27" s="300"/>
      <c r="R27" s="301"/>
      <c r="S27" s="301"/>
      <c r="T27" s="300"/>
      <c r="U27" s="301"/>
      <c r="V27" s="301"/>
      <c r="W27" s="309" t="s">
        <v>143</v>
      </c>
      <c r="X27" s="310"/>
      <c r="Y27" s="310"/>
      <c r="Z27" s="310"/>
      <c r="AA27" s="315"/>
      <c r="AB27" s="300"/>
      <c r="AC27" s="301"/>
      <c r="AD27" s="305"/>
      <c r="AE27" s="300"/>
      <c r="AF27" s="301"/>
      <c r="AG27" s="301"/>
      <c r="AH27" s="305"/>
    </row>
    <row r="28" spans="1:34" ht="13.5" customHeight="1" x14ac:dyDescent="0.2">
      <c r="A28" s="309" t="s">
        <v>145</v>
      </c>
      <c r="B28" s="310"/>
      <c r="C28" s="310"/>
      <c r="D28" s="310"/>
      <c r="E28" s="315"/>
      <c r="F28" s="300"/>
      <c r="G28" s="301"/>
      <c r="H28" s="305"/>
      <c r="I28" s="300"/>
      <c r="J28" s="301"/>
      <c r="K28" s="301"/>
      <c r="L28" s="105" t="s">
        <v>122</v>
      </c>
      <c r="M28" s="106"/>
      <c r="N28" s="106"/>
      <c r="O28" s="106"/>
      <c r="P28" s="107"/>
      <c r="Q28" s="300"/>
      <c r="R28" s="301"/>
      <c r="S28" s="305"/>
      <c r="T28" s="300"/>
      <c r="U28" s="301"/>
      <c r="V28" s="305"/>
      <c r="W28" s="309" t="s">
        <v>157</v>
      </c>
      <c r="X28" s="310"/>
      <c r="Y28" s="310"/>
      <c r="Z28" s="310"/>
      <c r="AA28" s="315"/>
      <c r="AB28" s="300"/>
      <c r="AC28" s="301"/>
      <c r="AD28" s="305"/>
      <c r="AE28" s="300"/>
      <c r="AF28" s="301"/>
      <c r="AG28" s="301"/>
      <c r="AH28" s="305"/>
    </row>
    <row r="29" spans="1:34" ht="13.5" customHeight="1" x14ac:dyDescent="0.2">
      <c r="A29" s="314" t="s">
        <v>139</v>
      </c>
      <c r="B29" s="316"/>
      <c r="C29" s="316"/>
      <c r="D29" s="316"/>
      <c r="E29" s="317"/>
      <c r="F29" s="300"/>
      <c r="G29" s="301"/>
      <c r="H29" s="305"/>
      <c r="I29" s="300"/>
      <c r="J29" s="301"/>
      <c r="K29" s="301"/>
      <c r="L29" s="105" t="s">
        <v>151</v>
      </c>
      <c r="M29" s="106"/>
      <c r="N29" s="106"/>
      <c r="O29" s="106"/>
      <c r="P29" s="107"/>
      <c r="Q29" s="300"/>
      <c r="R29" s="301"/>
      <c r="S29" s="305"/>
      <c r="T29" s="300"/>
      <c r="U29" s="301"/>
      <c r="V29" s="305"/>
      <c r="W29" s="309" t="s">
        <v>157</v>
      </c>
      <c r="X29" s="310"/>
      <c r="Y29" s="310"/>
      <c r="Z29" s="310"/>
      <c r="AA29" s="315"/>
      <c r="AB29" s="300"/>
      <c r="AC29" s="301"/>
      <c r="AD29" s="305"/>
      <c r="AE29" s="300"/>
      <c r="AF29" s="301"/>
      <c r="AG29" s="301"/>
      <c r="AH29" s="305"/>
    </row>
    <row r="30" spans="1:34" ht="13.5" customHeight="1" x14ac:dyDescent="0.2">
      <c r="A30" s="314" t="s">
        <v>229</v>
      </c>
      <c r="B30" s="316"/>
      <c r="C30" s="316"/>
      <c r="D30" s="316"/>
      <c r="E30" s="317"/>
      <c r="F30" s="300"/>
      <c r="G30" s="301"/>
      <c r="H30" s="305"/>
      <c r="I30" s="300"/>
      <c r="J30" s="301"/>
      <c r="K30" s="301"/>
      <c r="L30" s="290" t="s">
        <v>152</v>
      </c>
      <c r="M30" s="291"/>
      <c r="N30" s="291"/>
      <c r="O30" s="291"/>
      <c r="P30" s="302"/>
      <c r="Q30" s="300"/>
      <c r="R30" s="301"/>
      <c r="S30" s="305"/>
      <c r="T30" s="300"/>
      <c r="U30" s="301"/>
      <c r="V30" s="301"/>
      <c r="W30" s="309"/>
      <c r="X30" s="310"/>
      <c r="Y30" s="310"/>
      <c r="Z30" s="310"/>
      <c r="AA30" s="315"/>
      <c r="AB30" s="300"/>
      <c r="AC30" s="301"/>
      <c r="AD30" s="305"/>
      <c r="AE30" s="300"/>
      <c r="AF30" s="301"/>
      <c r="AG30" s="301"/>
      <c r="AH30" s="305"/>
    </row>
    <row r="31" spans="1:34" ht="13.5" customHeight="1" x14ac:dyDescent="0.2">
      <c r="A31" s="314" t="s">
        <v>230</v>
      </c>
      <c r="B31" s="316"/>
      <c r="C31" s="316"/>
      <c r="D31" s="316"/>
      <c r="E31" s="317"/>
      <c r="F31" s="300"/>
      <c r="G31" s="301"/>
      <c r="H31" s="305"/>
      <c r="I31" s="300"/>
      <c r="J31" s="301"/>
      <c r="K31" s="301"/>
      <c r="L31" s="290"/>
      <c r="M31" s="291"/>
      <c r="N31" s="291"/>
      <c r="O31" s="291"/>
      <c r="P31" s="302"/>
      <c r="Q31" s="300"/>
      <c r="R31" s="301"/>
      <c r="S31" s="305"/>
      <c r="T31" s="300"/>
      <c r="U31" s="301"/>
      <c r="V31" s="301"/>
      <c r="W31" s="309"/>
      <c r="X31" s="310"/>
      <c r="Y31" s="310"/>
      <c r="Z31" s="310"/>
      <c r="AA31" s="315"/>
      <c r="AB31" s="300"/>
      <c r="AC31" s="301"/>
      <c r="AD31" s="305"/>
      <c r="AE31" s="300"/>
      <c r="AF31" s="301"/>
      <c r="AG31" s="301"/>
      <c r="AH31" s="305"/>
    </row>
    <row r="32" spans="1:34" ht="13.5" customHeight="1" x14ac:dyDescent="0.2">
      <c r="A32" s="314" t="s">
        <v>231</v>
      </c>
      <c r="B32" s="301"/>
      <c r="C32" s="301"/>
      <c r="D32" s="301"/>
      <c r="E32" s="305"/>
      <c r="F32" s="300"/>
      <c r="G32" s="301"/>
      <c r="H32" s="305"/>
      <c r="I32" s="300"/>
      <c r="J32" s="301"/>
      <c r="K32" s="301"/>
      <c r="L32" s="355" t="s">
        <v>250</v>
      </c>
      <c r="M32" s="356"/>
      <c r="N32" s="356"/>
      <c r="O32" s="356"/>
      <c r="P32" s="357"/>
      <c r="Q32" s="361"/>
      <c r="R32" s="362"/>
      <c r="S32" s="363"/>
      <c r="T32" s="361"/>
      <c r="U32" s="362"/>
      <c r="V32" s="363"/>
      <c r="W32" s="309"/>
      <c r="X32" s="310"/>
      <c r="Y32" s="310"/>
      <c r="Z32" s="310"/>
      <c r="AA32" s="315"/>
      <c r="AB32" s="300"/>
      <c r="AC32" s="301"/>
      <c r="AD32" s="305"/>
      <c r="AE32" s="300"/>
      <c r="AF32" s="301"/>
      <c r="AG32" s="301"/>
      <c r="AH32" s="305"/>
    </row>
    <row r="33" spans="1:34" ht="13.5" customHeight="1" x14ac:dyDescent="0.2">
      <c r="A33" s="314" t="s">
        <v>231</v>
      </c>
      <c r="B33" s="316"/>
      <c r="C33" s="316"/>
      <c r="D33" s="316"/>
      <c r="E33" s="317"/>
      <c r="F33" s="300"/>
      <c r="G33" s="301"/>
      <c r="H33" s="305"/>
      <c r="I33" s="300"/>
      <c r="J33" s="301"/>
      <c r="K33" s="301"/>
      <c r="L33" s="358"/>
      <c r="M33" s="359"/>
      <c r="N33" s="359"/>
      <c r="O33" s="359"/>
      <c r="P33" s="360"/>
      <c r="Q33" s="364"/>
      <c r="R33" s="312"/>
      <c r="S33" s="313"/>
      <c r="T33" s="364"/>
      <c r="U33" s="312"/>
      <c r="V33" s="313"/>
      <c r="W33" s="319"/>
      <c r="X33" s="320"/>
      <c r="Y33" s="320"/>
      <c r="Z33" s="320"/>
      <c r="AA33" s="321"/>
      <c r="AB33" s="300"/>
      <c r="AC33" s="301"/>
      <c r="AD33" s="305"/>
      <c r="AE33" s="300"/>
      <c r="AF33" s="301"/>
      <c r="AG33" s="301"/>
      <c r="AH33" s="305"/>
    </row>
    <row r="34" spans="1:34" ht="13.5" customHeight="1" x14ac:dyDescent="0.2">
      <c r="A34" s="318" t="s">
        <v>239</v>
      </c>
      <c r="B34" s="310"/>
      <c r="C34" s="310"/>
      <c r="D34" s="310"/>
      <c r="E34" s="315"/>
      <c r="F34" s="300"/>
      <c r="G34" s="301"/>
      <c r="H34" s="305"/>
      <c r="I34" s="300"/>
      <c r="J34" s="301"/>
      <c r="K34" s="301"/>
      <c r="L34" s="290"/>
      <c r="M34" s="291"/>
      <c r="N34" s="291"/>
      <c r="O34" s="291"/>
      <c r="P34" s="302"/>
      <c r="Q34" s="300"/>
      <c r="R34" s="301"/>
      <c r="S34" s="305"/>
      <c r="T34" s="300"/>
      <c r="U34" s="301"/>
      <c r="V34" s="301"/>
      <c r="W34" s="319"/>
      <c r="X34" s="320"/>
      <c r="Y34" s="320"/>
      <c r="Z34" s="320"/>
      <c r="AA34" s="321"/>
      <c r="AB34" s="300"/>
      <c r="AC34" s="301"/>
      <c r="AD34" s="305"/>
      <c r="AE34" s="300"/>
      <c r="AF34" s="301"/>
      <c r="AG34" s="301"/>
      <c r="AH34" s="305"/>
    </row>
    <row r="35" spans="1:34" ht="13.5" customHeight="1" x14ac:dyDescent="0.2">
      <c r="A35" s="318" t="s">
        <v>233</v>
      </c>
      <c r="B35" s="310"/>
      <c r="C35" s="310"/>
      <c r="D35" s="310"/>
      <c r="E35" s="315"/>
      <c r="F35" s="300"/>
      <c r="G35" s="301"/>
      <c r="H35" s="305"/>
      <c r="I35" s="300"/>
      <c r="J35" s="301"/>
      <c r="K35" s="301"/>
      <c r="L35" s="290"/>
      <c r="M35" s="291"/>
      <c r="N35" s="291"/>
      <c r="O35" s="291"/>
      <c r="P35" s="302"/>
      <c r="Q35" s="300"/>
      <c r="R35" s="301"/>
      <c r="S35" s="305"/>
      <c r="T35" s="300"/>
      <c r="U35" s="301"/>
      <c r="V35" s="301"/>
      <c r="W35" s="309"/>
      <c r="X35" s="310"/>
      <c r="Y35" s="310"/>
      <c r="Z35" s="310"/>
      <c r="AA35" s="315"/>
      <c r="AB35" s="300"/>
      <c r="AC35" s="301"/>
      <c r="AD35" s="305"/>
      <c r="AE35" s="300"/>
      <c r="AF35" s="301"/>
      <c r="AG35" s="301"/>
      <c r="AH35" s="305"/>
    </row>
    <row r="36" spans="1:34" ht="13.5" customHeight="1" x14ac:dyDescent="0.2">
      <c r="A36" s="329" t="s">
        <v>234</v>
      </c>
      <c r="B36" s="330"/>
      <c r="C36" s="330"/>
      <c r="D36" s="330"/>
      <c r="E36" s="334"/>
      <c r="F36" s="326"/>
      <c r="G36" s="327"/>
      <c r="H36" s="328"/>
      <c r="I36" s="326"/>
      <c r="J36" s="327"/>
      <c r="K36" s="327"/>
      <c r="L36" s="322"/>
      <c r="M36" s="323"/>
      <c r="N36" s="323"/>
      <c r="O36" s="323"/>
      <c r="P36" s="335"/>
      <c r="Q36" s="326"/>
      <c r="R36" s="327"/>
      <c r="S36" s="328"/>
      <c r="T36" s="326"/>
      <c r="U36" s="327"/>
      <c r="V36" s="328"/>
      <c r="W36" s="329" t="s">
        <v>135</v>
      </c>
      <c r="X36" s="330"/>
      <c r="Y36" s="330"/>
      <c r="Z36" s="330"/>
      <c r="AA36" s="330"/>
      <c r="AB36" s="326"/>
      <c r="AC36" s="327"/>
      <c r="AD36" s="328"/>
      <c r="AE36" s="326"/>
      <c r="AF36" s="327"/>
      <c r="AG36" s="327"/>
      <c r="AH36" s="328"/>
    </row>
    <row r="37" spans="1:34" x14ac:dyDescent="0.2">
      <c r="A37" s="331" t="s">
        <v>36</v>
      </c>
      <c r="B37" s="332"/>
      <c r="C37" s="332"/>
      <c r="D37" s="332" t="s">
        <v>17</v>
      </c>
      <c r="E37" s="332"/>
      <c r="F37" s="332" t="s">
        <v>12</v>
      </c>
      <c r="G37" s="332"/>
      <c r="H37" s="332"/>
      <c r="I37" s="332"/>
      <c r="J37" s="332"/>
      <c r="K37" s="332"/>
      <c r="L37" s="332"/>
      <c r="M37" s="332" t="s">
        <v>13</v>
      </c>
      <c r="N37" s="332"/>
      <c r="O37" s="332"/>
      <c r="P37" s="332"/>
      <c r="Q37" s="332"/>
      <c r="R37" s="332"/>
      <c r="S37" s="332"/>
      <c r="T37" s="332" t="s">
        <v>14</v>
      </c>
      <c r="U37" s="332"/>
      <c r="V37" s="332"/>
      <c r="W37" s="332"/>
      <c r="X37" s="332"/>
      <c r="Y37" s="332"/>
      <c r="Z37" s="332"/>
      <c r="AA37" s="332" t="s">
        <v>15</v>
      </c>
      <c r="AB37" s="332"/>
      <c r="AC37" s="332"/>
      <c r="AD37" s="332"/>
      <c r="AE37" s="332"/>
      <c r="AF37" s="332"/>
      <c r="AG37" s="332"/>
      <c r="AH37" s="333"/>
    </row>
    <row r="38" spans="1:34" x14ac:dyDescent="0.2">
      <c r="A38" s="339"/>
      <c r="B38" s="340"/>
      <c r="C38" s="340"/>
      <c r="D38" s="341"/>
      <c r="E38" s="341"/>
      <c r="F38" s="336"/>
      <c r="G38" s="336"/>
      <c r="H38" s="336"/>
      <c r="I38" s="336"/>
      <c r="J38" s="336"/>
      <c r="K38" s="336"/>
      <c r="L38" s="336"/>
      <c r="M38" s="336"/>
      <c r="N38" s="336"/>
      <c r="O38" s="336"/>
      <c r="P38" s="336"/>
      <c r="Q38" s="336"/>
      <c r="R38" s="336"/>
      <c r="S38" s="336"/>
      <c r="T38" s="342"/>
      <c r="U38" s="342"/>
      <c r="V38" s="342"/>
      <c r="W38" s="342"/>
      <c r="X38" s="342"/>
      <c r="Y38" s="342"/>
      <c r="Z38" s="342"/>
      <c r="AA38" s="336"/>
      <c r="AB38" s="337"/>
      <c r="AC38" s="337"/>
      <c r="AD38" s="337"/>
      <c r="AE38" s="337"/>
      <c r="AF38" s="337"/>
      <c r="AG38" s="337"/>
      <c r="AH38" s="338"/>
    </row>
    <row r="39" spans="1:34" x14ac:dyDescent="0.2">
      <c r="A39" s="339"/>
      <c r="B39" s="340"/>
      <c r="C39" s="340"/>
      <c r="D39" s="341"/>
      <c r="E39" s="341"/>
      <c r="F39" s="342"/>
      <c r="G39" s="342"/>
      <c r="H39" s="342"/>
      <c r="I39" s="342"/>
      <c r="J39" s="342"/>
      <c r="K39" s="342"/>
      <c r="L39" s="342"/>
      <c r="M39" s="336"/>
      <c r="N39" s="336"/>
      <c r="O39" s="336"/>
      <c r="P39" s="336"/>
      <c r="Q39" s="336"/>
      <c r="R39" s="336"/>
      <c r="S39" s="336"/>
      <c r="T39" s="342"/>
      <c r="U39" s="342"/>
      <c r="V39" s="342"/>
      <c r="W39" s="342"/>
      <c r="X39" s="342"/>
      <c r="Y39" s="342"/>
      <c r="Z39" s="342"/>
      <c r="AA39" s="336"/>
      <c r="AB39" s="337"/>
      <c r="AC39" s="337"/>
      <c r="AD39" s="337"/>
      <c r="AE39" s="337"/>
      <c r="AF39" s="337"/>
      <c r="AG39" s="337"/>
      <c r="AH39" s="338"/>
    </row>
    <row r="40" spans="1:34" x14ac:dyDescent="0.2">
      <c r="A40" s="339"/>
      <c r="B40" s="340"/>
      <c r="C40" s="340"/>
      <c r="D40" s="341"/>
      <c r="E40" s="341"/>
      <c r="F40" s="342"/>
      <c r="G40" s="342"/>
      <c r="H40" s="342"/>
      <c r="I40" s="342"/>
      <c r="J40" s="342"/>
      <c r="K40" s="342"/>
      <c r="L40" s="342"/>
      <c r="M40" s="336"/>
      <c r="N40" s="336"/>
      <c r="O40" s="336"/>
      <c r="P40" s="336"/>
      <c r="Q40" s="336"/>
      <c r="R40" s="336"/>
      <c r="S40" s="336"/>
      <c r="T40" s="336"/>
      <c r="U40" s="336"/>
      <c r="V40" s="336"/>
      <c r="W40" s="336"/>
      <c r="X40" s="336"/>
      <c r="Y40" s="336"/>
      <c r="Z40" s="336"/>
      <c r="AA40" s="336"/>
      <c r="AB40" s="337"/>
      <c r="AC40" s="337"/>
      <c r="AD40" s="337"/>
      <c r="AE40" s="337"/>
      <c r="AF40" s="337"/>
      <c r="AG40" s="337"/>
      <c r="AH40" s="338"/>
    </row>
    <row r="41" spans="1:34" x14ac:dyDescent="0.2">
      <c r="A41" s="339"/>
      <c r="B41" s="340"/>
      <c r="C41" s="340"/>
      <c r="D41" s="341"/>
      <c r="E41" s="341"/>
      <c r="F41" s="336"/>
      <c r="G41" s="336"/>
      <c r="H41" s="336"/>
      <c r="I41" s="336"/>
      <c r="J41" s="336"/>
      <c r="K41" s="336"/>
      <c r="L41" s="336"/>
      <c r="M41" s="336"/>
      <c r="N41" s="336"/>
      <c r="O41" s="336"/>
      <c r="P41" s="336"/>
      <c r="Q41" s="336"/>
      <c r="R41" s="336"/>
      <c r="S41" s="336"/>
      <c r="T41" s="336"/>
      <c r="U41" s="336"/>
      <c r="V41" s="336"/>
      <c r="W41" s="336"/>
      <c r="X41" s="336"/>
      <c r="Y41" s="336"/>
      <c r="Z41" s="336"/>
      <c r="AA41" s="336"/>
      <c r="AB41" s="337"/>
      <c r="AC41" s="337"/>
      <c r="AD41" s="337"/>
      <c r="AE41" s="337"/>
      <c r="AF41" s="337"/>
      <c r="AG41" s="337"/>
      <c r="AH41" s="338"/>
    </row>
    <row r="42" spans="1:34" x14ac:dyDescent="0.2">
      <c r="A42" s="365"/>
      <c r="B42" s="366"/>
      <c r="C42" s="366"/>
      <c r="D42" s="367"/>
      <c r="E42" s="367"/>
      <c r="F42" s="368"/>
      <c r="G42" s="368"/>
      <c r="H42" s="368"/>
      <c r="I42" s="368"/>
      <c r="J42" s="368"/>
      <c r="K42" s="368"/>
      <c r="L42" s="368"/>
      <c r="M42" s="368"/>
      <c r="N42" s="368"/>
      <c r="O42" s="368"/>
      <c r="P42" s="368"/>
      <c r="Q42" s="368"/>
      <c r="R42" s="368"/>
      <c r="S42" s="368"/>
      <c r="T42" s="368"/>
      <c r="U42" s="368"/>
      <c r="V42" s="368"/>
      <c r="W42" s="368"/>
      <c r="X42" s="368"/>
      <c r="Y42" s="368"/>
      <c r="Z42" s="368"/>
      <c r="AA42" s="368"/>
      <c r="AB42" s="369"/>
      <c r="AC42" s="369"/>
      <c r="AD42" s="369"/>
      <c r="AE42" s="369"/>
      <c r="AF42" s="369"/>
      <c r="AG42" s="369"/>
      <c r="AH42" s="370"/>
    </row>
    <row r="43" spans="1:34" x14ac:dyDescent="0.2">
      <c r="A43" s="371" t="s">
        <v>221</v>
      </c>
      <c r="B43" s="372"/>
      <c r="C43" s="372"/>
      <c r="D43" s="372"/>
      <c r="E43" s="372"/>
      <c r="F43" s="372"/>
      <c r="G43" s="372"/>
      <c r="H43" s="372"/>
      <c r="I43" s="372"/>
      <c r="J43" s="372"/>
      <c r="K43" s="372"/>
      <c r="L43" s="372"/>
      <c r="M43" s="372"/>
      <c r="N43" s="372"/>
      <c r="O43" s="372"/>
      <c r="P43" s="372"/>
      <c r="Q43" s="372"/>
      <c r="R43" s="372"/>
      <c r="S43" s="372"/>
      <c r="T43" s="372"/>
      <c r="U43" s="372"/>
      <c r="V43" s="372"/>
      <c r="W43" s="372"/>
      <c r="X43" s="372"/>
      <c r="Y43" s="372"/>
      <c r="Z43" s="372"/>
      <c r="AA43" s="372"/>
      <c r="AB43" s="372"/>
      <c r="AC43" s="372"/>
      <c r="AD43" s="372"/>
      <c r="AE43" s="372"/>
      <c r="AF43" s="372"/>
      <c r="AG43" s="372"/>
      <c r="AH43" s="373"/>
    </row>
    <row r="44" spans="1:34" ht="30.65" customHeight="1" x14ac:dyDescent="0.2">
      <c r="A44" s="374"/>
      <c r="B44" s="375"/>
      <c r="C44" s="375"/>
      <c r="D44" s="375"/>
      <c r="E44" s="375"/>
      <c r="F44" s="375"/>
      <c r="G44" s="375"/>
      <c r="H44" s="375"/>
      <c r="I44" s="375"/>
      <c r="J44" s="375"/>
      <c r="K44" s="375"/>
      <c r="L44" s="375"/>
      <c r="M44" s="375"/>
      <c r="N44" s="375"/>
      <c r="O44" s="375"/>
      <c r="P44" s="375"/>
      <c r="Q44" s="375"/>
      <c r="R44" s="375"/>
      <c r="S44" s="375"/>
      <c r="T44" s="375"/>
      <c r="U44" s="375"/>
      <c r="V44" s="375"/>
      <c r="W44" s="375"/>
      <c r="X44" s="375"/>
      <c r="Y44" s="375"/>
      <c r="Z44" s="375"/>
      <c r="AA44" s="375"/>
      <c r="AB44" s="375"/>
      <c r="AC44" s="375"/>
      <c r="AD44" s="375"/>
      <c r="AE44" s="375"/>
      <c r="AF44" s="375"/>
      <c r="AG44" s="375"/>
      <c r="AH44" s="376"/>
    </row>
    <row r="45" spans="1:34" x14ac:dyDescent="0.2">
      <c r="A45" s="377" t="s">
        <v>227</v>
      </c>
      <c r="B45" s="378"/>
      <c r="C45" s="378"/>
      <c r="D45" s="378"/>
      <c r="E45" s="378"/>
      <c r="F45" s="378"/>
      <c r="G45" s="378"/>
      <c r="H45" s="378"/>
      <c r="I45" s="378"/>
      <c r="J45" s="378"/>
      <c r="K45" s="378"/>
      <c r="L45" s="378"/>
      <c r="M45" s="378"/>
      <c r="N45" s="378"/>
      <c r="O45" s="378"/>
      <c r="P45" s="378"/>
      <c r="Q45" s="378"/>
      <c r="R45" s="378"/>
      <c r="S45" s="378"/>
      <c r="T45" s="378"/>
      <c r="U45" s="378"/>
      <c r="V45" s="378"/>
      <c r="W45" s="378"/>
      <c r="X45" s="378"/>
      <c r="Y45" s="378"/>
      <c r="Z45" s="378"/>
      <c r="AA45" s="378"/>
      <c r="AB45" s="378"/>
      <c r="AC45" s="378"/>
      <c r="AD45" s="378"/>
      <c r="AE45" s="378"/>
      <c r="AF45" s="378"/>
      <c r="AG45" s="378"/>
      <c r="AH45" s="379"/>
    </row>
    <row r="46" spans="1:34" x14ac:dyDescent="0.2">
      <c r="A46" s="380" t="s">
        <v>37</v>
      </c>
      <c r="B46" s="381"/>
      <c r="C46" s="381"/>
      <c r="D46" s="381"/>
      <c r="E46" s="381"/>
      <c r="F46" s="381"/>
      <c r="G46" s="381"/>
      <c r="H46" s="381"/>
      <c r="I46" s="381"/>
      <c r="J46" s="381"/>
      <c r="K46" s="381"/>
      <c r="L46" s="381"/>
      <c r="M46" s="381"/>
      <c r="N46" s="381"/>
      <c r="O46" s="381"/>
      <c r="P46" s="381"/>
      <c r="Q46" s="381"/>
      <c r="R46" s="381"/>
      <c r="S46" s="381"/>
      <c r="T46" s="381"/>
      <c r="U46" s="381"/>
      <c r="V46" s="381"/>
      <c r="W46" s="381"/>
      <c r="X46" s="381"/>
      <c r="Y46" s="381"/>
      <c r="Z46" s="381"/>
      <c r="AA46" s="381"/>
      <c r="AB46" s="381"/>
      <c r="AC46" s="381"/>
      <c r="AD46" s="381"/>
      <c r="AE46" s="381"/>
      <c r="AF46" s="381"/>
      <c r="AG46" s="381"/>
      <c r="AH46" s="382"/>
    </row>
    <row r="47" spans="1:34" x14ac:dyDescent="0.2">
      <c r="A47" s="343" t="s">
        <v>228</v>
      </c>
      <c r="B47" s="344"/>
      <c r="C47" s="344"/>
      <c r="D47" s="344"/>
      <c r="E47" s="344"/>
      <c r="F47" s="344"/>
      <c r="G47" s="344"/>
      <c r="H47" s="344"/>
      <c r="I47" s="344"/>
      <c r="J47" s="344"/>
      <c r="K47" s="344"/>
      <c r="L47" s="344"/>
      <c r="M47" s="344"/>
      <c r="N47" s="344"/>
      <c r="O47" s="344"/>
      <c r="P47" s="344"/>
      <c r="Q47" s="344"/>
      <c r="R47" s="344"/>
      <c r="S47" s="344"/>
      <c r="T47" s="344"/>
      <c r="U47" s="344"/>
      <c r="V47" s="344"/>
      <c r="W47" s="344"/>
      <c r="X47" s="344"/>
      <c r="Y47" s="344"/>
      <c r="Z47" s="344"/>
      <c r="AA47" s="345"/>
      <c r="AB47" s="345"/>
      <c r="AC47" s="345"/>
      <c r="AD47" s="345"/>
      <c r="AE47" s="345"/>
      <c r="AF47" s="345"/>
      <c r="AG47" s="345"/>
      <c r="AH47" s="346"/>
    </row>
    <row r="48" spans="1:34" x14ac:dyDescent="0.2">
      <c r="A48" s="347"/>
      <c r="B48" s="348"/>
      <c r="C48" s="348"/>
      <c r="D48" s="348"/>
      <c r="E48" s="348"/>
      <c r="F48" s="348"/>
      <c r="G48" s="348"/>
      <c r="H48" s="348"/>
      <c r="I48" s="348"/>
      <c r="J48" s="348"/>
      <c r="K48" s="348"/>
      <c r="L48" s="348"/>
      <c r="M48" s="348"/>
      <c r="N48" s="348"/>
      <c r="O48" s="348"/>
      <c r="P48" s="348"/>
      <c r="Q48" s="348"/>
      <c r="R48" s="348"/>
      <c r="S48" s="348"/>
      <c r="T48" s="348"/>
      <c r="U48" s="348"/>
      <c r="V48" s="348"/>
      <c r="W48" s="348"/>
      <c r="X48" s="348"/>
      <c r="Y48" s="348"/>
      <c r="Z48" s="348"/>
      <c r="AA48" s="349"/>
      <c r="AB48" s="349"/>
      <c r="AC48" s="349"/>
      <c r="AD48" s="349"/>
      <c r="AE48" s="349"/>
      <c r="AF48" s="349"/>
      <c r="AG48" s="349"/>
      <c r="AH48" s="350"/>
    </row>
    <row r="49" spans="1:34" x14ac:dyDescent="0.2">
      <c r="A49" s="347"/>
      <c r="B49" s="348"/>
      <c r="C49" s="348"/>
      <c r="D49" s="348"/>
      <c r="E49" s="348"/>
      <c r="F49" s="348"/>
      <c r="G49" s="348"/>
      <c r="H49" s="348"/>
      <c r="I49" s="348"/>
      <c r="J49" s="348"/>
      <c r="K49" s="348"/>
      <c r="L49" s="348"/>
      <c r="M49" s="348"/>
      <c r="N49" s="348"/>
      <c r="O49" s="348"/>
      <c r="P49" s="348"/>
      <c r="Q49" s="348"/>
      <c r="R49" s="348"/>
      <c r="S49" s="348"/>
      <c r="T49" s="348"/>
      <c r="U49" s="348"/>
      <c r="V49" s="348"/>
      <c r="W49" s="348"/>
      <c r="X49" s="348"/>
      <c r="Y49" s="348"/>
      <c r="Z49" s="348"/>
      <c r="AA49" s="349"/>
      <c r="AB49" s="349"/>
      <c r="AC49" s="349"/>
      <c r="AD49" s="349"/>
      <c r="AE49" s="349"/>
      <c r="AF49" s="349"/>
      <c r="AG49" s="349"/>
      <c r="AH49" s="350"/>
    </row>
    <row r="50" spans="1:34" x14ac:dyDescent="0.2">
      <c r="A50" s="347"/>
      <c r="B50" s="348"/>
      <c r="C50" s="348"/>
      <c r="D50" s="348"/>
      <c r="E50" s="348"/>
      <c r="F50" s="348"/>
      <c r="G50" s="348"/>
      <c r="H50" s="348"/>
      <c r="I50" s="348"/>
      <c r="J50" s="348"/>
      <c r="K50" s="348"/>
      <c r="L50" s="348"/>
      <c r="M50" s="348"/>
      <c r="N50" s="348"/>
      <c r="O50" s="348"/>
      <c r="P50" s="348"/>
      <c r="Q50" s="348"/>
      <c r="R50" s="348"/>
      <c r="S50" s="348"/>
      <c r="T50" s="348"/>
      <c r="U50" s="348"/>
      <c r="V50" s="348"/>
      <c r="W50" s="348"/>
      <c r="X50" s="348"/>
      <c r="Y50" s="348"/>
      <c r="Z50" s="348"/>
      <c r="AA50" s="349"/>
      <c r="AB50" s="349"/>
      <c r="AC50" s="349"/>
      <c r="AD50" s="349"/>
      <c r="AE50" s="349"/>
      <c r="AF50" s="349"/>
      <c r="AG50" s="349"/>
      <c r="AH50" s="350"/>
    </row>
    <row r="51" spans="1:34" x14ac:dyDescent="0.2">
      <c r="A51" s="347"/>
      <c r="B51" s="348"/>
      <c r="C51" s="348"/>
      <c r="D51" s="348"/>
      <c r="E51" s="348"/>
      <c r="F51" s="348"/>
      <c r="G51" s="348"/>
      <c r="H51" s="348"/>
      <c r="I51" s="348"/>
      <c r="J51" s="348"/>
      <c r="K51" s="348"/>
      <c r="L51" s="348"/>
      <c r="M51" s="348"/>
      <c r="N51" s="348"/>
      <c r="O51" s="348"/>
      <c r="P51" s="348"/>
      <c r="Q51" s="348"/>
      <c r="R51" s="348"/>
      <c r="S51" s="348"/>
      <c r="T51" s="348"/>
      <c r="U51" s="348"/>
      <c r="V51" s="348"/>
      <c r="W51" s="348"/>
      <c r="X51" s="348"/>
      <c r="Y51" s="348"/>
      <c r="Z51" s="348"/>
      <c r="AA51" s="349"/>
      <c r="AB51" s="349"/>
      <c r="AC51" s="349"/>
      <c r="AD51" s="349"/>
      <c r="AE51" s="349"/>
      <c r="AF51" s="349"/>
      <c r="AG51" s="349"/>
      <c r="AH51" s="350"/>
    </row>
    <row r="52" spans="1:34" ht="12.65" customHeight="1" x14ac:dyDescent="0.2">
      <c r="A52" s="347"/>
      <c r="B52" s="348"/>
      <c r="C52" s="348"/>
      <c r="D52" s="348"/>
      <c r="E52" s="348"/>
      <c r="F52" s="348"/>
      <c r="G52" s="348"/>
      <c r="H52" s="348"/>
      <c r="I52" s="348"/>
      <c r="J52" s="348"/>
      <c r="K52" s="348"/>
      <c r="L52" s="348"/>
      <c r="M52" s="348"/>
      <c r="N52" s="348"/>
      <c r="O52" s="348"/>
      <c r="P52" s="348"/>
      <c r="Q52" s="348"/>
      <c r="R52" s="348"/>
      <c r="S52" s="348"/>
      <c r="T52" s="348"/>
      <c r="U52" s="348"/>
      <c r="V52" s="348"/>
      <c r="W52" s="348"/>
      <c r="X52" s="348"/>
      <c r="Y52" s="348"/>
      <c r="Z52" s="348"/>
      <c r="AA52" s="349"/>
      <c r="AB52" s="349"/>
      <c r="AC52" s="349"/>
      <c r="AD52" s="349"/>
      <c r="AE52" s="349"/>
      <c r="AF52" s="349"/>
      <c r="AG52" s="349"/>
      <c r="AH52" s="350"/>
    </row>
    <row r="53" spans="1:34" x14ac:dyDescent="0.2">
      <c r="A53" s="347"/>
      <c r="B53" s="348"/>
      <c r="C53" s="348"/>
      <c r="D53" s="348"/>
      <c r="E53" s="348"/>
      <c r="F53" s="348"/>
      <c r="G53" s="348"/>
      <c r="H53" s="348"/>
      <c r="I53" s="348"/>
      <c r="J53" s="348"/>
      <c r="K53" s="348"/>
      <c r="L53" s="348"/>
      <c r="M53" s="348"/>
      <c r="N53" s="348"/>
      <c r="O53" s="348"/>
      <c r="P53" s="348"/>
      <c r="Q53" s="348"/>
      <c r="R53" s="348"/>
      <c r="S53" s="348"/>
      <c r="T53" s="348"/>
      <c r="U53" s="348"/>
      <c r="V53" s="348"/>
      <c r="W53" s="348"/>
      <c r="X53" s="348"/>
      <c r="Y53" s="348"/>
      <c r="Z53" s="348"/>
      <c r="AA53" s="349"/>
      <c r="AB53" s="349"/>
      <c r="AC53" s="349"/>
      <c r="AD53" s="349"/>
      <c r="AE53" s="349"/>
      <c r="AF53" s="349"/>
      <c r="AG53" s="349"/>
      <c r="AH53" s="350"/>
    </row>
    <row r="54" spans="1:34" x14ac:dyDescent="0.2">
      <c r="A54" s="347"/>
      <c r="B54" s="348"/>
      <c r="C54" s="348"/>
      <c r="D54" s="348"/>
      <c r="E54" s="348"/>
      <c r="F54" s="348"/>
      <c r="G54" s="348"/>
      <c r="H54" s="348"/>
      <c r="I54" s="348"/>
      <c r="J54" s="348"/>
      <c r="K54" s="348"/>
      <c r="L54" s="348"/>
      <c r="M54" s="348"/>
      <c r="N54" s="348"/>
      <c r="O54" s="348"/>
      <c r="P54" s="348"/>
      <c r="Q54" s="348"/>
      <c r="R54" s="348"/>
      <c r="S54" s="348"/>
      <c r="T54" s="348"/>
      <c r="U54" s="348"/>
      <c r="V54" s="348"/>
      <c r="W54" s="348"/>
      <c r="X54" s="348"/>
      <c r="Y54" s="348"/>
      <c r="Z54" s="348"/>
      <c r="AA54" s="349"/>
      <c r="AB54" s="349"/>
      <c r="AC54" s="349"/>
      <c r="AD54" s="349"/>
      <c r="AE54" s="349"/>
      <c r="AF54" s="349"/>
      <c r="AG54" s="349"/>
      <c r="AH54" s="350"/>
    </row>
    <row r="55" spans="1:34" x14ac:dyDescent="0.2">
      <c r="A55" s="347"/>
      <c r="B55" s="348"/>
      <c r="C55" s="348"/>
      <c r="D55" s="348"/>
      <c r="E55" s="348"/>
      <c r="F55" s="348"/>
      <c r="G55" s="348"/>
      <c r="H55" s="348"/>
      <c r="I55" s="348"/>
      <c r="J55" s="348"/>
      <c r="K55" s="348"/>
      <c r="L55" s="348"/>
      <c r="M55" s="348"/>
      <c r="N55" s="348"/>
      <c r="O55" s="348"/>
      <c r="P55" s="348"/>
      <c r="Q55" s="348"/>
      <c r="R55" s="348"/>
      <c r="S55" s="348"/>
      <c r="T55" s="348"/>
      <c r="U55" s="348"/>
      <c r="V55" s="348"/>
      <c r="W55" s="348"/>
      <c r="X55" s="348"/>
      <c r="Y55" s="348"/>
      <c r="Z55" s="348"/>
      <c r="AA55" s="349"/>
      <c r="AB55" s="349"/>
      <c r="AC55" s="349"/>
      <c r="AD55" s="349"/>
      <c r="AE55" s="349"/>
      <c r="AF55" s="349"/>
      <c r="AG55" s="349"/>
      <c r="AH55" s="350"/>
    </row>
    <row r="56" spans="1:34" x14ac:dyDescent="0.2">
      <c r="A56" s="347"/>
      <c r="B56" s="348"/>
      <c r="C56" s="348"/>
      <c r="D56" s="348"/>
      <c r="E56" s="348"/>
      <c r="F56" s="348"/>
      <c r="G56" s="348"/>
      <c r="H56" s="348"/>
      <c r="I56" s="348"/>
      <c r="J56" s="348"/>
      <c r="K56" s="348"/>
      <c r="L56" s="348"/>
      <c r="M56" s="348"/>
      <c r="N56" s="348"/>
      <c r="O56" s="348"/>
      <c r="P56" s="348"/>
      <c r="Q56" s="348"/>
      <c r="R56" s="348"/>
      <c r="S56" s="348"/>
      <c r="T56" s="348"/>
      <c r="U56" s="348"/>
      <c r="V56" s="348"/>
      <c r="W56" s="348"/>
      <c r="X56" s="348"/>
      <c r="Y56" s="348"/>
      <c r="Z56" s="348"/>
      <c r="AA56" s="349"/>
      <c r="AB56" s="349"/>
      <c r="AC56" s="349"/>
      <c r="AD56" s="349"/>
      <c r="AE56" s="349"/>
      <c r="AF56" s="349"/>
      <c r="AG56" s="349"/>
      <c r="AH56" s="350"/>
    </row>
    <row r="57" spans="1:34" x14ac:dyDescent="0.2">
      <c r="A57" s="351"/>
      <c r="B57" s="349"/>
      <c r="C57" s="349"/>
      <c r="D57" s="349"/>
      <c r="E57" s="349"/>
      <c r="F57" s="349"/>
      <c r="G57" s="349"/>
      <c r="H57" s="349"/>
      <c r="I57" s="349"/>
      <c r="J57" s="349"/>
      <c r="K57" s="349"/>
      <c r="L57" s="349"/>
      <c r="M57" s="349"/>
      <c r="N57" s="349"/>
      <c r="O57" s="349"/>
      <c r="P57" s="349"/>
      <c r="Q57" s="349"/>
      <c r="R57" s="349"/>
      <c r="S57" s="349"/>
      <c r="T57" s="349"/>
      <c r="U57" s="349"/>
      <c r="V57" s="349"/>
      <c r="W57" s="349"/>
      <c r="X57" s="349"/>
      <c r="Y57" s="349"/>
      <c r="Z57" s="349"/>
      <c r="AA57" s="349"/>
      <c r="AB57" s="349"/>
      <c r="AC57" s="349"/>
      <c r="AD57" s="349"/>
      <c r="AE57" s="349"/>
      <c r="AF57" s="349"/>
      <c r="AG57" s="349"/>
      <c r="AH57" s="350"/>
    </row>
    <row r="58" spans="1:34" x14ac:dyDescent="0.2">
      <c r="A58" s="351"/>
      <c r="B58" s="349"/>
      <c r="C58" s="349"/>
      <c r="D58" s="349"/>
      <c r="E58" s="349"/>
      <c r="F58" s="349"/>
      <c r="G58" s="349"/>
      <c r="H58" s="349"/>
      <c r="I58" s="349"/>
      <c r="J58" s="349"/>
      <c r="K58" s="349"/>
      <c r="L58" s="349"/>
      <c r="M58" s="349"/>
      <c r="N58" s="349"/>
      <c r="O58" s="349"/>
      <c r="P58" s="349"/>
      <c r="Q58" s="349"/>
      <c r="R58" s="349"/>
      <c r="S58" s="349"/>
      <c r="T58" s="349"/>
      <c r="U58" s="349"/>
      <c r="V58" s="349"/>
      <c r="W58" s="349"/>
      <c r="X58" s="349"/>
      <c r="Y58" s="349"/>
      <c r="Z58" s="349"/>
      <c r="AA58" s="349"/>
      <c r="AB58" s="349"/>
      <c r="AC58" s="349"/>
      <c r="AD58" s="349"/>
      <c r="AE58" s="349"/>
      <c r="AF58" s="349"/>
      <c r="AG58" s="349"/>
      <c r="AH58" s="350"/>
    </row>
    <row r="59" spans="1:34" x14ac:dyDescent="0.2">
      <c r="A59" s="351"/>
      <c r="B59" s="349"/>
      <c r="C59" s="349"/>
      <c r="D59" s="349"/>
      <c r="E59" s="349"/>
      <c r="F59" s="349"/>
      <c r="G59" s="349"/>
      <c r="H59" s="349"/>
      <c r="I59" s="349"/>
      <c r="J59" s="349"/>
      <c r="K59" s="349"/>
      <c r="L59" s="349"/>
      <c r="M59" s="349"/>
      <c r="N59" s="349"/>
      <c r="O59" s="349"/>
      <c r="P59" s="349"/>
      <c r="Q59" s="349"/>
      <c r="R59" s="349"/>
      <c r="S59" s="349"/>
      <c r="T59" s="349"/>
      <c r="U59" s="349"/>
      <c r="V59" s="349"/>
      <c r="W59" s="349"/>
      <c r="X59" s="349"/>
      <c r="Y59" s="349"/>
      <c r="Z59" s="349"/>
      <c r="AA59" s="349"/>
      <c r="AB59" s="349"/>
      <c r="AC59" s="349"/>
      <c r="AD59" s="349"/>
      <c r="AE59" s="349"/>
      <c r="AF59" s="349"/>
      <c r="AG59" s="349"/>
      <c r="AH59" s="350"/>
    </row>
    <row r="60" spans="1:34" x14ac:dyDescent="0.2">
      <c r="A60" s="352"/>
      <c r="B60" s="353"/>
      <c r="C60" s="353"/>
      <c r="D60" s="353"/>
      <c r="E60" s="353"/>
      <c r="F60" s="353"/>
      <c r="G60" s="353"/>
      <c r="H60" s="353"/>
      <c r="I60" s="353"/>
      <c r="J60" s="353"/>
      <c r="K60" s="353"/>
      <c r="L60" s="353"/>
      <c r="M60" s="353"/>
      <c r="N60" s="353"/>
      <c r="O60" s="353"/>
      <c r="P60" s="353"/>
      <c r="Q60" s="353"/>
      <c r="R60" s="353"/>
      <c r="S60" s="353"/>
      <c r="T60" s="353"/>
      <c r="U60" s="353"/>
      <c r="V60" s="353"/>
      <c r="W60" s="353"/>
      <c r="X60" s="353"/>
      <c r="Y60" s="353"/>
      <c r="Z60" s="353"/>
      <c r="AA60" s="353"/>
      <c r="AB60" s="353"/>
      <c r="AC60" s="353"/>
      <c r="AD60" s="353"/>
      <c r="AE60" s="353"/>
      <c r="AF60" s="353"/>
      <c r="AG60" s="353"/>
      <c r="AH60" s="354"/>
    </row>
  </sheetData>
  <mergeCells count="268">
    <mergeCell ref="A47:AH60"/>
    <mergeCell ref="L32:P33"/>
    <mergeCell ref="Q32:S33"/>
    <mergeCell ref="T32:V33"/>
    <mergeCell ref="A42:C42"/>
    <mergeCell ref="D42:E42"/>
    <mergeCell ref="F42:L42"/>
    <mergeCell ref="M42:S42"/>
    <mergeCell ref="T42:Z42"/>
    <mergeCell ref="AA42:AH42"/>
    <mergeCell ref="A43:AH44"/>
    <mergeCell ref="A45:AH45"/>
    <mergeCell ref="A46:AH46"/>
    <mergeCell ref="A40:C40"/>
    <mergeCell ref="D40:E40"/>
    <mergeCell ref="F40:L40"/>
    <mergeCell ref="M40:S40"/>
    <mergeCell ref="T40:Z40"/>
    <mergeCell ref="AA40:AH40"/>
    <mergeCell ref="A41:C41"/>
    <mergeCell ref="D41:E41"/>
    <mergeCell ref="F41:L41"/>
    <mergeCell ref="M41:S41"/>
    <mergeCell ref="T41:Z41"/>
    <mergeCell ref="AA41:AH41"/>
    <mergeCell ref="A38:C38"/>
    <mergeCell ref="D38:E38"/>
    <mergeCell ref="F38:L38"/>
    <mergeCell ref="M38:S38"/>
    <mergeCell ref="T38:Z38"/>
    <mergeCell ref="AA38:AH38"/>
    <mergeCell ref="A39:C39"/>
    <mergeCell ref="D39:E39"/>
    <mergeCell ref="F39:L39"/>
    <mergeCell ref="M39:S39"/>
    <mergeCell ref="T39:Z39"/>
    <mergeCell ref="AA39:AH39"/>
    <mergeCell ref="T36:V36"/>
    <mergeCell ref="W36:AA36"/>
    <mergeCell ref="AB36:AD36"/>
    <mergeCell ref="AE36:AH36"/>
    <mergeCell ref="A37:C37"/>
    <mergeCell ref="D37:E37"/>
    <mergeCell ref="F37:L37"/>
    <mergeCell ref="M37:S37"/>
    <mergeCell ref="T37:Z37"/>
    <mergeCell ref="AA37:AH37"/>
    <mergeCell ref="A36:E36"/>
    <mergeCell ref="F36:H36"/>
    <mergeCell ref="I36:K36"/>
    <mergeCell ref="L36:P36"/>
    <mergeCell ref="Q36:S36"/>
    <mergeCell ref="W32:AA32"/>
    <mergeCell ref="AB32:AD32"/>
    <mergeCell ref="AE32:AH32"/>
    <mergeCell ref="A33:E33"/>
    <mergeCell ref="F33:H33"/>
    <mergeCell ref="I33:K33"/>
    <mergeCell ref="W33:AA33"/>
    <mergeCell ref="AB33:AD33"/>
    <mergeCell ref="AE33:AH33"/>
    <mergeCell ref="A32:E32"/>
    <mergeCell ref="F32:H32"/>
    <mergeCell ref="I32:K32"/>
    <mergeCell ref="AC18:AG18"/>
    <mergeCell ref="A19:F19"/>
    <mergeCell ref="H19:M19"/>
    <mergeCell ref="O19:T19"/>
    <mergeCell ref="V19:AA19"/>
    <mergeCell ref="AC19:AG19"/>
    <mergeCell ref="A20:AH20"/>
    <mergeCell ref="A30:E30"/>
    <mergeCell ref="F30:H30"/>
    <mergeCell ref="I30:K30"/>
    <mergeCell ref="L30:P30"/>
    <mergeCell ref="Q30:S30"/>
    <mergeCell ref="T30:V30"/>
    <mergeCell ref="W30:AA30"/>
    <mergeCell ref="AB30:AD30"/>
    <mergeCell ref="AE30:AH30"/>
    <mergeCell ref="AE29:AH29"/>
    <mergeCell ref="AB28:AD28"/>
    <mergeCell ref="AE28:AH28"/>
    <mergeCell ref="A29:E29"/>
    <mergeCell ref="F29:H29"/>
    <mergeCell ref="I29:K29"/>
    <mergeCell ref="Q29:S29"/>
    <mergeCell ref="T29:V29"/>
    <mergeCell ref="A35:E35"/>
    <mergeCell ref="F35:H35"/>
    <mergeCell ref="I35:K35"/>
    <mergeCell ref="L35:P35"/>
    <mergeCell ref="Q35:S35"/>
    <mergeCell ref="T35:V35"/>
    <mergeCell ref="W35:AA35"/>
    <mergeCell ref="AB35:AD35"/>
    <mergeCell ref="AE35:AH35"/>
    <mergeCell ref="A34:E34"/>
    <mergeCell ref="F34:H34"/>
    <mergeCell ref="I34:K34"/>
    <mergeCell ref="L34:P34"/>
    <mergeCell ref="Q34:S34"/>
    <mergeCell ref="T34:V34"/>
    <mergeCell ref="W34:AA34"/>
    <mergeCell ref="AB34:AD34"/>
    <mergeCell ref="AE34:AH34"/>
    <mergeCell ref="A31:E31"/>
    <mergeCell ref="F31:H31"/>
    <mergeCell ref="I31:K31"/>
    <mergeCell ref="L31:P31"/>
    <mergeCell ref="Q31:S31"/>
    <mergeCell ref="T31:V31"/>
    <mergeCell ref="W31:AA31"/>
    <mergeCell ref="AB31:AD31"/>
    <mergeCell ref="AE31:AH31"/>
    <mergeCell ref="W29:AA29"/>
    <mergeCell ref="AB29:AD29"/>
    <mergeCell ref="W27:AA27"/>
    <mergeCell ref="AB27:AD27"/>
    <mergeCell ref="AE27:AH27"/>
    <mergeCell ref="A28:E28"/>
    <mergeCell ref="F28:H28"/>
    <mergeCell ref="I28:K28"/>
    <mergeCell ref="Q28:S28"/>
    <mergeCell ref="T28:V28"/>
    <mergeCell ref="W28:AA28"/>
    <mergeCell ref="A27:E27"/>
    <mergeCell ref="F27:H27"/>
    <mergeCell ref="I27:K27"/>
    <mergeCell ref="Q27:S27"/>
    <mergeCell ref="T27:V27"/>
    <mergeCell ref="A26:E26"/>
    <mergeCell ref="F26:H26"/>
    <mergeCell ref="I26:K26"/>
    <mergeCell ref="Q26:S26"/>
    <mergeCell ref="T26:V26"/>
    <mergeCell ref="W26:AA26"/>
    <mergeCell ref="AB26:AD26"/>
    <mergeCell ref="AE26:AH26"/>
    <mergeCell ref="A25:E25"/>
    <mergeCell ref="F25:H25"/>
    <mergeCell ref="I25:K25"/>
    <mergeCell ref="Q25:S25"/>
    <mergeCell ref="T25:V25"/>
    <mergeCell ref="W25:AA25"/>
    <mergeCell ref="AB25:AD25"/>
    <mergeCell ref="AE25:AH25"/>
    <mergeCell ref="W23:AA23"/>
    <mergeCell ref="AB23:AD23"/>
    <mergeCell ref="AE23:AH23"/>
    <mergeCell ref="A24:E24"/>
    <mergeCell ref="F24:H24"/>
    <mergeCell ref="I24:K24"/>
    <mergeCell ref="L24:P24"/>
    <mergeCell ref="Q24:S24"/>
    <mergeCell ref="T24:V24"/>
    <mergeCell ref="W24:AA24"/>
    <mergeCell ref="A23:E23"/>
    <mergeCell ref="F23:H23"/>
    <mergeCell ref="I23:K23"/>
    <mergeCell ref="L23:P23"/>
    <mergeCell ref="Q23:S23"/>
    <mergeCell ref="T23:V23"/>
    <mergeCell ref="AB24:AD24"/>
    <mergeCell ref="AE24:AH24"/>
    <mergeCell ref="A22:E22"/>
    <mergeCell ref="F22:H22"/>
    <mergeCell ref="I22:K22"/>
    <mergeCell ref="L22:P22"/>
    <mergeCell ref="Q22:S22"/>
    <mergeCell ref="T22:V22"/>
    <mergeCell ref="W22:AA22"/>
    <mergeCell ref="AB22:AD22"/>
    <mergeCell ref="AE22:AH22"/>
    <mergeCell ref="A21:E21"/>
    <mergeCell ref="F21:H21"/>
    <mergeCell ref="I21:K21"/>
    <mergeCell ref="L21:P21"/>
    <mergeCell ref="Q21:S21"/>
    <mergeCell ref="T21:V21"/>
    <mergeCell ref="W21:AA21"/>
    <mergeCell ref="AB21:AD21"/>
    <mergeCell ref="AE21:AH21"/>
    <mergeCell ref="A18:F18"/>
    <mergeCell ref="H18:M18"/>
    <mergeCell ref="O18:T18"/>
    <mergeCell ref="V18:AA18"/>
    <mergeCell ref="A14:F14"/>
    <mergeCell ref="H14:M14"/>
    <mergeCell ref="O14:T14"/>
    <mergeCell ref="V14:AA14"/>
    <mergeCell ref="AC14:AG14"/>
    <mergeCell ref="A15:F15"/>
    <mergeCell ref="H15:M15"/>
    <mergeCell ref="O15:T15"/>
    <mergeCell ref="V15:AA15"/>
    <mergeCell ref="AC15:AG15"/>
    <mergeCell ref="A16:F16"/>
    <mergeCell ref="H16:M16"/>
    <mergeCell ref="O16:T16"/>
    <mergeCell ref="V16:AA16"/>
    <mergeCell ref="AC16:AG16"/>
    <mergeCell ref="A17:F17"/>
    <mergeCell ref="H17:M17"/>
    <mergeCell ref="O17:T17"/>
    <mergeCell ref="V17:AA17"/>
    <mergeCell ref="AC17:AG17"/>
    <mergeCell ref="A12:F12"/>
    <mergeCell ref="H12:M12"/>
    <mergeCell ref="O12:T12"/>
    <mergeCell ref="V12:AA12"/>
    <mergeCell ref="AC12:AG12"/>
    <mergeCell ref="A13:F13"/>
    <mergeCell ref="H13:M13"/>
    <mergeCell ref="O13:T13"/>
    <mergeCell ref="V13:AA13"/>
    <mergeCell ref="AC13:AG13"/>
    <mergeCell ref="A10:F10"/>
    <mergeCell ref="H10:M10"/>
    <mergeCell ref="O10:T10"/>
    <mergeCell ref="V10:AA10"/>
    <mergeCell ref="AC10:AG10"/>
    <mergeCell ref="A11:F11"/>
    <mergeCell ref="H11:M11"/>
    <mergeCell ref="O11:T11"/>
    <mergeCell ref="V11:AA11"/>
    <mergeCell ref="AC11:AG11"/>
    <mergeCell ref="A8:F8"/>
    <mergeCell ref="H8:M8"/>
    <mergeCell ref="O8:T8"/>
    <mergeCell ref="V8:AA8"/>
    <mergeCell ref="AC8:AG8"/>
    <mergeCell ref="A9:F9"/>
    <mergeCell ref="H9:M9"/>
    <mergeCell ref="O9:T9"/>
    <mergeCell ref="V9:AA9"/>
    <mergeCell ref="AC9:AG9"/>
    <mergeCell ref="A6:F6"/>
    <mergeCell ref="H6:M6"/>
    <mergeCell ref="O6:T6"/>
    <mergeCell ref="V6:AA6"/>
    <mergeCell ref="AC6:AG6"/>
    <mergeCell ref="A7:F7"/>
    <mergeCell ref="H7:M7"/>
    <mergeCell ref="O7:T7"/>
    <mergeCell ref="V7:AA7"/>
    <mergeCell ref="AC7:AG7"/>
    <mergeCell ref="A4:F4"/>
    <mergeCell ref="H4:M4"/>
    <mergeCell ref="O4:T4"/>
    <mergeCell ref="V4:AA4"/>
    <mergeCell ref="AC4:AG4"/>
    <mergeCell ref="A5:F5"/>
    <mergeCell ref="H5:M5"/>
    <mergeCell ref="O5:T5"/>
    <mergeCell ref="V5:AA5"/>
    <mergeCell ref="AC5:AG5"/>
    <mergeCell ref="A1:AH1"/>
    <mergeCell ref="A2:F2"/>
    <mergeCell ref="H2:M2"/>
    <mergeCell ref="O2:T2"/>
    <mergeCell ref="V2:AA2"/>
    <mergeCell ref="AC2:AG2"/>
    <mergeCell ref="A3:F3"/>
    <mergeCell ref="H3:M3"/>
    <mergeCell ref="O3:T3"/>
    <mergeCell ref="V3:AA3"/>
    <mergeCell ref="AC3:AG3"/>
  </mergeCells>
  <phoneticPr fontId="1"/>
  <pageMargins left="0.64" right="0.45" top="0.51" bottom="0.56999999999999995" header="0.31" footer="0.51200000000000001"/>
  <pageSetup paperSize="9" scale="99" fitToWidth="0" orientation="portrait" horizontalDpi="4294967293" vertic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rgb="FFFF0000"/>
    <pageSetUpPr fitToPage="1"/>
  </sheetPr>
  <dimension ref="A1:AH60"/>
  <sheetViews>
    <sheetView topLeftCell="A10" workbookViewId="0">
      <selection activeCell="A20" sqref="A20:AH20"/>
    </sheetView>
  </sheetViews>
  <sheetFormatPr defaultRowHeight="13" x14ac:dyDescent="0.2"/>
  <cols>
    <col min="1" max="47" width="2.6328125" customWidth="1"/>
  </cols>
  <sheetData>
    <row r="1" spans="1:34" ht="19.5" customHeight="1" x14ac:dyDescent="0.2">
      <c r="A1" s="282" t="s">
        <v>254</v>
      </c>
      <c r="B1" s="283"/>
      <c r="C1" s="283"/>
      <c r="D1" s="283"/>
      <c r="E1" s="283"/>
      <c r="F1" s="283"/>
      <c r="G1" s="283"/>
      <c r="H1" s="283"/>
      <c r="I1" s="283"/>
      <c r="J1" s="283"/>
      <c r="K1" s="283"/>
      <c r="L1" s="283"/>
      <c r="M1" s="283"/>
      <c r="N1" s="283"/>
      <c r="O1" s="283"/>
      <c r="P1" s="283"/>
      <c r="Q1" s="283"/>
      <c r="R1" s="283"/>
      <c r="S1" s="283"/>
      <c r="T1" s="283"/>
      <c r="U1" s="283"/>
      <c r="V1" s="283"/>
      <c r="W1" s="283"/>
      <c r="X1" s="283"/>
      <c r="Y1" s="283"/>
      <c r="Z1" s="283"/>
      <c r="AA1" s="283"/>
      <c r="AB1" s="283"/>
      <c r="AC1" s="283"/>
      <c r="AD1" s="283"/>
      <c r="AE1" s="283"/>
      <c r="AF1" s="283"/>
      <c r="AG1" s="283"/>
      <c r="AH1" s="284"/>
    </row>
    <row r="2" spans="1:34" x14ac:dyDescent="0.2">
      <c r="A2" s="285" t="s">
        <v>34</v>
      </c>
      <c r="B2" s="286"/>
      <c r="C2" s="286"/>
      <c r="D2" s="286"/>
      <c r="E2" s="286"/>
      <c r="F2" s="286"/>
      <c r="G2" s="17" t="s">
        <v>35</v>
      </c>
      <c r="H2" s="285" t="s">
        <v>34</v>
      </c>
      <c r="I2" s="286"/>
      <c r="J2" s="286"/>
      <c r="K2" s="286"/>
      <c r="L2" s="286"/>
      <c r="M2" s="286"/>
      <c r="N2" s="17" t="s">
        <v>35</v>
      </c>
      <c r="O2" s="285" t="s">
        <v>34</v>
      </c>
      <c r="P2" s="286"/>
      <c r="Q2" s="286"/>
      <c r="R2" s="286"/>
      <c r="S2" s="286"/>
      <c r="T2" s="286"/>
      <c r="U2" s="17" t="s">
        <v>35</v>
      </c>
      <c r="V2" s="285" t="s">
        <v>34</v>
      </c>
      <c r="W2" s="286"/>
      <c r="X2" s="286"/>
      <c r="Y2" s="286"/>
      <c r="Z2" s="286"/>
      <c r="AA2" s="286"/>
      <c r="AB2" s="17" t="s">
        <v>35</v>
      </c>
      <c r="AC2" s="285" t="s">
        <v>34</v>
      </c>
      <c r="AD2" s="286"/>
      <c r="AE2" s="286"/>
      <c r="AF2" s="286"/>
      <c r="AG2" s="286"/>
      <c r="AH2" s="17" t="s">
        <v>35</v>
      </c>
    </row>
    <row r="3" spans="1:34" x14ac:dyDescent="0.2">
      <c r="A3" s="287" t="s">
        <v>40</v>
      </c>
      <c r="B3" s="288"/>
      <c r="C3" s="288"/>
      <c r="D3" s="288"/>
      <c r="E3" s="288"/>
      <c r="F3" s="289"/>
      <c r="G3" s="36"/>
      <c r="H3" s="287" t="s">
        <v>22</v>
      </c>
      <c r="I3" s="288"/>
      <c r="J3" s="288"/>
      <c r="K3" s="288"/>
      <c r="L3" s="288"/>
      <c r="M3" s="289"/>
      <c r="N3" s="36"/>
      <c r="O3" s="287" t="s">
        <v>30</v>
      </c>
      <c r="P3" s="288"/>
      <c r="Q3" s="288"/>
      <c r="R3" s="288"/>
      <c r="S3" s="288"/>
      <c r="T3" s="289"/>
      <c r="U3" s="36"/>
      <c r="V3" s="287" t="s">
        <v>216</v>
      </c>
      <c r="W3" s="288"/>
      <c r="X3" s="288"/>
      <c r="Y3" s="288"/>
      <c r="Z3" s="288"/>
      <c r="AA3" s="289"/>
      <c r="AB3" s="16"/>
      <c r="AC3" s="383" t="s">
        <v>240</v>
      </c>
      <c r="AD3" s="384"/>
      <c r="AE3" s="384"/>
      <c r="AF3" s="384"/>
      <c r="AG3" s="384"/>
      <c r="AH3" s="16"/>
    </row>
    <row r="4" spans="1:34" x14ac:dyDescent="0.2">
      <c r="A4" s="290" t="s">
        <v>18</v>
      </c>
      <c r="B4" s="291"/>
      <c r="C4" s="291"/>
      <c r="D4" s="291"/>
      <c r="E4" s="291"/>
      <c r="F4" s="292"/>
      <c r="G4" s="14"/>
      <c r="H4" s="290" t="s">
        <v>23</v>
      </c>
      <c r="I4" s="291"/>
      <c r="J4" s="291"/>
      <c r="K4" s="291"/>
      <c r="L4" s="291"/>
      <c r="M4" s="292"/>
      <c r="N4" s="14"/>
      <c r="O4" s="290" t="s">
        <v>134</v>
      </c>
      <c r="P4" s="291"/>
      <c r="Q4" s="291"/>
      <c r="R4" s="291"/>
      <c r="S4" s="291"/>
      <c r="T4" s="292"/>
      <c r="U4" s="14"/>
      <c r="V4" s="290" t="s">
        <v>216</v>
      </c>
      <c r="W4" s="291"/>
      <c r="X4" s="291"/>
      <c r="Y4" s="291"/>
      <c r="Z4" s="291"/>
      <c r="AA4" s="292"/>
      <c r="AB4" s="16"/>
      <c r="AC4" s="385" t="s">
        <v>240</v>
      </c>
      <c r="AD4" s="386"/>
      <c r="AE4" s="386"/>
      <c r="AF4" s="386"/>
      <c r="AG4" s="387"/>
      <c r="AH4" s="14"/>
    </row>
    <row r="5" spans="1:34" x14ac:dyDescent="0.2">
      <c r="A5" s="290" t="s">
        <v>88</v>
      </c>
      <c r="B5" s="291"/>
      <c r="C5" s="291"/>
      <c r="D5" s="291"/>
      <c r="E5" s="291"/>
      <c r="F5" s="292"/>
      <c r="G5" s="14"/>
      <c r="H5" s="290" t="s">
        <v>41</v>
      </c>
      <c r="I5" s="291"/>
      <c r="J5" s="291"/>
      <c r="K5" s="291"/>
      <c r="L5" s="291"/>
      <c r="M5" s="292"/>
      <c r="N5" s="14"/>
      <c r="O5" s="290" t="s">
        <v>151</v>
      </c>
      <c r="P5" s="291"/>
      <c r="Q5" s="291"/>
      <c r="R5" s="291"/>
      <c r="S5" s="291"/>
      <c r="T5" s="292"/>
      <c r="U5" s="14"/>
      <c r="V5" s="290" t="s">
        <v>217</v>
      </c>
      <c r="W5" s="291"/>
      <c r="X5" s="291"/>
      <c r="Y5" s="291"/>
      <c r="Z5" s="291"/>
      <c r="AA5" s="292"/>
      <c r="AB5" s="16"/>
      <c r="AC5" s="385" t="s">
        <v>240</v>
      </c>
      <c r="AD5" s="386"/>
      <c r="AE5" s="386"/>
      <c r="AF5" s="386"/>
      <c r="AG5" s="387"/>
      <c r="AH5" s="14"/>
    </row>
    <row r="6" spans="1:34" x14ac:dyDescent="0.2">
      <c r="A6" s="290" t="s">
        <v>19</v>
      </c>
      <c r="B6" s="291"/>
      <c r="C6" s="291"/>
      <c r="D6" s="291"/>
      <c r="E6" s="291"/>
      <c r="F6" s="292"/>
      <c r="G6" s="14"/>
      <c r="H6" s="290" t="s">
        <v>24</v>
      </c>
      <c r="I6" s="291"/>
      <c r="J6" s="291"/>
      <c r="K6" s="291"/>
      <c r="L6" s="291"/>
      <c r="M6" s="292"/>
      <c r="N6" s="14"/>
      <c r="O6" s="290" t="s">
        <v>125</v>
      </c>
      <c r="P6" s="291"/>
      <c r="Q6" s="291"/>
      <c r="R6" s="291"/>
      <c r="S6" s="291"/>
      <c r="T6" s="292"/>
      <c r="U6" s="14"/>
      <c r="V6" s="290" t="s">
        <v>218</v>
      </c>
      <c r="W6" s="291"/>
      <c r="X6" s="291"/>
      <c r="Y6" s="291"/>
      <c r="Z6" s="291"/>
      <c r="AA6" s="292"/>
      <c r="AB6" s="16"/>
      <c r="AC6" s="385" t="s">
        <v>240</v>
      </c>
      <c r="AD6" s="386"/>
      <c r="AE6" s="386"/>
      <c r="AF6" s="386"/>
      <c r="AG6" s="387"/>
      <c r="AH6" s="14"/>
    </row>
    <row r="7" spans="1:34" x14ac:dyDescent="0.2">
      <c r="A7" s="290" t="s">
        <v>20</v>
      </c>
      <c r="B7" s="291"/>
      <c r="C7" s="291"/>
      <c r="D7" s="291"/>
      <c r="E7" s="291"/>
      <c r="F7" s="292"/>
      <c r="G7" s="14"/>
      <c r="H7" s="290" t="s">
        <v>25</v>
      </c>
      <c r="I7" s="291"/>
      <c r="J7" s="291"/>
      <c r="K7" s="291"/>
      <c r="L7" s="291"/>
      <c r="M7" s="292"/>
      <c r="N7" s="14"/>
      <c r="O7" s="290" t="s">
        <v>106</v>
      </c>
      <c r="P7" s="291"/>
      <c r="Q7" s="291"/>
      <c r="R7" s="291"/>
      <c r="S7" s="291"/>
      <c r="T7" s="292"/>
      <c r="U7" s="14"/>
      <c r="V7" s="290" t="s">
        <v>219</v>
      </c>
      <c r="W7" s="291"/>
      <c r="X7" s="291"/>
      <c r="Y7" s="291"/>
      <c r="Z7" s="291"/>
      <c r="AA7" s="292"/>
      <c r="AB7" s="16"/>
      <c r="AC7" s="385" t="s">
        <v>240</v>
      </c>
      <c r="AD7" s="386"/>
      <c r="AE7" s="386"/>
      <c r="AF7" s="386"/>
      <c r="AG7" s="387"/>
      <c r="AH7" s="14"/>
    </row>
    <row r="8" spans="1:34" x14ac:dyDescent="0.2">
      <c r="A8" s="290" t="s">
        <v>44</v>
      </c>
      <c r="B8" s="291"/>
      <c r="C8" s="291"/>
      <c r="D8" s="291"/>
      <c r="E8" s="291"/>
      <c r="F8" s="292"/>
      <c r="G8" s="14"/>
      <c r="H8" s="290" t="s">
        <v>26</v>
      </c>
      <c r="I8" s="291"/>
      <c r="J8" s="291"/>
      <c r="K8" s="291"/>
      <c r="L8" s="291"/>
      <c r="M8" s="292"/>
      <c r="N8" s="14"/>
      <c r="O8" s="290" t="s">
        <v>31</v>
      </c>
      <c r="P8" s="291"/>
      <c r="Q8" s="291"/>
      <c r="R8" s="291"/>
      <c r="S8" s="291"/>
      <c r="T8" s="292"/>
      <c r="U8" s="14"/>
      <c r="V8" s="290" t="s">
        <v>220</v>
      </c>
      <c r="W8" s="291"/>
      <c r="X8" s="291"/>
      <c r="Y8" s="291"/>
      <c r="Z8" s="291"/>
      <c r="AA8" s="292"/>
      <c r="AB8" s="16"/>
      <c r="AC8" s="290"/>
      <c r="AD8" s="291"/>
      <c r="AE8" s="291"/>
      <c r="AF8" s="291"/>
      <c r="AG8" s="292"/>
      <c r="AH8" s="14"/>
    </row>
    <row r="9" spans="1:34" x14ac:dyDescent="0.2">
      <c r="A9" s="290" t="s">
        <v>38</v>
      </c>
      <c r="B9" s="291"/>
      <c r="C9" s="291"/>
      <c r="D9" s="291"/>
      <c r="E9" s="291"/>
      <c r="F9" s="292"/>
      <c r="G9" s="14"/>
      <c r="H9" s="290" t="s">
        <v>27</v>
      </c>
      <c r="I9" s="291"/>
      <c r="J9" s="291"/>
      <c r="K9" s="291"/>
      <c r="L9" s="291"/>
      <c r="M9" s="292"/>
      <c r="N9" s="14"/>
      <c r="O9" s="290" t="s">
        <v>32</v>
      </c>
      <c r="P9" s="291"/>
      <c r="Q9" s="291"/>
      <c r="R9" s="291"/>
      <c r="S9" s="291"/>
      <c r="T9" s="292"/>
      <c r="U9" s="14"/>
      <c r="V9" s="290" t="s">
        <v>45</v>
      </c>
      <c r="W9" s="291"/>
      <c r="X9" s="291"/>
      <c r="Y9" s="291"/>
      <c r="Z9" s="291"/>
      <c r="AA9" s="292"/>
      <c r="AB9" s="16"/>
      <c r="AC9" s="290"/>
      <c r="AD9" s="291"/>
      <c r="AE9" s="291"/>
      <c r="AF9" s="291"/>
      <c r="AG9" s="292"/>
      <c r="AH9" s="14"/>
    </row>
    <row r="10" spans="1:34" x14ac:dyDescent="0.2">
      <c r="A10" s="290" t="s">
        <v>21</v>
      </c>
      <c r="B10" s="291"/>
      <c r="C10" s="291"/>
      <c r="D10" s="291"/>
      <c r="E10" s="291"/>
      <c r="F10" s="292"/>
      <c r="G10" s="14"/>
      <c r="H10" s="290" t="s">
        <v>46</v>
      </c>
      <c r="I10" s="291"/>
      <c r="J10" s="291"/>
      <c r="K10" s="291"/>
      <c r="L10" s="291"/>
      <c r="M10" s="292"/>
      <c r="N10" s="14"/>
      <c r="O10" s="290" t="s">
        <v>107</v>
      </c>
      <c r="P10" s="291"/>
      <c r="Q10" s="291"/>
      <c r="R10" s="291"/>
      <c r="S10" s="291"/>
      <c r="T10" s="292"/>
      <c r="U10" s="14"/>
      <c r="V10" s="290" t="s">
        <v>48</v>
      </c>
      <c r="W10" s="291"/>
      <c r="X10" s="291"/>
      <c r="Y10" s="291"/>
      <c r="Z10" s="291"/>
      <c r="AA10" s="292"/>
      <c r="AB10" s="16"/>
      <c r="AC10" s="290"/>
      <c r="AD10" s="291"/>
      <c r="AE10" s="291"/>
      <c r="AF10" s="291"/>
      <c r="AG10" s="292"/>
      <c r="AH10" s="14"/>
    </row>
    <row r="11" spans="1:34" x14ac:dyDescent="0.2">
      <c r="A11" s="290" t="s">
        <v>49</v>
      </c>
      <c r="B11" s="291"/>
      <c r="C11" s="291"/>
      <c r="D11" s="291"/>
      <c r="E11" s="291"/>
      <c r="F11" s="292"/>
      <c r="G11" s="14"/>
      <c r="H11" s="290" t="s">
        <v>28</v>
      </c>
      <c r="I11" s="291"/>
      <c r="J11" s="291"/>
      <c r="K11" s="291"/>
      <c r="L11" s="291"/>
      <c r="M11" s="292"/>
      <c r="N11" s="14"/>
      <c r="O11" s="290"/>
      <c r="P11" s="291"/>
      <c r="Q11" s="291"/>
      <c r="R11" s="291"/>
      <c r="S11" s="291"/>
      <c r="T11" s="292"/>
      <c r="U11" s="14"/>
      <c r="V11" s="290" t="s">
        <v>96</v>
      </c>
      <c r="W11" s="291"/>
      <c r="X11" s="291"/>
      <c r="Y11" s="291"/>
      <c r="Z11" s="291"/>
      <c r="AA11" s="292"/>
      <c r="AB11" s="16"/>
      <c r="AC11" s="290"/>
      <c r="AD11" s="291"/>
      <c r="AE11" s="291"/>
      <c r="AF11" s="291"/>
      <c r="AG11" s="292"/>
      <c r="AH11" s="14"/>
    </row>
    <row r="12" spans="1:34" x14ac:dyDescent="0.2">
      <c r="A12" s="290" t="s">
        <v>51</v>
      </c>
      <c r="B12" s="291"/>
      <c r="C12" s="291"/>
      <c r="D12" s="291"/>
      <c r="E12" s="291"/>
      <c r="F12" s="292"/>
      <c r="G12" s="14"/>
      <c r="H12" s="290" t="s">
        <v>29</v>
      </c>
      <c r="I12" s="291"/>
      <c r="J12" s="291"/>
      <c r="K12" s="291"/>
      <c r="L12" s="291"/>
      <c r="M12" s="292"/>
      <c r="N12" s="14"/>
      <c r="O12" s="290" t="s">
        <v>50</v>
      </c>
      <c r="P12" s="291"/>
      <c r="Q12" s="291"/>
      <c r="R12" s="291"/>
      <c r="S12" s="291"/>
      <c r="T12" s="292"/>
      <c r="U12" s="14"/>
      <c r="V12" s="290" t="s">
        <v>97</v>
      </c>
      <c r="W12" s="291"/>
      <c r="X12" s="291"/>
      <c r="Y12" s="291"/>
      <c r="Z12" s="291"/>
      <c r="AA12" s="292"/>
      <c r="AB12" s="16"/>
      <c r="AC12" s="290"/>
      <c r="AD12" s="291"/>
      <c r="AE12" s="291"/>
      <c r="AF12" s="291"/>
      <c r="AG12" s="292"/>
      <c r="AH12" s="14"/>
    </row>
    <row r="13" spans="1:34" x14ac:dyDescent="0.2">
      <c r="A13" s="290" t="s">
        <v>53</v>
      </c>
      <c r="B13" s="291"/>
      <c r="C13" s="291"/>
      <c r="D13" s="291"/>
      <c r="E13" s="291"/>
      <c r="F13" s="292"/>
      <c r="G13" s="14"/>
      <c r="H13" s="290" t="s">
        <v>105</v>
      </c>
      <c r="I13" s="291"/>
      <c r="J13" s="291"/>
      <c r="K13" s="291"/>
      <c r="L13" s="291"/>
      <c r="M13" s="292"/>
      <c r="N13" s="14"/>
      <c r="O13" s="290" t="s">
        <v>52</v>
      </c>
      <c r="P13" s="291"/>
      <c r="Q13" s="291"/>
      <c r="R13" s="291"/>
      <c r="S13" s="291"/>
      <c r="T13" s="292"/>
      <c r="U13" s="14"/>
      <c r="V13" s="290" t="s">
        <v>131</v>
      </c>
      <c r="W13" s="291"/>
      <c r="X13" s="291"/>
      <c r="Y13" s="291"/>
      <c r="Z13" s="291"/>
      <c r="AA13" s="292"/>
      <c r="AB13" s="16"/>
      <c r="AC13" s="290"/>
      <c r="AD13" s="291"/>
      <c r="AE13" s="291"/>
      <c r="AF13" s="291"/>
      <c r="AG13" s="292"/>
      <c r="AH13" s="14"/>
    </row>
    <row r="14" spans="1:34" x14ac:dyDescent="0.2">
      <c r="A14" s="290" t="s">
        <v>90</v>
      </c>
      <c r="B14" s="291"/>
      <c r="C14" s="291"/>
      <c r="D14" s="291"/>
      <c r="E14" s="291"/>
      <c r="F14" s="292"/>
      <c r="G14" s="14"/>
      <c r="H14" s="290" t="s">
        <v>98</v>
      </c>
      <c r="I14" s="291"/>
      <c r="J14" s="291"/>
      <c r="K14" s="291"/>
      <c r="L14" s="291"/>
      <c r="M14" s="292"/>
      <c r="N14" s="14"/>
      <c r="O14" s="290" t="s">
        <v>39</v>
      </c>
      <c r="P14" s="291"/>
      <c r="Q14" s="291"/>
      <c r="R14" s="291"/>
      <c r="S14" s="291"/>
      <c r="T14" s="292"/>
      <c r="U14" s="14"/>
      <c r="V14" s="290" t="s">
        <v>114</v>
      </c>
      <c r="W14" s="291"/>
      <c r="X14" s="291"/>
      <c r="Y14" s="291"/>
      <c r="Z14" s="291"/>
      <c r="AA14" s="292"/>
      <c r="AB14" s="16"/>
      <c r="AC14" s="290"/>
      <c r="AD14" s="291"/>
      <c r="AE14" s="291"/>
      <c r="AF14" s="291"/>
      <c r="AG14" s="292"/>
      <c r="AH14" s="14"/>
    </row>
    <row r="15" spans="1:34" x14ac:dyDescent="0.2">
      <c r="A15" s="290" t="s">
        <v>91</v>
      </c>
      <c r="B15" s="291"/>
      <c r="C15" s="291"/>
      <c r="D15" s="291"/>
      <c r="E15" s="291"/>
      <c r="F15" s="292"/>
      <c r="G15" s="14"/>
      <c r="H15" s="290"/>
      <c r="I15" s="291"/>
      <c r="J15" s="291"/>
      <c r="K15" s="291"/>
      <c r="L15" s="291"/>
      <c r="M15" s="292"/>
      <c r="N15" s="14"/>
      <c r="O15" s="290"/>
      <c r="P15" s="291"/>
      <c r="Q15" s="291"/>
      <c r="R15" s="291"/>
      <c r="S15" s="291"/>
      <c r="T15" s="292"/>
      <c r="U15" s="14"/>
      <c r="V15" s="290" t="s">
        <v>113</v>
      </c>
      <c r="W15" s="291"/>
      <c r="X15" s="291"/>
      <c r="Y15" s="291"/>
      <c r="Z15" s="291"/>
      <c r="AA15" s="292"/>
      <c r="AB15" s="14"/>
      <c r="AC15" s="290"/>
      <c r="AD15" s="291"/>
      <c r="AE15" s="291"/>
      <c r="AF15" s="291"/>
      <c r="AG15" s="292"/>
      <c r="AH15" s="14"/>
    </row>
    <row r="16" spans="1:34" x14ac:dyDescent="0.2">
      <c r="A16" s="290" t="s">
        <v>92</v>
      </c>
      <c r="B16" s="291"/>
      <c r="C16" s="291"/>
      <c r="D16" s="291"/>
      <c r="E16" s="291"/>
      <c r="F16" s="292"/>
      <c r="G16" s="14"/>
      <c r="H16" s="290" t="s">
        <v>204</v>
      </c>
      <c r="I16" s="291"/>
      <c r="J16" s="291"/>
      <c r="K16" s="291"/>
      <c r="L16" s="291"/>
      <c r="M16" s="292"/>
      <c r="N16" s="14"/>
      <c r="O16" s="290" t="s">
        <v>78</v>
      </c>
      <c r="P16" s="291"/>
      <c r="Q16" s="291"/>
      <c r="R16" s="291"/>
      <c r="S16" s="291"/>
      <c r="T16" s="292"/>
      <c r="U16" s="14"/>
      <c r="V16" s="290" t="s">
        <v>121</v>
      </c>
      <c r="W16" s="291"/>
      <c r="X16" s="291"/>
      <c r="Y16" s="291"/>
      <c r="Z16" s="291"/>
      <c r="AA16" s="292"/>
      <c r="AB16" s="16"/>
      <c r="AC16" s="290"/>
      <c r="AD16" s="291"/>
      <c r="AE16" s="291"/>
      <c r="AF16" s="291"/>
      <c r="AG16" s="292"/>
      <c r="AH16" s="14"/>
    </row>
    <row r="17" spans="1:34" x14ac:dyDescent="0.2">
      <c r="A17" s="388" t="s">
        <v>242</v>
      </c>
      <c r="B17" s="389"/>
      <c r="C17" s="389"/>
      <c r="D17" s="389"/>
      <c r="E17" s="389"/>
      <c r="F17" s="390"/>
      <c r="G17" s="14"/>
      <c r="H17" s="290"/>
      <c r="I17" s="291"/>
      <c r="J17" s="291"/>
      <c r="K17" s="291"/>
      <c r="L17" s="291"/>
      <c r="M17" s="292"/>
      <c r="N17" s="14"/>
      <c r="O17" s="290"/>
      <c r="P17" s="291"/>
      <c r="Q17" s="291"/>
      <c r="R17" s="291"/>
      <c r="S17" s="291"/>
      <c r="T17" s="292"/>
      <c r="U17" s="14"/>
      <c r="V17" s="290"/>
      <c r="W17" s="291"/>
      <c r="X17" s="291"/>
      <c r="Y17" s="291"/>
      <c r="Z17" s="291"/>
      <c r="AA17" s="292"/>
      <c r="AB17" s="16"/>
      <c r="AC17" s="290"/>
      <c r="AD17" s="291"/>
      <c r="AE17" s="291"/>
      <c r="AF17" s="291"/>
      <c r="AG17" s="292"/>
      <c r="AH17" s="14"/>
    </row>
    <row r="18" spans="1:34" x14ac:dyDescent="0.2">
      <c r="A18" s="290" t="s">
        <v>243</v>
      </c>
      <c r="B18" s="291"/>
      <c r="C18" s="291"/>
      <c r="D18" s="291"/>
      <c r="E18" s="291"/>
      <c r="F18" s="292"/>
      <c r="G18" s="14"/>
      <c r="H18" s="290"/>
      <c r="I18" s="291"/>
      <c r="J18" s="291"/>
      <c r="K18" s="291"/>
      <c r="L18" s="291"/>
      <c r="M18" s="292"/>
      <c r="N18" s="14"/>
      <c r="O18" s="290"/>
      <c r="P18" s="291"/>
      <c r="Q18" s="291"/>
      <c r="R18" s="291"/>
      <c r="S18" s="291"/>
      <c r="T18" s="292"/>
      <c r="U18" s="14"/>
      <c r="V18" s="290"/>
      <c r="W18" s="291"/>
      <c r="X18" s="291"/>
      <c r="Y18" s="291"/>
      <c r="Z18" s="291"/>
      <c r="AA18" s="292"/>
      <c r="AB18" s="14"/>
      <c r="AC18" s="290"/>
      <c r="AD18" s="291"/>
      <c r="AE18" s="291"/>
      <c r="AF18" s="291"/>
      <c r="AG18" s="292"/>
      <c r="AH18" s="14"/>
    </row>
    <row r="19" spans="1:34" ht="13.5" customHeight="1" x14ac:dyDescent="0.2">
      <c r="A19" s="322"/>
      <c r="B19" s="323"/>
      <c r="C19" s="323"/>
      <c r="D19" s="323"/>
      <c r="E19" s="323"/>
      <c r="F19" s="324"/>
      <c r="G19" s="16"/>
      <c r="H19" s="322"/>
      <c r="I19" s="323"/>
      <c r="J19" s="323"/>
      <c r="K19" s="323"/>
      <c r="L19" s="323"/>
      <c r="M19" s="324"/>
      <c r="N19" s="15"/>
      <c r="O19" s="322"/>
      <c r="P19" s="323"/>
      <c r="Q19" s="323"/>
      <c r="R19" s="323"/>
      <c r="S19" s="323"/>
      <c r="T19" s="324"/>
      <c r="U19" s="14"/>
      <c r="V19" s="322"/>
      <c r="W19" s="323"/>
      <c r="X19" s="323"/>
      <c r="Y19" s="323"/>
      <c r="Z19" s="323"/>
      <c r="AA19" s="324"/>
      <c r="AB19" s="15"/>
      <c r="AC19" s="322"/>
      <c r="AD19" s="323"/>
      <c r="AE19" s="323"/>
      <c r="AF19" s="323"/>
      <c r="AG19" s="324"/>
      <c r="AH19" s="15"/>
    </row>
    <row r="20" spans="1:34" ht="19.5" customHeight="1" x14ac:dyDescent="0.2">
      <c r="A20" s="325" t="s">
        <v>255</v>
      </c>
      <c r="B20" s="283"/>
      <c r="C20" s="283"/>
      <c r="D20" s="283"/>
      <c r="E20" s="283"/>
      <c r="F20" s="283"/>
      <c r="G20" s="283"/>
      <c r="H20" s="283"/>
      <c r="I20" s="283"/>
      <c r="J20" s="283"/>
      <c r="K20" s="283"/>
      <c r="L20" s="283"/>
      <c r="M20" s="283"/>
      <c r="N20" s="283"/>
      <c r="O20" s="283"/>
      <c r="P20" s="283"/>
      <c r="Q20" s="283"/>
      <c r="R20" s="283"/>
      <c r="S20" s="283"/>
      <c r="T20" s="283"/>
      <c r="U20" s="283"/>
      <c r="V20" s="283"/>
      <c r="W20" s="283"/>
      <c r="X20" s="283"/>
      <c r="Y20" s="283"/>
      <c r="Z20" s="283"/>
      <c r="AA20" s="283"/>
      <c r="AB20" s="283"/>
      <c r="AC20" s="283"/>
      <c r="AD20" s="283"/>
      <c r="AE20" s="283"/>
      <c r="AF20" s="283"/>
      <c r="AG20" s="283"/>
      <c r="AH20" s="284"/>
    </row>
    <row r="21" spans="1:34" ht="13.5" customHeight="1" x14ac:dyDescent="0.2">
      <c r="A21" s="285" t="s">
        <v>34</v>
      </c>
      <c r="B21" s="286"/>
      <c r="C21" s="286"/>
      <c r="D21" s="286"/>
      <c r="E21" s="293"/>
      <c r="F21" s="285" t="s">
        <v>99</v>
      </c>
      <c r="G21" s="286"/>
      <c r="H21" s="294"/>
      <c r="I21" s="285" t="s">
        <v>100</v>
      </c>
      <c r="J21" s="286"/>
      <c r="K21" s="286"/>
      <c r="L21" s="285" t="s">
        <v>34</v>
      </c>
      <c r="M21" s="286"/>
      <c r="N21" s="286"/>
      <c r="O21" s="286"/>
      <c r="P21" s="293"/>
      <c r="Q21" s="285" t="s">
        <v>99</v>
      </c>
      <c r="R21" s="286"/>
      <c r="S21" s="294"/>
      <c r="T21" s="285" t="s">
        <v>100</v>
      </c>
      <c r="U21" s="286"/>
      <c r="V21" s="286"/>
      <c r="W21" s="285" t="s">
        <v>34</v>
      </c>
      <c r="X21" s="286"/>
      <c r="Y21" s="286"/>
      <c r="Z21" s="286"/>
      <c r="AA21" s="286"/>
      <c r="AB21" s="285" t="s">
        <v>99</v>
      </c>
      <c r="AC21" s="295"/>
      <c r="AD21" s="296"/>
      <c r="AE21" s="285" t="s">
        <v>100</v>
      </c>
      <c r="AF21" s="295"/>
      <c r="AG21" s="295"/>
      <c r="AH21" s="296"/>
    </row>
    <row r="22" spans="1:34" ht="13.5" customHeight="1" x14ac:dyDescent="0.2">
      <c r="A22" s="297" t="s">
        <v>145</v>
      </c>
      <c r="B22" s="298"/>
      <c r="C22" s="298"/>
      <c r="D22" s="298"/>
      <c r="E22" s="299"/>
      <c r="F22" s="306"/>
      <c r="G22" s="307"/>
      <c r="H22" s="308"/>
      <c r="I22" s="306"/>
      <c r="J22" s="307"/>
      <c r="K22" s="308"/>
      <c r="L22" s="287" t="s">
        <v>147</v>
      </c>
      <c r="M22" s="391"/>
      <c r="N22" s="391"/>
      <c r="O22" s="391"/>
      <c r="P22" s="392"/>
      <c r="Q22" s="306"/>
      <c r="R22" s="307"/>
      <c r="S22" s="308"/>
      <c r="T22" s="306"/>
      <c r="U22" s="307"/>
      <c r="V22" s="308"/>
      <c r="W22" s="303" t="s">
        <v>138</v>
      </c>
      <c r="X22" s="304"/>
      <c r="Y22" s="304"/>
      <c r="Z22" s="304"/>
      <c r="AA22" s="393"/>
      <c r="AB22" s="306"/>
      <c r="AC22" s="307"/>
      <c r="AD22" s="308"/>
      <c r="AE22" s="306"/>
      <c r="AF22" s="307"/>
      <c r="AG22" s="307"/>
      <c r="AH22" s="308"/>
    </row>
    <row r="23" spans="1:34" ht="13.5" customHeight="1" x14ac:dyDescent="0.2">
      <c r="A23" s="311" t="s">
        <v>139</v>
      </c>
      <c r="B23" s="394"/>
      <c r="C23" s="394"/>
      <c r="D23" s="394"/>
      <c r="E23" s="395"/>
      <c r="F23" s="300"/>
      <c r="G23" s="301"/>
      <c r="H23" s="305"/>
      <c r="I23" s="300"/>
      <c r="J23" s="301"/>
      <c r="K23" s="305"/>
      <c r="L23" s="290" t="s">
        <v>148</v>
      </c>
      <c r="M23" s="396"/>
      <c r="N23" s="396"/>
      <c r="O23" s="396"/>
      <c r="P23" s="397"/>
      <c r="Q23" s="300"/>
      <c r="R23" s="301"/>
      <c r="S23" s="305"/>
      <c r="T23" s="300"/>
      <c r="U23" s="301"/>
      <c r="V23" s="305"/>
      <c r="W23" s="309"/>
      <c r="X23" s="310"/>
      <c r="Y23" s="310"/>
      <c r="Z23" s="310"/>
      <c r="AA23" s="315"/>
      <c r="AB23" s="300"/>
      <c r="AC23" s="301"/>
      <c r="AD23" s="305"/>
      <c r="AE23" s="300"/>
      <c r="AF23" s="301"/>
      <c r="AG23" s="301"/>
      <c r="AH23" s="305"/>
    </row>
    <row r="24" spans="1:34" ht="13.5" customHeight="1" x14ac:dyDescent="0.2">
      <c r="A24" s="314" t="s">
        <v>140</v>
      </c>
      <c r="B24" s="316"/>
      <c r="C24" s="316"/>
      <c r="D24" s="316"/>
      <c r="E24" s="317"/>
      <c r="F24" s="300"/>
      <c r="G24" s="301"/>
      <c r="H24" s="305"/>
      <c r="I24" s="300"/>
      <c r="J24" s="301"/>
      <c r="K24" s="305"/>
      <c r="L24" s="290" t="s">
        <v>149</v>
      </c>
      <c r="M24" s="396"/>
      <c r="N24" s="396"/>
      <c r="O24" s="396"/>
      <c r="P24" s="397"/>
      <c r="Q24" s="300"/>
      <c r="R24" s="301"/>
      <c r="S24" s="305"/>
      <c r="T24" s="300"/>
      <c r="U24" s="301"/>
      <c r="V24" s="305"/>
      <c r="W24" s="309"/>
      <c r="X24" s="310"/>
      <c r="Y24" s="310"/>
      <c r="Z24" s="310"/>
      <c r="AA24" s="315"/>
      <c r="AB24" s="300"/>
      <c r="AC24" s="301"/>
      <c r="AD24" s="305"/>
      <c r="AE24" s="300"/>
      <c r="AF24" s="301"/>
      <c r="AG24" s="301"/>
      <c r="AH24" s="305"/>
    </row>
    <row r="25" spans="1:34" ht="13.5" customHeight="1" x14ac:dyDescent="0.2">
      <c r="A25" s="314" t="s">
        <v>142</v>
      </c>
      <c r="B25" s="316"/>
      <c r="C25" s="316"/>
      <c r="D25" s="316"/>
      <c r="E25" s="317"/>
      <c r="F25" s="300"/>
      <c r="G25" s="301"/>
      <c r="H25" s="305"/>
      <c r="I25" s="300"/>
      <c r="J25" s="301"/>
      <c r="K25" s="305"/>
      <c r="L25" s="108" t="s">
        <v>150</v>
      </c>
      <c r="M25" s="109"/>
      <c r="N25" s="109"/>
      <c r="O25" s="109"/>
      <c r="P25" s="110"/>
      <c r="Q25" s="300"/>
      <c r="R25" s="301"/>
      <c r="S25" s="305"/>
      <c r="T25" s="300"/>
      <c r="U25" s="301"/>
      <c r="V25" s="305"/>
      <c r="W25" s="309"/>
      <c r="X25" s="310"/>
      <c r="Y25" s="310"/>
      <c r="Z25" s="310"/>
      <c r="AA25" s="315"/>
      <c r="AB25" s="300"/>
      <c r="AC25" s="301"/>
      <c r="AD25" s="305"/>
      <c r="AE25" s="300"/>
      <c r="AF25" s="301"/>
      <c r="AG25" s="301"/>
      <c r="AH25" s="305"/>
    </row>
    <row r="26" spans="1:34" ht="13.5" customHeight="1" x14ac:dyDescent="0.2">
      <c r="A26" s="314" t="s">
        <v>231</v>
      </c>
      <c r="B26" s="316"/>
      <c r="C26" s="316"/>
      <c r="D26" s="316"/>
      <c r="E26" s="317"/>
      <c r="F26" s="300"/>
      <c r="G26" s="301"/>
      <c r="H26" s="305"/>
      <c r="I26" s="300"/>
      <c r="J26" s="301"/>
      <c r="K26" s="305"/>
      <c r="L26" s="108" t="s">
        <v>150</v>
      </c>
      <c r="M26" s="109"/>
      <c r="N26" s="109"/>
      <c r="O26" s="109"/>
      <c r="P26" s="110"/>
      <c r="Q26" s="300"/>
      <c r="R26" s="301"/>
      <c r="S26" s="305"/>
      <c r="T26" s="300"/>
      <c r="U26" s="301"/>
      <c r="V26" s="305"/>
      <c r="W26" s="309" t="s">
        <v>141</v>
      </c>
      <c r="X26" s="310"/>
      <c r="Y26" s="310"/>
      <c r="Z26" s="310"/>
      <c r="AA26" s="315"/>
      <c r="AB26" s="300"/>
      <c r="AC26" s="301"/>
      <c r="AD26" s="305"/>
      <c r="AE26" s="300"/>
      <c r="AF26" s="301"/>
      <c r="AG26" s="301"/>
      <c r="AH26" s="305"/>
    </row>
    <row r="27" spans="1:34" ht="13.5" customHeight="1" x14ac:dyDescent="0.2">
      <c r="A27" s="314" t="s">
        <v>231</v>
      </c>
      <c r="B27" s="316"/>
      <c r="C27" s="316"/>
      <c r="D27" s="316"/>
      <c r="E27" s="317"/>
      <c r="F27" s="300"/>
      <c r="G27" s="301"/>
      <c r="H27" s="305"/>
      <c r="I27" s="300"/>
      <c r="J27" s="301"/>
      <c r="K27" s="305"/>
      <c r="L27" s="398" t="s">
        <v>241</v>
      </c>
      <c r="M27" s="399"/>
      <c r="N27" s="399"/>
      <c r="O27" s="399"/>
      <c r="P27" s="400"/>
      <c r="Q27" s="300"/>
      <c r="R27" s="301"/>
      <c r="S27" s="305"/>
      <c r="T27" s="300"/>
      <c r="U27" s="301"/>
      <c r="V27" s="305"/>
      <c r="W27" s="309" t="s">
        <v>143</v>
      </c>
      <c r="X27" s="310"/>
      <c r="Y27" s="310"/>
      <c r="Z27" s="310"/>
      <c r="AA27" s="315"/>
      <c r="AB27" s="300"/>
      <c r="AC27" s="301"/>
      <c r="AD27" s="305"/>
      <c r="AE27" s="300"/>
      <c r="AF27" s="301"/>
      <c r="AG27" s="301"/>
      <c r="AH27" s="305"/>
    </row>
    <row r="28" spans="1:34" ht="13.5" customHeight="1" x14ac:dyDescent="0.2">
      <c r="A28" s="309" t="s">
        <v>145</v>
      </c>
      <c r="B28" s="310"/>
      <c r="C28" s="310"/>
      <c r="D28" s="310"/>
      <c r="E28" s="315"/>
      <c r="F28" s="300"/>
      <c r="G28" s="301"/>
      <c r="H28" s="305"/>
      <c r="I28" s="300"/>
      <c r="J28" s="301"/>
      <c r="K28" s="305"/>
      <c r="L28" s="398" t="s">
        <v>241</v>
      </c>
      <c r="M28" s="399"/>
      <c r="N28" s="399"/>
      <c r="O28" s="399"/>
      <c r="P28" s="400"/>
      <c r="Q28" s="300"/>
      <c r="R28" s="301"/>
      <c r="S28" s="305"/>
      <c r="T28" s="300"/>
      <c r="U28" s="301"/>
      <c r="V28" s="305"/>
      <c r="W28" s="309"/>
      <c r="X28" s="310"/>
      <c r="Y28" s="310"/>
      <c r="Z28" s="310"/>
      <c r="AA28" s="315"/>
      <c r="AB28" s="300"/>
      <c r="AC28" s="301"/>
      <c r="AD28" s="305"/>
      <c r="AE28" s="300"/>
      <c r="AF28" s="301"/>
      <c r="AG28" s="301"/>
      <c r="AH28" s="305"/>
    </row>
    <row r="29" spans="1:34" ht="13.5" customHeight="1" x14ac:dyDescent="0.2">
      <c r="A29" s="314" t="s">
        <v>139</v>
      </c>
      <c r="B29" s="316"/>
      <c r="C29" s="316"/>
      <c r="D29" s="316"/>
      <c r="E29" s="317"/>
      <c r="F29" s="300"/>
      <c r="G29" s="301"/>
      <c r="H29" s="305"/>
      <c r="I29" s="300"/>
      <c r="J29" s="301"/>
      <c r="K29" s="305"/>
      <c r="L29" s="398"/>
      <c r="M29" s="399"/>
      <c r="N29" s="399"/>
      <c r="O29" s="399"/>
      <c r="P29" s="400"/>
      <c r="Q29" s="300"/>
      <c r="R29" s="301"/>
      <c r="S29" s="305"/>
      <c r="T29" s="300"/>
      <c r="U29" s="301"/>
      <c r="V29" s="305"/>
      <c r="W29" s="309"/>
      <c r="X29" s="310"/>
      <c r="Y29" s="310"/>
      <c r="Z29" s="310"/>
      <c r="AA29" s="315"/>
      <c r="AB29" s="300"/>
      <c r="AC29" s="301"/>
      <c r="AD29" s="305"/>
      <c r="AE29" s="300"/>
      <c r="AF29" s="301"/>
      <c r="AG29" s="301"/>
      <c r="AH29" s="305"/>
    </row>
    <row r="30" spans="1:34" ht="13.5" customHeight="1" x14ac:dyDescent="0.2">
      <c r="A30" s="314" t="s">
        <v>229</v>
      </c>
      <c r="B30" s="316"/>
      <c r="C30" s="316"/>
      <c r="D30" s="316"/>
      <c r="E30" s="317"/>
      <c r="F30" s="300"/>
      <c r="G30" s="301"/>
      <c r="H30" s="305"/>
      <c r="I30" s="300"/>
      <c r="J30" s="301"/>
      <c r="K30" s="305"/>
      <c r="L30" s="398" t="s">
        <v>122</v>
      </c>
      <c r="M30" s="399"/>
      <c r="N30" s="399"/>
      <c r="O30" s="399"/>
      <c r="P30" s="400"/>
      <c r="Q30" s="300"/>
      <c r="R30" s="301"/>
      <c r="S30" s="305"/>
      <c r="T30" s="300"/>
      <c r="U30" s="301"/>
      <c r="V30" s="305"/>
      <c r="W30" s="309" t="s">
        <v>216</v>
      </c>
      <c r="X30" s="310"/>
      <c r="Y30" s="310"/>
      <c r="Z30" s="310"/>
      <c r="AA30" s="315"/>
      <c r="AB30" s="300"/>
      <c r="AC30" s="301"/>
      <c r="AD30" s="305"/>
      <c r="AE30" s="300"/>
      <c r="AF30" s="301"/>
      <c r="AG30" s="301"/>
      <c r="AH30" s="305"/>
    </row>
    <row r="31" spans="1:34" ht="13.5" customHeight="1" x14ac:dyDescent="0.2">
      <c r="A31" s="314" t="s">
        <v>230</v>
      </c>
      <c r="B31" s="316"/>
      <c r="C31" s="316"/>
      <c r="D31" s="316"/>
      <c r="E31" s="317"/>
      <c r="F31" s="300"/>
      <c r="G31" s="301"/>
      <c r="H31" s="305"/>
      <c r="I31" s="300"/>
      <c r="J31" s="301"/>
      <c r="K31" s="305"/>
      <c r="L31" s="105" t="s">
        <v>151</v>
      </c>
      <c r="M31" s="106"/>
      <c r="N31" s="106"/>
      <c r="O31" s="106"/>
      <c r="P31" s="107"/>
      <c r="Q31" s="300"/>
      <c r="R31" s="301"/>
      <c r="S31" s="305"/>
      <c r="T31" s="300"/>
      <c r="U31" s="301"/>
      <c r="V31" s="305"/>
      <c r="W31" s="309" t="s">
        <v>216</v>
      </c>
      <c r="X31" s="310"/>
      <c r="Y31" s="310"/>
      <c r="Z31" s="310"/>
      <c r="AA31" s="315"/>
      <c r="AB31" s="300"/>
      <c r="AC31" s="301"/>
      <c r="AD31" s="305"/>
      <c r="AE31" s="300"/>
      <c r="AF31" s="301"/>
      <c r="AG31" s="301"/>
      <c r="AH31" s="305"/>
    </row>
    <row r="32" spans="1:34" ht="13.5" customHeight="1" x14ac:dyDescent="0.2">
      <c r="A32" s="314" t="s">
        <v>231</v>
      </c>
      <c r="B32" s="316"/>
      <c r="C32" s="316"/>
      <c r="D32" s="316"/>
      <c r="E32" s="317"/>
      <c r="F32" s="300"/>
      <c r="G32" s="301"/>
      <c r="H32" s="305"/>
      <c r="I32" s="300"/>
      <c r="J32" s="301"/>
      <c r="K32" s="305"/>
      <c r="L32" s="398" t="s">
        <v>152</v>
      </c>
      <c r="M32" s="399"/>
      <c r="N32" s="399"/>
      <c r="O32" s="399"/>
      <c r="P32" s="400"/>
      <c r="Q32" s="300"/>
      <c r="R32" s="301"/>
      <c r="S32" s="305"/>
      <c r="T32" s="300"/>
      <c r="U32" s="301"/>
      <c r="V32" s="305"/>
      <c r="W32" s="309" t="s">
        <v>135</v>
      </c>
      <c r="X32" s="310"/>
      <c r="Y32" s="310"/>
      <c r="Z32" s="310"/>
      <c r="AA32" s="315"/>
      <c r="AB32" s="300"/>
      <c r="AC32" s="301"/>
      <c r="AD32" s="305"/>
      <c r="AE32" s="300"/>
      <c r="AF32" s="301"/>
      <c r="AG32" s="301"/>
      <c r="AH32" s="305"/>
    </row>
    <row r="33" spans="1:34" ht="13.5" customHeight="1" x14ac:dyDescent="0.2">
      <c r="A33" s="314" t="s">
        <v>231</v>
      </c>
      <c r="B33" s="316"/>
      <c r="C33" s="316"/>
      <c r="D33" s="316"/>
      <c r="E33" s="317"/>
      <c r="F33" s="300"/>
      <c r="G33" s="301"/>
      <c r="H33" s="305"/>
      <c r="I33" s="300"/>
      <c r="J33" s="301"/>
      <c r="K33" s="301"/>
      <c r="L33" s="290"/>
      <c r="M33" s="291"/>
      <c r="N33" s="291"/>
      <c r="O33" s="291"/>
      <c r="P33" s="302"/>
      <c r="Q33" s="300"/>
      <c r="R33" s="301"/>
      <c r="S33" s="305"/>
      <c r="T33" s="300"/>
      <c r="U33" s="301"/>
      <c r="V33" s="301"/>
      <c r="W33" s="319"/>
      <c r="X33" s="320"/>
      <c r="Y33" s="320"/>
      <c r="Z33" s="320"/>
      <c r="AA33" s="321"/>
      <c r="AB33" s="300"/>
      <c r="AC33" s="301"/>
      <c r="AD33" s="305"/>
      <c r="AE33" s="300"/>
      <c r="AF33" s="301"/>
      <c r="AG33" s="301"/>
      <c r="AH33" s="305"/>
    </row>
    <row r="34" spans="1:34" ht="13.5" customHeight="1" x14ac:dyDescent="0.2">
      <c r="A34" s="318" t="s">
        <v>239</v>
      </c>
      <c r="B34" s="310"/>
      <c r="C34" s="310"/>
      <c r="D34" s="310"/>
      <c r="E34" s="315"/>
      <c r="F34" s="300"/>
      <c r="G34" s="301"/>
      <c r="H34" s="305"/>
      <c r="I34" s="300"/>
      <c r="J34" s="301"/>
      <c r="K34" s="301"/>
      <c r="L34" s="290"/>
      <c r="M34" s="291"/>
      <c r="N34" s="291"/>
      <c r="O34" s="291"/>
      <c r="P34" s="302"/>
      <c r="Q34" s="300"/>
      <c r="R34" s="301"/>
      <c r="S34" s="305"/>
      <c r="T34" s="300"/>
      <c r="U34" s="301"/>
      <c r="V34" s="301"/>
      <c r="W34" s="319"/>
      <c r="X34" s="320"/>
      <c r="Y34" s="320"/>
      <c r="Z34" s="320"/>
      <c r="AA34" s="321"/>
      <c r="AB34" s="300"/>
      <c r="AC34" s="301"/>
      <c r="AD34" s="305"/>
      <c r="AE34" s="300"/>
      <c r="AF34" s="301"/>
      <c r="AG34" s="301"/>
      <c r="AH34" s="305"/>
    </row>
    <row r="35" spans="1:34" ht="13.5" customHeight="1" x14ac:dyDescent="0.2">
      <c r="A35" s="318" t="s">
        <v>233</v>
      </c>
      <c r="B35" s="310"/>
      <c r="C35" s="310"/>
      <c r="D35" s="310"/>
      <c r="E35" s="315"/>
      <c r="F35" s="300"/>
      <c r="G35" s="301"/>
      <c r="H35" s="305"/>
      <c r="I35" s="300"/>
      <c r="J35" s="301"/>
      <c r="K35" s="301"/>
      <c r="L35" s="290"/>
      <c r="M35" s="291"/>
      <c r="N35" s="291"/>
      <c r="O35" s="291"/>
      <c r="P35" s="302"/>
      <c r="Q35" s="300"/>
      <c r="R35" s="301"/>
      <c r="S35" s="305"/>
      <c r="T35" s="300"/>
      <c r="U35" s="301"/>
      <c r="V35" s="301"/>
      <c r="W35" s="309"/>
      <c r="X35" s="310"/>
      <c r="Y35" s="310"/>
      <c r="Z35" s="310"/>
      <c r="AA35" s="315"/>
      <c r="AB35" s="300"/>
      <c r="AC35" s="301"/>
      <c r="AD35" s="305"/>
      <c r="AE35" s="300"/>
      <c r="AF35" s="301"/>
      <c r="AG35" s="301"/>
      <c r="AH35" s="305"/>
    </row>
    <row r="36" spans="1:34" ht="13.5" customHeight="1" x14ac:dyDescent="0.2">
      <c r="A36" s="329" t="s">
        <v>234</v>
      </c>
      <c r="B36" s="330"/>
      <c r="C36" s="330"/>
      <c r="D36" s="330"/>
      <c r="E36" s="334"/>
      <c r="F36" s="326"/>
      <c r="G36" s="327"/>
      <c r="H36" s="328"/>
      <c r="I36" s="326"/>
      <c r="J36" s="327"/>
      <c r="K36" s="327"/>
      <c r="L36" s="322"/>
      <c r="M36" s="323"/>
      <c r="N36" s="323"/>
      <c r="O36" s="323"/>
      <c r="P36" s="335"/>
      <c r="Q36" s="326"/>
      <c r="R36" s="327"/>
      <c r="S36" s="328"/>
      <c r="T36" s="326"/>
      <c r="U36" s="327"/>
      <c r="V36" s="328"/>
      <c r="W36" s="329" t="s">
        <v>135</v>
      </c>
      <c r="X36" s="330"/>
      <c r="Y36" s="330"/>
      <c r="Z36" s="330"/>
      <c r="AA36" s="330"/>
      <c r="AB36" s="326"/>
      <c r="AC36" s="327"/>
      <c r="AD36" s="328"/>
      <c r="AE36" s="326"/>
      <c r="AF36" s="327"/>
      <c r="AG36" s="327"/>
      <c r="AH36" s="328"/>
    </row>
    <row r="37" spans="1:34" x14ac:dyDescent="0.2">
      <c r="A37" s="331" t="s">
        <v>36</v>
      </c>
      <c r="B37" s="332"/>
      <c r="C37" s="332"/>
      <c r="D37" s="332" t="s">
        <v>17</v>
      </c>
      <c r="E37" s="332"/>
      <c r="F37" s="332" t="s">
        <v>12</v>
      </c>
      <c r="G37" s="332"/>
      <c r="H37" s="332"/>
      <c r="I37" s="332"/>
      <c r="J37" s="332"/>
      <c r="K37" s="332"/>
      <c r="L37" s="332"/>
      <c r="M37" s="332" t="s">
        <v>13</v>
      </c>
      <c r="N37" s="332"/>
      <c r="O37" s="332"/>
      <c r="P37" s="332"/>
      <c r="Q37" s="332"/>
      <c r="R37" s="332"/>
      <c r="S37" s="332"/>
      <c r="T37" s="332" t="s">
        <v>14</v>
      </c>
      <c r="U37" s="332"/>
      <c r="V37" s="332"/>
      <c r="W37" s="332"/>
      <c r="X37" s="332"/>
      <c r="Y37" s="332"/>
      <c r="Z37" s="332"/>
      <c r="AA37" s="332" t="s">
        <v>15</v>
      </c>
      <c r="AB37" s="332"/>
      <c r="AC37" s="332"/>
      <c r="AD37" s="332"/>
      <c r="AE37" s="332"/>
      <c r="AF37" s="332"/>
      <c r="AG37" s="332"/>
      <c r="AH37" s="333"/>
    </row>
    <row r="38" spans="1:34" x14ac:dyDescent="0.2">
      <c r="A38" s="339"/>
      <c r="B38" s="340"/>
      <c r="C38" s="340"/>
      <c r="D38" s="341"/>
      <c r="E38" s="341"/>
      <c r="F38" s="336"/>
      <c r="G38" s="336"/>
      <c r="H38" s="336"/>
      <c r="I38" s="336"/>
      <c r="J38" s="336"/>
      <c r="K38" s="336"/>
      <c r="L38" s="336"/>
      <c r="M38" s="336"/>
      <c r="N38" s="336"/>
      <c r="O38" s="336"/>
      <c r="P38" s="336"/>
      <c r="Q38" s="336"/>
      <c r="R38" s="336"/>
      <c r="S38" s="336"/>
      <c r="T38" s="342"/>
      <c r="U38" s="342"/>
      <c r="V38" s="342"/>
      <c r="W38" s="342"/>
      <c r="X38" s="342"/>
      <c r="Y38" s="342"/>
      <c r="Z38" s="342"/>
      <c r="AA38" s="336"/>
      <c r="AB38" s="337"/>
      <c r="AC38" s="337"/>
      <c r="AD38" s="337"/>
      <c r="AE38" s="337"/>
      <c r="AF38" s="337"/>
      <c r="AG38" s="337"/>
      <c r="AH38" s="338"/>
    </row>
    <row r="39" spans="1:34" x14ac:dyDescent="0.2">
      <c r="A39" s="339"/>
      <c r="B39" s="340"/>
      <c r="C39" s="340"/>
      <c r="D39" s="341"/>
      <c r="E39" s="341"/>
      <c r="F39" s="342"/>
      <c r="G39" s="342"/>
      <c r="H39" s="342"/>
      <c r="I39" s="342"/>
      <c r="J39" s="342"/>
      <c r="K39" s="342"/>
      <c r="L39" s="342"/>
      <c r="M39" s="336"/>
      <c r="N39" s="336"/>
      <c r="O39" s="336"/>
      <c r="P39" s="336"/>
      <c r="Q39" s="336"/>
      <c r="R39" s="336"/>
      <c r="S39" s="336"/>
      <c r="T39" s="342"/>
      <c r="U39" s="342"/>
      <c r="V39" s="342"/>
      <c r="W39" s="342"/>
      <c r="X39" s="342"/>
      <c r="Y39" s="342"/>
      <c r="Z39" s="342"/>
      <c r="AA39" s="336"/>
      <c r="AB39" s="337"/>
      <c r="AC39" s="337"/>
      <c r="AD39" s="337"/>
      <c r="AE39" s="337"/>
      <c r="AF39" s="337"/>
      <c r="AG39" s="337"/>
      <c r="AH39" s="338"/>
    </row>
    <row r="40" spans="1:34" x14ac:dyDescent="0.2">
      <c r="A40" s="339"/>
      <c r="B40" s="340"/>
      <c r="C40" s="340"/>
      <c r="D40" s="341"/>
      <c r="E40" s="341"/>
      <c r="F40" s="342"/>
      <c r="G40" s="342"/>
      <c r="H40" s="342"/>
      <c r="I40" s="342"/>
      <c r="J40" s="342"/>
      <c r="K40" s="342"/>
      <c r="L40" s="342"/>
      <c r="M40" s="336"/>
      <c r="N40" s="336"/>
      <c r="O40" s="336"/>
      <c r="P40" s="336"/>
      <c r="Q40" s="336"/>
      <c r="R40" s="336"/>
      <c r="S40" s="336"/>
      <c r="T40" s="336"/>
      <c r="U40" s="336"/>
      <c r="V40" s="336"/>
      <c r="W40" s="336"/>
      <c r="X40" s="336"/>
      <c r="Y40" s="336"/>
      <c r="Z40" s="336"/>
      <c r="AA40" s="336"/>
      <c r="AB40" s="337"/>
      <c r="AC40" s="337"/>
      <c r="AD40" s="337"/>
      <c r="AE40" s="337"/>
      <c r="AF40" s="337"/>
      <c r="AG40" s="337"/>
      <c r="AH40" s="338"/>
    </row>
    <row r="41" spans="1:34" x14ac:dyDescent="0.2">
      <c r="A41" s="339"/>
      <c r="B41" s="340"/>
      <c r="C41" s="340"/>
      <c r="D41" s="341"/>
      <c r="E41" s="341"/>
      <c r="F41" s="336"/>
      <c r="G41" s="336"/>
      <c r="H41" s="336"/>
      <c r="I41" s="336"/>
      <c r="J41" s="336"/>
      <c r="K41" s="336"/>
      <c r="L41" s="336"/>
      <c r="M41" s="336"/>
      <c r="N41" s="336"/>
      <c r="O41" s="336"/>
      <c r="P41" s="336"/>
      <c r="Q41" s="336"/>
      <c r="R41" s="336"/>
      <c r="S41" s="336"/>
      <c r="T41" s="336"/>
      <c r="U41" s="336"/>
      <c r="V41" s="336"/>
      <c r="W41" s="336"/>
      <c r="X41" s="336"/>
      <c r="Y41" s="336"/>
      <c r="Z41" s="336"/>
      <c r="AA41" s="336"/>
      <c r="AB41" s="337"/>
      <c r="AC41" s="337"/>
      <c r="AD41" s="337"/>
      <c r="AE41" s="337"/>
      <c r="AF41" s="337"/>
      <c r="AG41" s="337"/>
      <c r="AH41" s="338"/>
    </row>
    <row r="42" spans="1:34" x14ac:dyDescent="0.2">
      <c r="A42" s="365"/>
      <c r="B42" s="366"/>
      <c r="C42" s="366"/>
      <c r="D42" s="367"/>
      <c r="E42" s="367"/>
      <c r="F42" s="368"/>
      <c r="G42" s="368"/>
      <c r="H42" s="368"/>
      <c r="I42" s="368"/>
      <c r="J42" s="368"/>
      <c r="K42" s="368"/>
      <c r="L42" s="368"/>
      <c r="M42" s="368"/>
      <c r="N42" s="368"/>
      <c r="O42" s="368"/>
      <c r="P42" s="368"/>
      <c r="Q42" s="368"/>
      <c r="R42" s="368"/>
      <c r="S42" s="368"/>
      <c r="T42" s="368"/>
      <c r="U42" s="368"/>
      <c r="V42" s="368"/>
      <c r="W42" s="368"/>
      <c r="X42" s="368"/>
      <c r="Y42" s="368"/>
      <c r="Z42" s="368"/>
      <c r="AA42" s="368"/>
      <c r="AB42" s="369"/>
      <c r="AC42" s="369"/>
      <c r="AD42" s="369"/>
      <c r="AE42" s="369"/>
      <c r="AF42" s="369"/>
      <c r="AG42" s="369"/>
      <c r="AH42" s="370"/>
    </row>
    <row r="43" spans="1:34" x14ac:dyDescent="0.2">
      <c r="A43" s="371" t="s">
        <v>221</v>
      </c>
      <c r="B43" s="372"/>
      <c r="C43" s="372"/>
      <c r="D43" s="372"/>
      <c r="E43" s="372"/>
      <c r="F43" s="372"/>
      <c r="G43" s="372"/>
      <c r="H43" s="372"/>
      <c r="I43" s="372"/>
      <c r="J43" s="372"/>
      <c r="K43" s="372"/>
      <c r="L43" s="372"/>
      <c r="M43" s="372"/>
      <c r="N43" s="372"/>
      <c r="O43" s="372"/>
      <c r="P43" s="372"/>
      <c r="Q43" s="372"/>
      <c r="R43" s="372"/>
      <c r="S43" s="372"/>
      <c r="T43" s="372"/>
      <c r="U43" s="372"/>
      <c r="V43" s="372"/>
      <c r="W43" s="372"/>
      <c r="X43" s="372"/>
      <c r="Y43" s="372"/>
      <c r="Z43" s="372"/>
      <c r="AA43" s="372"/>
      <c r="AB43" s="372"/>
      <c r="AC43" s="372"/>
      <c r="AD43" s="372"/>
      <c r="AE43" s="372"/>
      <c r="AF43" s="372"/>
      <c r="AG43" s="372"/>
      <c r="AH43" s="373"/>
    </row>
    <row r="44" spans="1:34" ht="30.65" customHeight="1" x14ac:dyDescent="0.2">
      <c r="A44" s="374"/>
      <c r="B44" s="375"/>
      <c r="C44" s="375"/>
      <c r="D44" s="375"/>
      <c r="E44" s="375"/>
      <c r="F44" s="375"/>
      <c r="G44" s="375"/>
      <c r="H44" s="375"/>
      <c r="I44" s="375"/>
      <c r="J44" s="375"/>
      <c r="K44" s="375"/>
      <c r="L44" s="375"/>
      <c r="M44" s="375"/>
      <c r="N44" s="375"/>
      <c r="O44" s="375"/>
      <c r="P44" s="375"/>
      <c r="Q44" s="375"/>
      <c r="R44" s="375"/>
      <c r="S44" s="375"/>
      <c r="T44" s="375"/>
      <c r="U44" s="375"/>
      <c r="V44" s="375"/>
      <c r="W44" s="375"/>
      <c r="X44" s="375"/>
      <c r="Y44" s="375"/>
      <c r="Z44" s="375"/>
      <c r="AA44" s="375"/>
      <c r="AB44" s="375"/>
      <c r="AC44" s="375"/>
      <c r="AD44" s="375"/>
      <c r="AE44" s="375"/>
      <c r="AF44" s="375"/>
      <c r="AG44" s="375"/>
      <c r="AH44" s="376"/>
    </row>
    <row r="45" spans="1:34" x14ac:dyDescent="0.2">
      <c r="A45" s="377" t="s">
        <v>227</v>
      </c>
      <c r="B45" s="378"/>
      <c r="C45" s="378"/>
      <c r="D45" s="378"/>
      <c r="E45" s="378"/>
      <c r="F45" s="378"/>
      <c r="G45" s="378"/>
      <c r="H45" s="378"/>
      <c r="I45" s="378"/>
      <c r="J45" s="378"/>
      <c r="K45" s="378"/>
      <c r="L45" s="378"/>
      <c r="M45" s="378"/>
      <c r="N45" s="378"/>
      <c r="O45" s="378"/>
      <c r="P45" s="378"/>
      <c r="Q45" s="378"/>
      <c r="R45" s="378"/>
      <c r="S45" s="378"/>
      <c r="T45" s="378"/>
      <c r="U45" s="378"/>
      <c r="V45" s="378"/>
      <c r="W45" s="378"/>
      <c r="X45" s="378"/>
      <c r="Y45" s="378"/>
      <c r="Z45" s="378"/>
      <c r="AA45" s="378"/>
      <c r="AB45" s="378"/>
      <c r="AC45" s="378"/>
      <c r="AD45" s="378"/>
      <c r="AE45" s="378"/>
      <c r="AF45" s="378"/>
      <c r="AG45" s="378"/>
      <c r="AH45" s="379"/>
    </row>
    <row r="46" spans="1:34" x14ac:dyDescent="0.2">
      <c r="A46" s="380" t="s">
        <v>37</v>
      </c>
      <c r="B46" s="381"/>
      <c r="C46" s="381"/>
      <c r="D46" s="381"/>
      <c r="E46" s="381"/>
      <c r="F46" s="381"/>
      <c r="G46" s="381"/>
      <c r="H46" s="381"/>
      <c r="I46" s="381"/>
      <c r="J46" s="381"/>
      <c r="K46" s="381"/>
      <c r="L46" s="381"/>
      <c r="M46" s="381"/>
      <c r="N46" s="381"/>
      <c r="O46" s="381"/>
      <c r="P46" s="381"/>
      <c r="Q46" s="381"/>
      <c r="R46" s="381"/>
      <c r="S46" s="381"/>
      <c r="T46" s="381"/>
      <c r="U46" s="381"/>
      <c r="V46" s="381"/>
      <c r="W46" s="381"/>
      <c r="X46" s="381"/>
      <c r="Y46" s="381"/>
      <c r="Z46" s="381"/>
      <c r="AA46" s="381"/>
      <c r="AB46" s="381"/>
      <c r="AC46" s="381"/>
      <c r="AD46" s="381"/>
      <c r="AE46" s="381"/>
      <c r="AF46" s="381"/>
      <c r="AG46" s="381"/>
      <c r="AH46" s="382"/>
    </row>
    <row r="47" spans="1:34" x14ac:dyDescent="0.2">
      <c r="A47" s="343" t="s">
        <v>228</v>
      </c>
      <c r="B47" s="344"/>
      <c r="C47" s="344"/>
      <c r="D47" s="344"/>
      <c r="E47" s="344"/>
      <c r="F47" s="344"/>
      <c r="G47" s="344"/>
      <c r="H47" s="344"/>
      <c r="I47" s="344"/>
      <c r="J47" s="344"/>
      <c r="K47" s="344"/>
      <c r="L47" s="344"/>
      <c r="M47" s="344"/>
      <c r="N47" s="344"/>
      <c r="O47" s="344"/>
      <c r="P47" s="344"/>
      <c r="Q47" s="344"/>
      <c r="R47" s="344"/>
      <c r="S47" s="344"/>
      <c r="T47" s="344"/>
      <c r="U47" s="344"/>
      <c r="V47" s="344"/>
      <c r="W47" s="344"/>
      <c r="X47" s="344"/>
      <c r="Y47" s="344"/>
      <c r="Z47" s="344"/>
      <c r="AA47" s="345"/>
      <c r="AB47" s="345"/>
      <c r="AC47" s="345"/>
      <c r="AD47" s="345"/>
      <c r="AE47" s="345"/>
      <c r="AF47" s="345"/>
      <c r="AG47" s="345"/>
      <c r="AH47" s="346"/>
    </row>
    <row r="48" spans="1:34" x14ac:dyDescent="0.2">
      <c r="A48" s="347"/>
      <c r="B48" s="348"/>
      <c r="C48" s="348"/>
      <c r="D48" s="348"/>
      <c r="E48" s="348"/>
      <c r="F48" s="348"/>
      <c r="G48" s="348"/>
      <c r="H48" s="348"/>
      <c r="I48" s="348"/>
      <c r="J48" s="348"/>
      <c r="K48" s="348"/>
      <c r="L48" s="348"/>
      <c r="M48" s="348"/>
      <c r="N48" s="348"/>
      <c r="O48" s="348"/>
      <c r="P48" s="348"/>
      <c r="Q48" s="348"/>
      <c r="R48" s="348"/>
      <c r="S48" s="348"/>
      <c r="T48" s="348"/>
      <c r="U48" s="348"/>
      <c r="V48" s="348"/>
      <c r="W48" s="348"/>
      <c r="X48" s="348"/>
      <c r="Y48" s="348"/>
      <c r="Z48" s="348"/>
      <c r="AA48" s="349"/>
      <c r="AB48" s="349"/>
      <c r="AC48" s="349"/>
      <c r="AD48" s="349"/>
      <c r="AE48" s="349"/>
      <c r="AF48" s="349"/>
      <c r="AG48" s="349"/>
      <c r="AH48" s="350"/>
    </row>
    <row r="49" spans="1:34" x14ac:dyDescent="0.2">
      <c r="A49" s="347"/>
      <c r="B49" s="348"/>
      <c r="C49" s="348"/>
      <c r="D49" s="348"/>
      <c r="E49" s="348"/>
      <c r="F49" s="348"/>
      <c r="G49" s="348"/>
      <c r="H49" s="348"/>
      <c r="I49" s="348"/>
      <c r="J49" s="348"/>
      <c r="K49" s="348"/>
      <c r="L49" s="348"/>
      <c r="M49" s="348"/>
      <c r="N49" s="348"/>
      <c r="O49" s="348"/>
      <c r="P49" s="348"/>
      <c r="Q49" s="348"/>
      <c r="R49" s="348"/>
      <c r="S49" s="348"/>
      <c r="T49" s="348"/>
      <c r="U49" s="348"/>
      <c r="V49" s="348"/>
      <c r="W49" s="348"/>
      <c r="X49" s="348"/>
      <c r="Y49" s="348"/>
      <c r="Z49" s="348"/>
      <c r="AA49" s="349"/>
      <c r="AB49" s="349"/>
      <c r="AC49" s="349"/>
      <c r="AD49" s="349"/>
      <c r="AE49" s="349"/>
      <c r="AF49" s="349"/>
      <c r="AG49" s="349"/>
      <c r="AH49" s="350"/>
    </row>
    <row r="50" spans="1:34" x14ac:dyDescent="0.2">
      <c r="A50" s="347"/>
      <c r="B50" s="348"/>
      <c r="C50" s="348"/>
      <c r="D50" s="348"/>
      <c r="E50" s="348"/>
      <c r="F50" s="348"/>
      <c r="G50" s="348"/>
      <c r="H50" s="348"/>
      <c r="I50" s="348"/>
      <c r="J50" s="348"/>
      <c r="K50" s="348"/>
      <c r="L50" s="348"/>
      <c r="M50" s="348"/>
      <c r="N50" s="348"/>
      <c r="O50" s="348"/>
      <c r="P50" s="348"/>
      <c r="Q50" s="348"/>
      <c r="R50" s="348"/>
      <c r="S50" s="348"/>
      <c r="T50" s="348"/>
      <c r="U50" s="348"/>
      <c r="V50" s="348"/>
      <c r="W50" s="348"/>
      <c r="X50" s="348"/>
      <c r="Y50" s="348"/>
      <c r="Z50" s="348"/>
      <c r="AA50" s="349"/>
      <c r="AB50" s="349"/>
      <c r="AC50" s="349"/>
      <c r="AD50" s="349"/>
      <c r="AE50" s="349"/>
      <c r="AF50" s="349"/>
      <c r="AG50" s="349"/>
      <c r="AH50" s="350"/>
    </row>
    <row r="51" spans="1:34" x14ac:dyDescent="0.2">
      <c r="A51" s="347"/>
      <c r="B51" s="348"/>
      <c r="C51" s="348"/>
      <c r="D51" s="348"/>
      <c r="E51" s="348"/>
      <c r="F51" s="348"/>
      <c r="G51" s="348"/>
      <c r="H51" s="348"/>
      <c r="I51" s="348"/>
      <c r="J51" s="348"/>
      <c r="K51" s="348"/>
      <c r="L51" s="348"/>
      <c r="M51" s="348"/>
      <c r="N51" s="348"/>
      <c r="O51" s="348"/>
      <c r="P51" s="348"/>
      <c r="Q51" s="348"/>
      <c r="R51" s="348"/>
      <c r="S51" s="348"/>
      <c r="T51" s="348"/>
      <c r="U51" s="348"/>
      <c r="V51" s="348"/>
      <c r="W51" s="348"/>
      <c r="X51" s="348"/>
      <c r="Y51" s="348"/>
      <c r="Z51" s="348"/>
      <c r="AA51" s="349"/>
      <c r="AB51" s="349"/>
      <c r="AC51" s="349"/>
      <c r="AD51" s="349"/>
      <c r="AE51" s="349"/>
      <c r="AF51" s="349"/>
      <c r="AG51" s="349"/>
      <c r="AH51" s="350"/>
    </row>
    <row r="52" spans="1:34" ht="12.65" customHeight="1" x14ac:dyDescent="0.2">
      <c r="A52" s="347"/>
      <c r="B52" s="348"/>
      <c r="C52" s="348"/>
      <c r="D52" s="348"/>
      <c r="E52" s="348"/>
      <c r="F52" s="348"/>
      <c r="G52" s="348"/>
      <c r="H52" s="348"/>
      <c r="I52" s="348"/>
      <c r="J52" s="348"/>
      <c r="K52" s="348"/>
      <c r="L52" s="348"/>
      <c r="M52" s="348"/>
      <c r="N52" s="348"/>
      <c r="O52" s="348"/>
      <c r="P52" s="348"/>
      <c r="Q52" s="348"/>
      <c r="R52" s="348"/>
      <c r="S52" s="348"/>
      <c r="T52" s="348"/>
      <c r="U52" s="348"/>
      <c r="V52" s="348"/>
      <c r="W52" s="348"/>
      <c r="X52" s="348"/>
      <c r="Y52" s="348"/>
      <c r="Z52" s="348"/>
      <c r="AA52" s="349"/>
      <c r="AB52" s="349"/>
      <c r="AC52" s="349"/>
      <c r="AD52" s="349"/>
      <c r="AE52" s="349"/>
      <c r="AF52" s="349"/>
      <c r="AG52" s="349"/>
      <c r="AH52" s="350"/>
    </row>
    <row r="53" spans="1:34" x14ac:dyDescent="0.2">
      <c r="A53" s="347"/>
      <c r="B53" s="348"/>
      <c r="C53" s="348"/>
      <c r="D53" s="348"/>
      <c r="E53" s="348"/>
      <c r="F53" s="348"/>
      <c r="G53" s="348"/>
      <c r="H53" s="348"/>
      <c r="I53" s="348"/>
      <c r="J53" s="348"/>
      <c r="K53" s="348"/>
      <c r="L53" s="348"/>
      <c r="M53" s="348"/>
      <c r="N53" s="348"/>
      <c r="O53" s="348"/>
      <c r="P53" s="348"/>
      <c r="Q53" s="348"/>
      <c r="R53" s="348"/>
      <c r="S53" s="348"/>
      <c r="T53" s="348"/>
      <c r="U53" s="348"/>
      <c r="V53" s="348"/>
      <c r="W53" s="348"/>
      <c r="X53" s="348"/>
      <c r="Y53" s="348"/>
      <c r="Z53" s="348"/>
      <c r="AA53" s="349"/>
      <c r="AB53" s="349"/>
      <c r="AC53" s="349"/>
      <c r="AD53" s="349"/>
      <c r="AE53" s="349"/>
      <c r="AF53" s="349"/>
      <c r="AG53" s="349"/>
      <c r="AH53" s="350"/>
    </row>
    <row r="54" spans="1:34" x14ac:dyDescent="0.2">
      <c r="A54" s="347"/>
      <c r="B54" s="348"/>
      <c r="C54" s="348"/>
      <c r="D54" s="348"/>
      <c r="E54" s="348"/>
      <c r="F54" s="348"/>
      <c r="G54" s="348"/>
      <c r="H54" s="348"/>
      <c r="I54" s="348"/>
      <c r="J54" s="348"/>
      <c r="K54" s="348"/>
      <c r="L54" s="348"/>
      <c r="M54" s="348"/>
      <c r="N54" s="348"/>
      <c r="O54" s="348"/>
      <c r="P54" s="348"/>
      <c r="Q54" s="348"/>
      <c r="R54" s="348"/>
      <c r="S54" s="348"/>
      <c r="T54" s="348"/>
      <c r="U54" s="348"/>
      <c r="V54" s="348"/>
      <c r="W54" s="348"/>
      <c r="X54" s="348"/>
      <c r="Y54" s="348"/>
      <c r="Z54" s="348"/>
      <c r="AA54" s="349"/>
      <c r="AB54" s="349"/>
      <c r="AC54" s="349"/>
      <c r="AD54" s="349"/>
      <c r="AE54" s="349"/>
      <c r="AF54" s="349"/>
      <c r="AG54" s="349"/>
      <c r="AH54" s="350"/>
    </row>
    <row r="55" spans="1:34" x14ac:dyDescent="0.2">
      <c r="A55" s="347"/>
      <c r="B55" s="348"/>
      <c r="C55" s="348"/>
      <c r="D55" s="348"/>
      <c r="E55" s="348"/>
      <c r="F55" s="348"/>
      <c r="G55" s="348"/>
      <c r="H55" s="348"/>
      <c r="I55" s="348"/>
      <c r="J55" s="348"/>
      <c r="K55" s="348"/>
      <c r="L55" s="348"/>
      <c r="M55" s="348"/>
      <c r="N55" s="348"/>
      <c r="O55" s="348"/>
      <c r="P55" s="348"/>
      <c r="Q55" s="348"/>
      <c r="R55" s="348"/>
      <c r="S55" s="348"/>
      <c r="T55" s="348"/>
      <c r="U55" s="348"/>
      <c r="V55" s="348"/>
      <c r="W55" s="348"/>
      <c r="X55" s="348"/>
      <c r="Y55" s="348"/>
      <c r="Z55" s="348"/>
      <c r="AA55" s="349"/>
      <c r="AB55" s="349"/>
      <c r="AC55" s="349"/>
      <c r="AD55" s="349"/>
      <c r="AE55" s="349"/>
      <c r="AF55" s="349"/>
      <c r="AG55" s="349"/>
      <c r="AH55" s="350"/>
    </row>
    <row r="56" spans="1:34" x14ac:dyDescent="0.2">
      <c r="A56" s="347"/>
      <c r="B56" s="348"/>
      <c r="C56" s="348"/>
      <c r="D56" s="348"/>
      <c r="E56" s="348"/>
      <c r="F56" s="348"/>
      <c r="G56" s="348"/>
      <c r="H56" s="348"/>
      <c r="I56" s="348"/>
      <c r="J56" s="348"/>
      <c r="K56" s="348"/>
      <c r="L56" s="348"/>
      <c r="M56" s="348"/>
      <c r="N56" s="348"/>
      <c r="O56" s="348"/>
      <c r="P56" s="348"/>
      <c r="Q56" s="348"/>
      <c r="R56" s="348"/>
      <c r="S56" s="348"/>
      <c r="T56" s="348"/>
      <c r="U56" s="348"/>
      <c r="V56" s="348"/>
      <c r="W56" s="348"/>
      <c r="X56" s="348"/>
      <c r="Y56" s="348"/>
      <c r="Z56" s="348"/>
      <c r="AA56" s="349"/>
      <c r="AB56" s="349"/>
      <c r="AC56" s="349"/>
      <c r="AD56" s="349"/>
      <c r="AE56" s="349"/>
      <c r="AF56" s="349"/>
      <c r="AG56" s="349"/>
      <c r="AH56" s="350"/>
    </row>
    <row r="57" spans="1:34" x14ac:dyDescent="0.2">
      <c r="A57" s="351"/>
      <c r="B57" s="349"/>
      <c r="C57" s="349"/>
      <c r="D57" s="349"/>
      <c r="E57" s="349"/>
      <c r="F57" s="349"/>
      <c r="G57" s="349"/>
      <c r="H57" s="349"/>
      <c r="I57" s="349"/>
      <c r="J57" s="349"/>
      <c r="K57" s="349"/>
      <c r="L57" s="349"/>
      <c r="M57" s="349"/>
      <c r="N57" s="349"/>
      <c r="O57" s="349"/>
      <c r="P57" s="349"/>
      <c r="Q57" s="349"/>
      <c r="R57" s="349"/>
      <c r="S57" s="349"/>
      <c r="T57" s="349"/>
      <c r="U57" s="349"/>
      <c r="V57" s="349"/>
      <c r="W57" s="349"/>
      <c r="X57" s="349"/>
      <c r="Y57" s="349"/>
      <c r="Z57" s="349"/>
      <c r="AA57" s="349"/>
      <c r="AB57" s="349"/>
      <c r="AC57" s="349"/>
      <c r="AD57" s="349"/>
      <c r="AE57" s="349"/>
      <c r="AF57" s="349"/>
      <c r="AG57" s="349"/>
      <c r="AH57" s="350"/>
    </row>
    <row r="58" spans="1:34" x14ac:dyDescent="0.2">
      <c r="A58" s="351"/>
      <c r="B58" s="349"/>
      <c r="C58" s="349"/>
      <c r="D58" s="349"/>
      <c r="E58" s="349"/>
      <c r="F58" s="349"/>
      <c r="G58" s="349"/>
      <c r="H58" s="349"/>
      <c r="I58" s="349"/>
      <c r="J58" s="349"/>
      <c r="K58" s="349"/>
      <c r="L58" s="349"/>
      <c r="M58" s="349"/>
      <c r="N58" s="349"/>
      <c r="O58" s="349"/>
      <c r="P58" s="349"/>
      <c r="Q58" s="349"/>
      <c r="R58" s="349"/>
      <c r="S58" s="349"/>
      <c r="T58" s="349"/>
      <c r="U58" s="349"/>
      <c r="V58" s="349"/>
      <c r="W58" s="349"/>
      <c r="X58" s="349"/>
      <c r="Y58" s="349"/>
      <c r="Z58" s="349"/>
      <c r="AA58" s="349"/>
      <c r="AB58" s="349"/>
      <c r="AC58" s="349"/>
      <c r="AD58" s="349"/>
      <c r="AE58" s="349"/>
      <c r="AF58" s="349"/>
      <c r="AG58" s="349"/>
      <c r="AH58" s="350"/>
    </row>
    <row r="59" spans="1:34" x14ac:dyDescent="0.2">
      <c r="A59" s="351"/>
      <c r="B59" s="349"/>
      <c r="C59" s="349"/>
      <c r="D59" s="349"/>
      <c r="E59" s="349"/>
      <c r="F59" s="349"/>
      <c r="G59" s="349"/>
      <c r="H59" s="349"/>
      <c r="I59" s="349"/>
      <c r="J59" s="349"/>
      <c r="K59" s="349"/>
      <c r="L59" s="349"/>
      <c r="M59" s="349"/>
      <c r="N59" s="349"/>
      <c r="O59" s="349"/>
      <c r="P59" s="349"/>
      <c r="Q59" s="349"/>
      <c r="R59" s="349"/>
      <c r="S59" s="349"/>
      <c r="T59" s="349"/>
      <c r="U59" s="349"/>
      <c r="V59" s="349"/>
      <c r="W59" s="349"/>
      <c r="X59" s="349"/>
      <c r="Y59" s="349"/>
      <c r="Z59" s="349"/>
      <c r="AA59" s="349"/>
      <c r="AB59" s="349"/>
      <c r="AC59" s="349"/>
      <c r="AD59" s="349"/>
      <c r="AE59" s="349"/>
      <c r="AF59" s="349"/>
      <c r="AG59" s="349"/>
      <c r="AH59" s="350"/>
    </row>
    <row r="60" spans="1:34" x14ac:dyDescent="0.2">
      <c r="A60" s="352"/>
      <c r="B60" s="353"/>
      <c r="C60" s="353"/>
      <c r="D60" s="353"/>
      <c r="E60" s="353"/>
      <c r="F60" s="353"/>
      <c r="G60" s="353"/>
      <c r="H60" s="353"/>
      <c r="I60" s="353"/>
      <c r="J60" s="353"/>
      <c r="K60" s="353"/>
      <c r="L60" s="353"/>
      <c r="M60" s="353"/>
      <c r="N60" s="353"/>
      <c r="O60" s="353"/>
      <c r="P60" s="353"/>
      <c r="Q60" s="353"/>
      <c r="R60" s="353"/>
      <c r="S60" s="353"/>
      <c r="T60" s="353"/>
      <c r="U60" s="353"/>
      <c r="V60" s="353"/>
      <c r="W60" s="353"/>
      <c r="X60" s="353"/>
      <c r="Y60" s="353"/>
      <c r="Z60" s="353"/>
      <c r="AA60" s="353"/>
      <c r="AB60" s="353"/>
      <c r="AC60" s="353"/>
      <c r="AD60" s="353"/>
      <c r="AE60" s="353"/>
      <c r="AF60" s="353"/>
      <c r="AG60" s="353"/>
      <c r="AH60" s="354"/>
    </row>
  </sheetData>
  <mergeCells count="273">
    <mergeCell ref="A43:AH44"/>
    <mergeCell ref="A45:AH45"/>
    <mergeCell ref="A46:AH46"/>
    <mergeCell ref="A47:AH60"/>
    <mergeCell ref="L27:P27"/>
    <mergeCell ref="L28:P28"/>
    <mergeCell ref="L29:P29"/>
    <mergeCell ref="A42:C42"/>
    <mergeCell ref="D42:E42"/>
    <mergeCell ref="F42:L42"/>
    <mergeCell ref="M42:S42"/>
    <mergeCell ref="T42:Z42"/>
    <mergeCell ref="AA42:AH42"/>
    <mergeCell ref="A41:C41"/>
    <mergeCell ref="D41:E41"/>
    <mergeCell ref="F41:L41"/>
    <mergeCell ref="M41:S41"/>
    <mergeCell ref="T41:Z41"/>
    <mergeCell ref="AA41:AH41"/>
    <mergeCell ref="A40:C40"/>
    <mergeCell ref="D40:E40"/>
    <mergeCell ref="F40:L40"/>
    <mergeCell ref="M40:S40"/>
    <mergeCell ref="T40:Z40"/>
    <mergeCell ref="AA40:AH40"/>
    <mergeCell ref="A39:C39"/>
    <mergeCell ref="D39:E39"/>
    <mergeCell ref="F39:L39"/>
    <mergeCell ref="M39:S39"/>
    <mergeCell ref="T39:Z39"/>
    <mergeCell ref="AA39:AH39"/>
    <mergeCell ref="A38:C38"/>
    <mergeCell ref="D38:E38"/>
    <mergeCell ref="F38:L38"/>
    <mergeCell ref="M38:S38"/>
    <mergeCell ref="T38:Z38"/>
    <mergeCell ref="AA38:AH38"/>
    <mergeCell ref="W36:AA36"/>
    <mergeCell ref="AB36:AD36"/>
    <mergeCell ref="AE36:AH36"/>
    <mergeCell ref="A37:C37"/>
    <mergeCell ref="D37:E37"/>
    <mergeCell ref="F37:L37"/>
    <mergeCell ref="M37:S37"/>
    <mergeCell ref="T37:Z37"/>
    <mergeCell ref="AA37:AH37"/>
    <mergeCell ref="A36:E36"/>
    <mergeCell ref="F36:H36"/>
    <mergeCell ref="I36:K36"/>
    <mergeCell ref="L36:P36"/>
    <mergeCell ref="Q36:S36"/>
    <mergeCell ref="T36:V36"/>
    <mergeCell ref="A35:E35"/>
    <mergeCell ref="F35:H35"/>
    <mergeCell ref="I35:K35"/>
    <mergeCell ref="L35:P35"/>
    <mergeCell ref="Q35:S35"/>
    <mergeCell ref="T35:V35"/>
    <mergeCell ref="W35:AA35"/>
    <mergeCell ref="AB35:AD35"/>
    <mergeCell ref="AE35:AH35"/>
    <mergeCell ref="AB33:AD33"/>
    <mergeCell ref="AE33:AH33"/>
    <mergeCell ref="A34:E34"/>
    <mergeCell ref="F34:H34"/>
    <mergeCell ref="I34:K34"/>
    <mergeCell ref="L34:P34"/>
    <mergeCell ref="Q34:S34"/>
    <mergeCell ref="T34:V34"/>
    <mergeCell ref="W34:AA34"/>
    <mergeCell ref="AB34:AD34"/>
    <mergeCell ref="AE34:AH34"/>
    <mergeCell ref="A33:E33"/>
    <mergeCell ref="F33:H33"/>
    <mergeCell ref="I33:K33"/>
    <mergeCell ref="L33:P33"/>
    <mergeCell ref="Q33:S33"/>
    <mergeCell ref="T33:V33"/>
    <mergeCell ref="W33:AA33"/>
    <mergeCell ref="F32:H32"/>
    <mergeCell ref="I32:K32"/>
    <mergeCell ref="L32:P32"/>
    <mergeCell ref="Q32:S32"/>
    <mergeCell ref="T32:V32"/>
    <mergeCell ref="A31:E31"/>
    <mergeCell ref="F31:H31"/>
    <mergeCell ref="I31:K31"/>
    <mergeCell ref="Q31:S31"/>
    <mergeCell ref="T31:V31"/>
    <mergeCell ref="W31:AA31"/>
    <mergeCell ref="AB31:AD31"/>
    <mergeCell ref="AE31:AH31"/>
    <mergeCell ref="W32:AA32"/>
    <mergeCell ref="AB32:AD32"/>
    <mergeCell ref="AE32:AH32"/>
    <mergeCell ref="AB29:AD29"/>
    <mergeCell ref="AE29:AH29"/>
    <mergeCell ref="A30:E30"/>
    <mergeCell ref="F30:H30"/>
    <mergeCell ref="I30:K30"/>
    <mergeCell ref="L30:P30"/>
    <mergeCell ref="Q30:S30"/>
    <mergeCell ref="T30:V30"/>
    <mergeCell ref="W30:AA30"/>
    <mergeCell ref="AB30:AD30"/>
    <mergeCell ref="A29:E29"/>
    <mergeCell ref="F29:H29"/>
    <mergeCell ref="I29:K29"/>
    <mergeCell ref="Q29:S29"/>
    <mergeCell ref="T29:V29"/>
    <mergeCell ref="W29:AA29"/>
    <mergeCell ref="AE30:AH30"/>
    <mergeCell ref="A32:E32"/>
    <mergeCell ref="AB27:AD27"/>
    <mergeCell ref="AE27:AH27"/>
    <mergeCell ref="A28:E28"/>
    <mergeCell ref="F28:H28"/>
    <mergeCell ref="I28:K28"/>
    <mergeCell ref="Q28:S28"/>
    <mergeCell ref="T28:V28"/>
    <mergeCell ref="W28:AA28"/>
    <mergeCell ref="AB28:AD28"/>
    <mergeCell ref="AE28:AH28"/>
    <mergeCell ref="A27:E27"/>
    <mergeCell ref="F27:H27"/>
    <mergeCell ref="I27:K27"/>
    <mergeCell ref="Q27:S27"/>
    <mergeCell ref="T27:V27"/>
    <mergeCell ref="W27:AA27"/>
    <mergeCell ref="AB25:AD25"/>
    <mergeCell ref="AE25:AH25"/>
    <mergeCell ref="A26:E26"/>
    <mergeCell ref="F26:H26"/>
    <mergeCell ref="I26:K26"/>
    <mergeCell ref="Q26:S26"/>
    <mergeCell ref="T26:V26"/>
    <mergeCell ref="W26:AA26"/>
    <mergeCell ref="AB26:AD26"/>
    <mergeCell ref="AE26:AH26"/>
    <mergeCell ref="A25:E25"/>
    <mergeCell ref="F25:H25"/>
    <mergeCell ref="I25:K25"/>
    <mergeCell ref="Q25:S25"/>
    <mergeCell ref="T25:V25"/>
    <mergeCell ref="W25:AA25"/>
    <mergeCell ref="A24:E24"/>
    <mergeCell ref="F24:H24"/>
    <mergeCell ref="I24:K24"/>
    <mergeCell ref="L24:P24"/>
    <mergeCell ref="Q24:S24"/>
    <mergeCell ref="T24:V24"/>
    <mergeCell ref="W24:AA24"/>
    <mergeCell ref="AB24:AD24"/>
    <mergeCell ref="AE24:AH24"/>
    <mergeCell ref="A23:E23"/>
    <mergeCell ref="F23:H23"/>
    <mergeCell ref="I23:K23"/>
    <mergeCell ref="L23:P23"/>
    <mergeCell ref="Q23:S23"/>
    <mergeCell ref="T23:V23"/>
    <mergeCell ref="W23:AA23"/>
    <mergeCell ref="AB23:AD23"/>
    <mergeCell ref="AE23:AH23"/>
    <mergeCell ref="W21:AA21"/>
    <mergeCell ref="AB21:AD21"/>
    <mergeCell ref="AE21:AH21"/>
    <mergeCell ref="A22:E22"/>
    <mergeCell ref="F22:H22"/>
    <mergeCell ref="I22:K22"/>
    <mergeCell ref="L22:P22"/>
    <mergeCell ref="Q22:S22"/>
    <mergeCell ref="T22:V22"/>
    <mergeCell ref="W22:AA22"/>
    <mergeCell ref="A21:E21"/>
    <mergeCell ref="F21:H21"/>
    <mergeCell ref="I21:K21"/>
    <mergeCell ref="L21:P21"/>
    <mergeCell ref="Q21:S21"/>
    <mergeCell ref="T21:V21"/>
    <mergeCell ref="AB22:AD22"/>
    <mergeCell ref="AE22:AH22"/>
    <mergeCell ref="A20:AH20"/>
    <mergeCell ref="A17:F17"/>
    <mergeCell ref="H17:M17"/>
    <mergeCell ref="O17:T17"/>
    <mergeCell ref="V17:AA17"/>
    <mergeCell ref="AC17:AG17"/>
    <mergeCell ref="A18:F18"/>
    <mergeCell ref="H18:M18"/>
    <mergeCell ref="O18:T18"/>
    <mergeCell ref="V18:AA18"/>
    <mergeCell ref="AC18:AG18"/>
    <mergeCell ref="A16:F16"/>
    <mergeCell ref="H16:M16"/>
    <mergeCell ref="O16:T16"/>
    <mergeCell ref="V16:AA16"/>
    <mergeCell ref="AC16:AG16"/>
    <mergeCell ref="A19:F19"/>
    <mergeCell ref="H19:M19"/>
    <mergeCell ref="O19:T19"/>
    <mergeCell ref="V19:AA19"/>
    <mergeCell ref="AC19:AG19"/>
    <mergeCell ref="A14:F14"/>
    <mergeCell ref="H14:M14"/>
    <mergeCell ref="O14:T14"/>
    <mergeCell ref="V14:AA14"/>
    <mergeCell ref="AC14:AG14"/>
    <mergeCell ref="A15:F15"/>
    <mergeCell ref="H15:M15"/>
    <mergeCell ref="O15:T15"/>
    <mergeCell ref="V15:AA15"/>
    <mergeCell ref="AC15:AG15"/>
    <mergeCell ref="A12:F12"/>
    <mergeCell ref="H12:M12"/>
    <mergeCell ref="O12:T12"/>
    <mergeCell ref="V12:AA12"/>
    <mergeCell ref="AC12:AG12"/>
    <mergeCell ref="A13:F13"/>
    <mergeCell ref="H13:M13"/>
    <mergeCell ref="O13:T13"/>
    <mergeCell ref="V13:AA13"/>
    <mergeCell ref="AC13:AG13"/>
    <mergeCell ref="A10:F10"/>
    <mergeCell ref="H10:M10"/>
    <mergeCell ref="O10:T10"/>
    <mergeCell ref="V10:AA10"/>
    <mergeCell ref="AC10:AG10"/>
    <mergeCell ref="A11:F11"/>
    <mergeCell ref="H11:M11"/>
    <mergeCell ref="O11:T11"/>
    <mergeCell ref="V11:AA11"/>
    <mergeCell ref="AC11:AG11"/>
    <mergeCell ref="A8:F8"/>
    <mergeCell ref="H8:M8"/>
    <mergeCell ref="O8:T8"/>
    <mergeCell ref="V8:AA8"/>
    <mergeCell ref="AC8:AG8"/>
    <mergeCell ref="A9:F9"/>
    <mergeCell ref="H9:M9"/>
    <mergeCell ref="O9:T9"/>
    <mergeCell ref="V9:AA9"/>
    <mergeCell ref="AC9:AG9"/>
    <mergeCell ref="A6:F6"/>
    <mergeCell ref="H6:M6"/>
    <mergeCell ref="O6:T6"/>
    <mergeCell ref="V6:AA6"/>
    <mergeCell ref="AC6:AG6"/>
    <mergeCell ref="A7:F7"/>
    <mergeCell ref="H7:M7"/>
    <mergeCell ref="O7:T7"/>
    <mergeCell ref="V7:AA7"/>
    <mergeCell ref="AC7:AG7"/>
    <mergeCell ref="A4:F4"/>
    <mergeCell ref="H4:M4"/>
    <mergeCell ref="O4:T4"/>
    <mergeCell ref="V4:AA4"/>
    <mergeCell ref="AC4:AG4"/>
    <mergeCell ref="A5:F5"/>
    <mergeCell ref="H5:M5"/>
    <mergeCell ref="O5:T5"/>
    <mergeCell ref="V5:AA5"/>
    <mergeCell ref="AC5:AG5"/>
    <mergeCell ref="A1:AH1"/>
    <mergeCell ref="A2:F2"/>
    <mergeCell ref="H2:M2"/>
    <mergeCell ref="O2:T2"/>
    <mergeCell ref="V2:AA2"/>
    <mergeCell ref="AC2:AG2"/>
    <mergeCell ref="A3:F3"/>
    <mergeCell ref="H3:M3"/>
    <mergeCell ref="O3:T3"/>
    <mergeCell ref="V3:AA3"/>
    <mergeCell ref="AC3:AG3"/>
  </mergeCells>
  <phoneticPr fontId="1"/>
  <pageMargins left="0.51181102362204722" right="0.31496062992125984" top="0.55118110236220474" bottom="0.35433070866141736" header="0.31496062992125984" footer="0.31496062992125984"/>
  <pageSetup paperSize="9" fitToWidth="0" orientation="portrait" horizontalDpi="4294967292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rgb="FF00B0F0"/>
    <pageSetUpPr fitToPage="1"/>
  </sheetPr>
  <dimension ref="A1:AH60"/>
  <sheetViews>
    <sheetView workbookViewId="0">
      <selection activeCell="W23" sqref="W23:AA23"/>
    </sheetView>
  </sheetViews>
  <sheetFormatPr defaultRowHeight="13" x14ac:dyDescent="0.2"/>
  <cols>
    <col min="1" max="47" width="2.6328125" customWidth="1"/>
  </cols>
  <sheetData>
    <row r="1" spans="1:34" ht="19.5" customHeight="1" x14ac:dyDescent="0.2">
      <c r="A1" s="282" t="s">
        <v>256</v>
      </c>
      <c r="B1" s="283"/>
      <c r="C1" s="283"/>
      <c r="D1" s="283"/>
      <c r="E1" s="283"/>
      <c r="F1" s="283"/>
      <c r="G1" s="283"/>
      <c r="H1" s="283"/>
      <c r="I1" s="283"/>
      <c r="J1" s="283"/>
      <c r="K1" s="283"/>
      <c r="L1" s="283"/>
      <c r="M1" s="283"/>
      <c r="N1" s="283"/>
      <c r="O1" s="283"/>
      <c r="P1" s="283"/>
      <c r="Q1" s="283"/>
      <c r="R1" s="283"/>
      <c r="S1" s="283"/>
      <c r="T1" s="283"/>
      <c r="U1" s="283"/>
      <c r="V1" s="283"/>
      <c r="W1" s="283"/>
      <c r="X1" s="283"/>
      <c r="Y1" s="283"/>
      <c r="Z1" s="283"/>
      <c r="AA1" s="283"/>
      <c r="AB1" s="283"/>
      <c r="AC1" s="283"/>
      <c r="AD1" s="283"/>
      <c r="AE1" s="283"/>
      <c r="AF1" s="283"/>
      <c r="AG1" s="283"/>
      <c r="AH1" s="284"/>
    </row>
    <row r="2" spans="1:34" x14ac:dyDescent="0.2">
      <c r="A2" s="285" t="s">
        <v>34</v>
      </c>
      <c r="B2" s="286"/>
      <c r="C2" s="286"/>
      <c r="D2" s="286"/>
      <c r="E2" s="286"/>
      <c r="F2" s="286"/>
      <c r="G2" s="17" t="s">
        <v>35</v>
      </c>
      <c r="H2" s="285" t="s">
        <v>34</v>
      </c>
      <c r="I2" s="286"/>
      <c r="J2" s="286"/>
      <c r="K2" s="286"/>
      <c r="L2" s="286"/>
      <c r="M2" s="286"/>
      <c r="N2" s="17" t="s">
        <v>35</v>
      </c>
      <c r="O2" s="285" t="s">
        <v>34</v>
      </c>
      <c r="P2" s="286"/>
      <c r="Q2" s="286"/>
      <c r="R2" s="286"/>
      <c r="S2" s="286"/>
      <c r="T2" s="286"/>
      <c r="U2" s="17" t="s">
        <v>35</v>
      </c>
      <c r="V2" s="285" t="s">
        <v>34</v>
      </c>
      <c r="W2" s="286"/>
      <c r="X2" s="286"/>
      <c r="Y2" s="286"/>
      <c r="Z2" s="286"/>
      <c r="AA2" s="286"/>
      <c r="AB2" s="17" t="s">
        <v>35</v>
      </c>
      <c r="AC2" s="285" t="s">
        <v>34</v>
      </c>
      <c r="AD2" s="286"/>
      <c r="AE2" s="286"/>
      <c r="AF2" s="286"/>
      <c r="AG2" s="286"/>
      <c r="AH2" s="17" t="s">
        <v>35</v>
      </c>
    </row>
    <row r="3" spans="1:34" x14ac:dyDescent="0.2">
      <c r="A3" s="287" t="s">
        <v>40</v>
      </c>
      <c r="B3" s="288"/>
      <c r="C3" s="288"/>
      <c r="D3" s="288"/>
      <c r="E3" s="288"/>
      <c r="F3" s="289"/>
      <c r="G3" s="36"/>
      <c r="H3" s="287" t="s">
        <v>22</v>
      </c>
      <c r="I3" s="288"/>
      <c r="J3" s="288"/>
      <c r="K3" s="288"/>
      <c r="L3" s="288"/>
      <c r="M3" s="289"/>
      <c r="N3" s="36"/>
      <c r="O3" s="287" t="s">
        <v>30</v>
      </c>
      <c r="P3" s="288"/>
      <c r="Q3" s="288"/>
      <c r="R3" s="288"/>
      <c r="S3" s="288"/>
      <c r="T3" s="289"/>
      <c r="U3" s="36"/>
      <c r="V3" s="287" t="s">
        <v>216</v>
      </c>
      <c r="W3" s="288"/>
      <c r="X3" s="288"/>
      <c r="Y3" s="288"/>
      <c r="Z3" s="288"/>
      <c r="AA3" s="289"/>
      <c r="AB3" s="16"/>
      <c r="AC3" s="383" t="s">
        <v>240</v>
      </c>
      <c r="AD3" s="384"/>
      <c r="AE3" s="384"/>
      <c r="AF3" s="384"/>
      <c r="AG3" s="384"/>
      <c r="AH3" s="16"/>
    </row>
    <row r="4" spans="1:34" x14ac:dyDescent="0.2">
      <c r="A4" s="290" t="s">
        <v>18</v>
      </c>
      <c r="B4" s="291"/>
      <c r="C4" s="291"/>
      <c r="D4" s="291"/>
      <c r="E4" s="291"/>
      <c r="F4" s="292"/>
      <c r="G4" s="14"/>
      <c r="H4" s="290" t="s">
        <v>23</v>
      </c>
      <c r="I4" s="291"/>
      <c r="J4" s="291"/>
      <c r="K4" s="291"/>
      <c r="L4" s="291"/>
      <c r="M4" s="292"/>
      <c r="N4" s="14"/>
      <c r="O4" s="290" t="s">
        <v>134</v>
      </c>
      <c r="P4" s="291"/>
      <c r="Q4" s="291"/>
      <c r="R4" s="291"/>
      <c r="S4" s="291"/>
      <c r="T4" s="292"/>
      <c r="U4" s="14"/>
      <c r="V4" s="290" t="s">
        <v>249</v>
      </c>
      <c r="W4" s="291"/>
      <c r="X4" s="291"/>
      <c r="Y4" s="291"/>
      <c r="Z4" s="291"/>
      <c r="AA4" s="292"/>
      <c r="AB4" s="16"/>
      <c r="AC4" s="385" t="s">
        <v>240</v>
      </c>
      <c r="AD4" s="386"/>
      <c r="AE4" s="386"/>
      <c r="AF4" s="386"/>
      <c r="AG4" s="387"/>
      <c r="AH4" s="14"/>
    </row>
    <row r="5" spans="1:34" x14ac:dyDescent="0.2">
      <c r="A5" s="290" t="s">
        <v>88</v>
      </c>
      <c r="B5" s="291"/>
      <c r="C5" s="291"/>
      <c r="D5" s="291"/>
      <c r="E5" s="291"/>
      <c r="F5" s="292"/>
      <c r="G5" s="14"/>
      <c r="H5" s="290" t="s">
        <v>41</v>
      </c>
      <c r="I5" s="291"/>
      <c r="J5" s="291"/>
      <c r="K5" s="291"/>
      <c r="L5" s="291"/>
      <c r="M5" s="292"/>
      <c r="N5" s="14"/>
      <c r="O5" s="290" t="s">
        <v>151</v>
      </c>
      <c r="P5" s="291"/>
      <c r="Q5" s="291"/>
      <c r="R5" s="291"/>
      <c r="S5" s="291"/>
      <c r="T5" s="292"/>
      <c r="U5" s="14"/>
      <c r="V5" s="290" t="s">
        <v>217</v>
      </c>
      <c r="W5" s="291"/>
      <c r="X5" s="291"/>
      <c r="Y5" s="291"/>
      <c r="Z5" s="291"/>
      <c r="AA5" s="292"/>
      <c r="AB5" s="16"/>
      <c r="AC5" s="385" t="s">
        <v>240</v>
      </c>
      <c r="AD5" s="386"/>
      <c r="AE5" s="386"/>
      <c r="AF5" s="386"/>
      <c r="AG5" s="387"/>
      <c r="AH5" s="14"/>
    </row>
    <row r="6" spans="1:34" x14ac:dyDescent="0.2">
      <c r="A6" s="290" t="s">
        <v>19</v>
      </c>
      <c r="B6" s="291"/>
      <c r="C6" s="291"/>
      <c r="D6" s="291"/>
      <c r="E6" s="291"/>
      <c r="F6" s="292"/>
      <c r="G6" s="14"/>
      <c r="H6" s="290" t="s">
        <v>24</v>
      </c>
      <c r="I6" s="291"/>
      <c r="J6" s="291"/>
      <c r="K6" s="291"/>
      <c r="L6" s="291"/>
      <c r="M6" s="292"/>
      <c r="N6" s="14"/>
      <c r="O6" s="290" t="s">
        <v>125</v>
      </c>
      <c r="P6" s="291"/>
      <c r="Q6" s="291"/>
      <c r="R6" s="291"/>
      <c r="S6" s="291"/>
      <c r="T6" s="292"/>
      <c r="U6" s="14"/>
      <c r="V6" s="290" t="s">
        <v>218</v>
      </c>
      <c r="W6" s="291"/>
      <c r="X6" s="291"/>
      <c r="Y6" s="291"/>
      <c r="Z6" s="291"/>
      <c r="AA6" s="292"/>
      <c r="AB6" s="16"/>
      <c r="AC6" s="385" t="s">
        <v>240</v>
      </c>
      <c r="AD6" s="386"/>
      <c r="AE6" s="386"/>
      <c r="AF6" s="386"/>
      <c r="AG6" s="387"/>
      <c r="AH6" s="14"/>
    </row>
    <row r="7" spans="1:34" x14ac:dyDescent="0.2">
      <c r="A7" s="290" t="s">
        <v>20</v>
      </c>
      <c r="B7" s="291"/>
      <c r="C7" s="291"/>
      <c r="D7" s="291"/>
      <c r="E7" s="291"/>
      <c r="F7" s="292"/>
      <c r="G7" s="14"/>
      <c r="H7" s="290" t="s">
        <v>25</v>
      </c>
      <c r="I7" s="291"/>
      <c r="J7" s="291"/>
      <c r="K7" s="291"/>
      <c r="L7" s="291"/>
      <c r="M7" s="292"/>
      <c r="N7" s="14"/>
      <c r="O7" s="290" t="s">
        <v>106</v>
      </c>
      <c r="P7" s="291"/>
      <c r="Q7" s="291"/>
      <c r="R7" s="291"/>
      <c r="S7" s="291"/>
      <c r="T7" s="292"/>
      <c r="U7" s="14"/>
      <c r="V7" s="290" t="s">
        <v>219</v>
      </c>
      <c r="W7" s="291"/>
      <c r="X7" s="291"/>
      <c r="Y7" s="291"/>
      <c r="Z7" s="291"/>
      <c r="AA7" s="292"/>
      <c r="AB7" s="16"/>
      <c r="AC7" s="385" t="s">
        <v>240</v>
      </c>
      <c r="AD7" s="386"/>
      <c r="AE7" s="386"/>
      <c r="AF7" s="386"/>
      <c r="AG7" s="387"/>
      <c r="AH7" s="14"/>
    </row>
    <row r="8" spans="1:34" x14ac:dyDescent="0.2">
      <c r="A8" s="290" t="s">
        <v>44</v>
      </c>
      <c r="B8" s="291"/>
      <c r="C8" s="291"/>
      <c r="D8" s="291"/>
      <c r="E8" s="291"/>
      <c r="F8" s="292"/>
      <c r="G8" s="14"/>
      <c r="H8" s="290" t="s">
        <v>26</v>
      </c>
      <c r="I8" s="291"/>
      <c r="J8" s="291"/>
      <c r="K8" s="291"/>
      <c r="L8" s="291"/>
      <c r="M8" s="292"/>
      <c r="N8" s="14"/>
      <c r="O8" s="290" t="s">
        <v>31</v>
      </c>
      <c r="P8" s="291"/>
      <c r="Q8" s="291"/>
      <c r="R8" s="291"/>
      <c r="S8" s="291"/>
      <c r="T8" s="292"/>
      <c r="U8" s="14"/>
      <c r="V8" s="290" t="s">
        <v>220</v>
      </c>
      <c r="W8" s="291"/>
      <c r="X8" s="291"/>
      <c r="Y8" s="291"/>
      <c r="Z8" s="291"/>
      <c r="AA8" s="292"/>
      <c r="AB8" s="16"/>
      <c r="AC8" s="290"/>
      <c r="AD8" s="291"/>
      <c r="AE8" s="291"/>
      <c r="AF8" s="291"/>
      <c r="AG8" s="292"/>
      <c r="AH8" s="14"/>
    </row>
    <row r="9" spans="1:34" x14ac:dyDescent="0.2">
      <c r="A9" s="290" t="s">
        <v>38</v>
      </c>
      <c r="B9" s="291"/>
      <c r="C9" s="291"/>
      <c r="D9" s="291"/>
      <c r="E9" s="291"/>
      <c r="F9" s="292"/>
      <c r="G9" s="14"/>
      <c r="H9" s="290" t="s">
        <v>27</v>
      </c>
      <c r="I9" s="291"/>
      <c r="J9" s="291"/>
      <c r="K9" s="291"/>
      <c r="L9" s="291"/>
      <c r="M9" s="292"/>
      <c r="N9" s="14"/>
      <c r="O9" s="290" t="s">
        <v>32</v>
      </c>
      <c r="P9" s="291"/>
      <c r="Q9" s="291"/>
      <c r="R9" s="291"/>
      <c r="S9" s="291"/>
      <c r="T9" s="292"/>
      <c r="U9" s="14"/>
      <c r="V9" s="290" t="s">
        <v>45</v>
      </c>
      <c r="W9" s="291"/>
      <c r="X9" s="291"/>
      <c r="Y9" s="291"/>
      <c r="Z9" s="291"/>
      <c r="AA9" s="292"/>
      <c r="AB9" s="16"/>
      <c r="AC9" s="290"/>
      <c r="AD9" s="291"/>
      <c r="AE9" s="291"/>
      <c r="AF9" s="291"/>
      <c r="AG9" s="292"/>
      <c r="AH9" s="14"/>
    </row>
    <row r="10" spans="1:34" x14ac:dyDescent="0.2">
      <c r="A10" s="290" t="s">
        <v>21</v>
      </c>
      <c r="B10" s="291"/>
      <c r="C10" s="291"/>
      <c r="D10" s="291"/>
      <c r="E10" s="291"/>
      <c r="F10" s="292"/>
      <c r="G10" s="14"/>
      <c r="H10" s="290" t="s">
        <v>46</v>
      </c>
      <c r="I10" s="291"/>
      <c r="J10" s="291"/>
      <c r="K10" s="291"/>
      <c r="L10" s="291"/>
      <c r="M10" s="292"/>
      <c r="N10" s="14"/>
      <c r="O10" s="290" t="s">
        <v>107</v>
      </c>
      <c r="P10" s="291"/>
      <c r="Q10" s="291"/>
      <c r="R10" s="291"/>
      <c r="S10" s="291"/>
      <c r="T10" s="292"/>
      <c r="U10" s="14"/>
      <c r="V10" s="290" t="s">
        <v>48</v>
      </c>
      <c r="W10" s="291"/>
      <c r="X10" s="291"/>
      <c r="Y10" s="291"/>
      <c r="Z10" s="291"/>
      <c r="AA10" s="292"/>
      <c r="AB10" s="16"/>
      <c r="AC10" s="290"/>
      <c r="AD10" s="291"/>
      <c r="AE10" s="291"/>
      <c r="AF10" s="291"/>
      <c r="AG10" s="292"/>
      <c r="AH10" s="14"/>
    </row>
    <row r="11" spans="1:34" x14ac:dyDescent="0.2">
      <c r="A11" s="290" t="s">
        <v>49</v>
      </c>
      <c r="B11" s="291"/>
      <c r="C11" s="291"/>
      <c r="D11" s="291"/>
      <c r="E11" s="291"/>
      <c r="F11" s="292"/>
      <c r="G11" s="14"/>
      <c r="H11" s="290" t="s">
        <v>28</v>
      </c>
      <c r="I11" s="291"/>
      <c r="J11" s="291"/>
      <c r="K11" s="291"/>
      <c r="L11" s="291"/>
      <c r="M11" s="292"/>
      <c r="N11" s="14"/>
      <c r="O11" s="290"/>
      <c r="P11" s="291"/>
      <c r="Q11" s="291"/>
      <c r="R11" s="291"/>
      <c r="S11" s="291"/>
      <c r="T11" s="292"/>
      <c r="U11" s="14"/>
      <c r="V11" s="290" t="s">
        <v>96</v>
      </c>
      <c r="W11" s="291"/>
      <c r="X11" s="291"/>
      <c r="Y11" s="291"/>
      <c r="Z11" s="291"/>
      <c r="AA11" s="292"/>
      <c r="AB11" s="16"/>
      <c r="AC11" s="290"/>
      <c r="AD11" s="291"/>
      <c r="AE11" s="291"/>
      <c r="AF11" s="291"/>
      <c r="AG11" s="292"/>
      <c r="AH11" s="14"/>
    </row>
    <row r="12" spans="1:34" x14ac:dyDescent="0.2">
      <c r="A12" s="290" t="s">
        <v>51</v>
      </c>
      <c r="B12" s="291"/>
      <c r="C12" s="291"/>
      <c r="D12" s="291"/>
      <c r="E12" s="291"/>
      <c r="F12" s="292"/>
      <c r="G12" s="14"/>
      <c r="H12" s="290" t="s">
        <v>29</v>
      </c>
      <c r="I12" s="291"/>
      <c r="J12" s="291"/>
      <c r="K12" s="291"/>
      <c r="L12" s="291"/>
      <c r="M12" s="292"/>
      <c r="N12" s="14"/>
      <c r="O12" s="290" t="s">
        <v>50</v>
      </c>
      <c r="P12" s="291"/>
      <c r="Q12" s="291"/>
      <c r="R12" s="291"/>
      <c r="S12" s="291"/>
      <c r="T12" s="292"/>
      <c r="U12" s="14"/>
      <c r="V12" s="290" t="s">
        <v>97</v>
      </c>
      <c r="W12" s="291"/>
      <c r="X12" s="291"/>
      <c r="Y12" s="291"/>
      <c r="Z12" s="291"/>
      <c r="AA12" s="292"/>
      <c r="AB12" s="16"/>
      <c r="AC12" s="290"/>
      <c r="AD12" s="291"/>
      <c r="AE12" s="291"/>
      <c r="AF12" s="291"/>
      <c r="AG12" s="292"/>
      <c r="AH12" s="14"/>
    </row>
    <row r="13" spans="1:34" x14ac:dyDescent="0.2">
      <c r="A13" s="290" t="s">
        <v>53</v>
      </c>
      <c r="B13" s="291"/>
      <c r="C13" s="291"/>
      <c r="D13" s="291"/>
      <c r="E13" s="291"/>
      <c r="F13" s="292"/>
      <c r="G13" s="14"/>
      <c r="H13" s="290" t="s">
        <v>105</v>
      </c>
      <c r="I13" s="291"/>
      <c r="J13" s="291"/>
      <c r="K13" s="291"/>
      <c r="L13" s="291"/>
      <c r="M13" s="292"/>
      <c r="N13" s="14"/>
      <c r="O13" s="290" t="s">
        <v>52</v>
      </c>
      <c r="P13" s="291"/>
      <c r="Q13" s="291"/>
      <c r="R13" s="291"/>
      <c r="S13" s="291"/>
      <c r="T13" s="292"/>
      <c r="U13" s="14"/>
      <c r="V13" s="290" t="s">
        <v>131</v>
      </c>
      <c r="W13" s="291"/>
      <c r="X13" s="291"/>
      <c r="Y13" s="291"/>
      <c r="Z13" s="291"/>
      <c r="AA13" s="292"/>
      <c r="AB13" s="16"/>
      <c r="AC13" s="290"/>
      <c r="AD13" s="291"/>
      <c r="AE13" s="291"/>
      <c r="AF13" s="291"/>
      <c r="AG13" s="292"/>
      <c r="AH13" s="14"/>
    </row>
    <row r="14" spans="1:34" x14ac:dyDescent="0.2">
      <c r="A14" s="290" t="s">
        <v>90</v>
      </c>
      <c r="B14" s="291"/>
      <c r="C14" s="291"/>
      <c r="D14" s="291"/>
      <c r="E14" s="291"/>
      <c r="F14" s="292"/>
      <c r="G14" s="14"/>
      <c r="H14" s="290" t="s">
        <v>98</v>
      </c>
      <c r="I14" s="291"/>
      <c r="J14" s="291"/>
      <c r="K14" s="291"/>
      <c r="L14" s="291"/>
      <c r="M14" s="292"/>
      <c r="N14" s="14"/>
      <c r="O14" s="290" t="s">
        <v>39</v>
      </c>
      <c r="P14" s="291"/>
      <c r="Q14" s="291"/>
      <c r="R14" s="291"/>
      <c r="S14" s="291"/>
      <c r="T14" s="292"/>
      <c r="U14" s="14"/>
      <c r="V14" s="290" t="s">
        <v>114</v>
      </c>
      <c r="W14" s="291"/>
      <c r="X14" s="291"/>
      <c r="Y14" s="291"/>
      <c r="Z14" s="291"/>
      <c r="AA14" s="292"/>
      <c r="AB14" s="16"/>
      <c r="AC14" s="290"/>
      <c r="AD14" s="291"/>
      <c r="AE14" s="291"/>
      <c r="AF14" s="291"/>
      <c r="AG14" s="292"/>
      <c r="AH14" s="14"/>
    </row>
    <row r="15" spans="1:34" x14ac:dyDescent="0.2">
      <c r="A15" s="290" t="s">
        <v>91</v>
      </c>
      <c r="B15" s="291"/>
      <c r="C15" s="291"/>
      <c r="D15" s="291"/>
      <c r="E15" s="291"/>
      <c r="F15" s="292"/>
      <c r="G15" s="14"/>
      <c r="H15" s="290"/>
      <c r="I15" s="291"/>
      <c r="J15" s="291"/>
      <c r="K15" s="291"/>
      <c r="L15" s="291"/>
      <c r="M15" s="292"/>
      <c r="N15" s="14"/>
      <c r="O15" s="290"/>
      <c r="P15" s="291"/>
      <c r="Q15" s="291"/>
      <c r="R15" s="291"/>
      <c r="S15" s="291"/>
      <c r="T15" s="292"/>
      <c r="U15" s="14"/>
      <c r="V15" s="290" t="s">
        <v>113</v>
      </c>
      <c r="W15" s="291"/>
      <c r="X15" s="291"/>
      <c r="Y15" s="291"/>
      <c r="Z15" s="291"/>
      <c r="AA15" s="292"/>
      <c r="AB15" s="14"/>
      <c r="AC15" s="290"/>
      <c r="AD15" s="291"/>
      <c r="AE15" s="291"/>
      <c r="AF15" s="291"/>
      <c r="AG15" s="292"/>
      <c r="AH15" s="14"/>
    </row>
    <row r="16" spans="1:34" x14ac:dyDescent="0.2">
      <c r="A16" s="290" t="s">
        <v>92</v>
      </c>
      <c r="B16" s="291"/>
      <c r="C16" s="291"/>
      <c r="D16" s="291"/>
      <c r="E16" s="291"/>
      <c r="F16" s="292"/>
      <c r="G16" s="14"/>
      <c r="H16" s="290" t="s">
        <v>204</v>
      </c>
      <c r="I16" s="291"/>
      <c r="J16" s="291"/>
      <c r="K16" s="291"/>
      <c r="L16" s="291"/>
      <c r="M16" s="292"/>
      <c r="N16" s="14"/>
      <c r="O16" s="290" t="s">
        <v>78</v>
      </c>
      <c r="P16" s="291"/>
      <c r="Q16" s="291"/>
      <c r="R16" s="291"/>
      <c r="S16" s="291"/>
      <c r="T16" s="292"/>
      <c r="U16" s="14"/>
      <c r="V16" s="290" t="s">
        <v>121</v>
      </c>
      <c r="W16" s="291"/>
      <c r="X16" s="291"/>
      <c r="Y16" s="291"/>
      <c r="Z16" s="291"/>
      <c r="AA16" s="292"/>
      <c r="AB16" s="16"/>
      <c r="AC16" s="290" t="s">
        <v>258</v>
      </c>
      <c r="AD16" s="291"/>
      <c r="AE16" s="291"/>
      <c r="AF16" s="291"/>
      <c r="AG16" s="292"/>
      <c r="AH16" s="14"/>
    </row>
    <row r="17" spans="1:34" x14ac:dyDescent="0.2">
      <c r="A17" s="388" t="s">
        <v>244</v>
      </c>
      <c r="B17" s="389"/>
      <c r="C17" s="389"/>
      <c r="D17" s="389"/>
      <c r="E17" s="389"/>
      <c r="F17" s="390"/>
      <c r="G17" s="14"/>
      <c r="H17" s="290" t="s">
        <v>247</v>
      </c>
      <c r="I17" s="291"/>
      <c r="J17" s="291"/>
      <c r="K17" s="291"/>
      <c r="L17" s="291"/>
      <c r="M17" s="292"/>
      <c r="N17" s="14"/>
      <c r="O17" s="290"/>
      <c r="P17" s="291"/>
      <c r="Q17" s="291"/>
      <c r="R17" s="291"/>
      <c r="S17" s="291"/>
      <c r="T17" s="292"/>
      <c r="U17" s="14"/>
      <c r="V17" s="290" t="s">
        <v>245</v>
      </c>
      <c r="W17" s="291"/>
      <c r="X17" s="291"/>
      <c r="Y17" s="291"/>
      <c r="Z17" s="291"/>
      <c r="AA17" s="292"/>
      <c r="AB17" s="16"/>
      <c r="AC17" s="290"/>
      <c r="AD17" s="291"/>
      <c r="AE17" s="291"/>
      <c r="AF17" s="291"/>
      <c r="AG17" s="292"/>
      <c r="AH17" s="14"/>
    </row>
    <row r="18" spans="1:34" x14ac:dyDescent="0.2">
      <c r="A18" s="290" t="s">
        <v>246</v>
      </c>
      <c r="B18" s="291"/>
      <c r="C18" s="291"/>
      <c r="D18" s="291"/>
      <c r="E18" s="291"/>
      <c r="F18" s="292"/>
      <c r="G18" s="14"/>
      <c r="H18" s="290"/>
      <c r="I18" s="291"/>
      <c r="J18" s="291"/>
      <c r="K18" s="291"/>
      <c r="L18" s="291"/>
      <c r="M18" s="292"/>
      <c r="N18" s="14"/>
      <c r="O18" s="290"/>
      <c r="P18" s="291"/>
      <c r="Q18" s="291"/>
      <c r="R18" s="291"/>
      <c r="S18" s="291"/>
      <c r="T18" s="292"/>
      <c r="U18" s="14"/>
      <c r="V18" s="290" t="s">
        <v>245</v>
      </c>
      <c r="W18" s="291"/>
      <c r="X18" s="291"/>
      <c r="Y18" s="291"/>
      <c r="Z18" s="291"/>
      <c r="AA18" s="292"/>
      <c r="AB18" s="14"/>
      <c r="AC18" s="290"/>
      <c r="AD18" s="291"/>
      <c r="AE18" s="291"/>
      <c r="AF18" s="291"/>
      <c r="AG18" s="292"/>
      <c r="AH18" s="14"/>
    </row>
    <row r="19" spans="1:34" ht="13.5" customHeight="1" x14ac:dyDescent="0.2">
      <c r="A19" s="322"/>
      <c r="B19" s="323"/>
      <c r="C19" s="323"/>
      <c r="D19" s="323"/>
      <c r="E19" s="323"/>
      <c r="F19" s="324"/>
      <c r="G19" s="16"/>
      <c r="H19" s="322"/>
      <c r="I19" s="323"/>
      <c r="J19" s="323"/>
      <c r="K19" s="323"/>
      <c r="L19" s="323"/>
      <c r="M19" s="324"/>
      <c r="N19" s="15"/>
      <c r="O19" s="322"/>
      <c r="P19" s="323"/>
      <c r="Q19" s="323"/>
      <c r="R19" s="323"/>
      <c r="S19" s="323"/>
      <c r="T19" s="324"/>
      <c r="U19" s="14"/>
      <c r="V19" s="322"/>
      <c r="W19" s="323"/>
      <c r="X19" s="323"/>
      <c r="Y19" s="323"/>
      <c r="Z19" s="323"/>
      <c r="AA19" s="324"/>
      <c r="AB19" s="15"/>
      <c r="AC19" s="322"/>
      <c r="AD19" s="323"/>
      <c r="AE19" s="323"/>
      <c r="AF19" s="323"/>
      <c r="AG19" s="324"/>
      <c r="AH19" s="15"/>
    </row>
    <row r="20" spans="1:34" ht="19.5" customHeight="1" x14ac:dyDescent="0.2">
      <c r="A20" s="325" t="s">
        <v>257</v>
      </c>
      <c r="B20" s="283"/>
      <c r="C20" s="283"/>
      <c r="D20" s="283"/>
      <c r="E20" s="283"/>
      <c r="F20" s="283"/>
      <c r="G20" s="283"/>
      <c r="H20" s="283"/>
      <c r="I20" s="283"/>
      <c r="J20" s="283"/>
      <c r="K20" s="283"/>
      <c r="L20" s="283"/>
      <c r="M20" s="283"/>
      <c r="N20" s="283"/>
      <c r="O20" s="283"/>
      <c r="P20" s="283"/>
      <c r="Q20" s="283"/>
      <c r="R20" s="283"/>
      <c r="S20" s="283"/>
      <c r="T20" s="283"/>
      <c r="U20" s="283"/>
      <c r="V20" s="283"/>
      <c r="W20" s="283"/>
      <c r="X20" s="283"/>
      <c r="Y20" s="283"/>
      <c r="Z20" s="283"/>
      <c r="AA20" s="283"/>
      <c r="AB20" s="283"/>
      <c r="AC20" s="283"/>
      <c r="AD20" s="283"/>
      <c r="AE20" s="283"/>
      <c r="AF20" s="283"/>
      <c r="AG20" s="283"/>
      <c r="AH20" s="284"/>
    </row>
    <row r="21" spans="1:34" ht="13.5" customHeight="1" x14ac:dyDescent="0.2">
      <c r="A21" s="285" t="s">
        <v>34</v>
      </c>
      <c r="B21" s="286"/>
      <c r="C21" s="286"/>
      <c r="D21" s="286"/>
      <c r="E21" s="293"/>
      <c r="F21" s="285" t="s">
        <v>99</v>
      </c>
      <c r="G21" s="286"/>
      <c r="H21" s="294"/>
      <c r="I21" s="285" t="s">
        <v>100</v>
      </c>
      <c r="J21" s="286"/>
      <c r="K21" s="286"/>
      <c r="L21" s="285" t="s">
        <v>34</v>
      </c>
      <c r="M21" s="286"/>
      <c r="N21" s="286"/>
      <c r="O21" s="286"/>
      <c r="P21" s="293"/>
      <c r="Q21" s="285" t="s">
        <v>99</v>
      </c>
      <c r="R21" s="286"/>
      <c r="S21" s="294"/>
      <c r="T21" s="285" t="s">
        <v>100</v>
      </c>
      <c r="U21" s="286"/>
      <c r="V21" s="286"/>
      <c r="W21" s="285" t="s">
        <v>34</v>
      </c>
      <c r="X21" s="286"/>
      <c r="Y21" s="286"/>
      <c r="Z21" s="286"/>
      <c r="AA21" s="286"/>
      <c r="AB21" s="285" t="s">
        <v>99</v>
      </c>
      <c r="AC21" s="295"/>
      <c r="AD21" s="296"/>
      <c r="AE21" s="285" t="s">
        <v>100</v>
      </c>
      <c r="AF21" s="295"/>
      <c r="AG21" s="295"/>
      <c r="AH21" s="296"/>
    </row>
    <row r="22" spans="1:34" ht="13.5" customHeight="1" x14ac:dyDescent="0.2">
      <c r="A22" s="297" t="s">
        <v>145</v>
      </c>
      <c r="B22" s="298"/>
      <c r="C22" s="298"/>
      <c r="D22" s="298"/>
      <c r="E22" s="299"/>
      <c r="F22" s="306"/>
      <c r="G22" s="307"/>
      <c r="H22" s="308"/>
      <c r="I22" s="306"/>
      <c r="J22" s="307"/>
      <c r="K22" s="308"/>
      <c r="L22" s="287" t="s">
        <v>147</v>
      </c>
      <c r="M22" s="391"/>
      <c r="N22" s="391"/>
      <c r="O22" s="391"/>
      <c r="P22" s="392"/>
      <c r="Q22" s="306"/>
      <c r="R22" s="307"/>
      <c r="S22" s="308"/>
      <c r="T22" s="306"/>
      <c r="U22" s="307"/>
      <c r="V22" s="308"/>
      <c r="W22" s="303" t="s">
        <v>138</v>
      </c>
      <c r="X22" s="304"/>
      <c r="Y22" s="304"/>
      <c r="Z22" s="304"/>
      <c r="AA22" s="393"/>
      <c r="AB22" s="306"/>
      <c r="AC22" s="307"/>
      <c r="AD22" s="308"/>
      <c r="AE22" s="306"/>
      <c r="AF22" s="307"/>
      <c r="AG22" s="307"/>
      <c r="AH22" s="308"/>
    </row>
    <row r="23" spans="1:34" ht="13.5" customHeight="1" x14ac:dyDescent="0.2">
      <c r="A23" s="311" t="s">
        <v>139</v>
      </c>
      <c r="B23" s="394"/>
      <c r="C23" s="394"/>
      <c r="D23" s="394"/>
      <c r="E23" s="395"/>
      <c r="F23" s="300"/>
      <c r="G23" s="301"/>
      <c r="H23" s="305"/>
      <c r="I23" s="300"/>
      <c r="J23" s="301"/>
      <c r="K23" s="305"/>
      <c r="L23" s="290" t="s">
        <v>148</v>
      </c>
      <c r="M23" s="396"/>
      <c r="N23" s="396"/>
      <c r="O23" s="396"/>
      <c r="P23" s="397"/>
      <c r="Q23" s="300"/>
      <c r="R23" s="301"/>
      <c r="S23" s="305"/>
      <c r="T23" s="300"/>
      <c r="U23" s="301"/>
      <c r="V23" s="305"/>
      <c r="W23" s="309"/>
      <c r="X23" s="310"/>
      <c r="Y23" s="310"/>
      <c r="Z23" s="310"/>
      <c r="AA23" s="315"/>
      <c r="AB23" s="300"/>
      <c r="AC23" s="301"/>
      <c r="AD23" s="305"/>
      <c r="AE23" s="300"/>
      <c r="AF23" s="301"/>
      <c r="AG23" s="301"/>
      <c r="AH23" s="305"/>
    </row>
    <row r="24" spans="1:34" ht="13.5" customHeight="1" x14ac:dyDescent="0.2">
      <c r="A24" s="314" t="s">
        <v>140</v>
      </c>
      <c r="B24" s="316"/>
      <c r="C24" s="316"/>
      <c r="D24" s="316"/>
      <c r="E24" s="317"/>
      <c r="F24" s="300"/>
      <c r="G24" s="301"/>
      <c r="H24" s="305"/>
      <c r="I24" s="300"/>
      <c r="J24" s="301"/>
      <c r="K24" s="305"/>
      <c r="L24" s="290" t="s">
        <v>149</v>
      </c>
      <c r="M24" s="396"/>
      <c r="N24" s="396"/>
      <c r="O24" s="396"/>
      <c r="P24" s="397"/>
      <c r="Q24" s="300"/>
      <c r="R24" s="301"/>
      <c r="S24" s="305"/>
      <c r="T24" s="300"/>
      <c r="U24" s="301"/>
      <c r="V24" s="305"/>
      <c r="W24" s="309"/>
      <c r="X24" s="310"/>
      <c r="Y24" s="310"/>
      <c r="Z24" s="310"/>
      <c r="AA24" s="315"/>
      <c r="AB24" s="300"/>
      <c r="AC24" s="301"/>
      <c r="AD24" s="305"/>
      <c r="AE24" s="300"/>
      <c r="AF24" s="301"/>
      <c r="AG24" s="301"/>
      <c r="AH24" s="305"/>
    </row>
    <row r="25" spans="1:34" ht="13.5" customHeight="1" x14ac:dyDescent="0.2">
      <c r="A25" s="314" t="s">
        <v>142</v>
      </c>
      <c r="B25" s="316"/>
      <c r="C25" s="316"/>
      <c r="D25" s="316"/>
      <c r="E25" s="317"/>
      <c r="F25" s="300"/>
      <c r="G25" s="301"/>
      <c r="H25" s="305"/>
      <c r="I25" s="300"/>
      <c r="J25" s="301"/>
      <c r="K25" s="305"/>
      <c r="L25" s="108" t="s">
        <v>150</v>
      </c>
      <c r="M25" s="109"/>
      <c r="N25" s="109"/>
      <c r="O25" s="109"/>
      <c r="P25" s="110"/>
      <c r="Q25" s="300"/>
      <c r="R25" s="301"/>
      <c r="S25" s="305"/>
      <c r="T25" s="300"/>
      <c r="U25" s="301"/>
      <c r="V25" s="305"/>
      <c r="W25" s="309"/>
      <c r="X25" s="310"/>
      <c r="Y25" s="310"/>
      <c r="Z25" s="310"/>
      <c r="AA25" s="315"/>
      <c r="AB25" s="300"/>
      <c r="AC25" s="301"/>
      <c r="AD25" s="305"/>
      <c r="AE25" s="300"/>
      <c r="AF25" s="301"/>
      <c r="AG25" s="301"/>
      <c r="AH25" s="305"/>
    </row>
    <row r="26" spans="1:34" ht="13.5" customHeight="1" x14ac:dyDescent="0.2">
      <c r="A26" s="314" t="s">
        <v>231</v>
      </c>
      <c r="B26" s="316"/>
      <c r="C26" s="316"/>
      <c r="D26" s="316"/>
      <c r="E26" s="317"/>
      <c r="F26" s="300"/>
      <c r="G26" s="301"/>
      <c r="H26" s="305"/>
      <c r="I26" s="300"/>
      <c r="J26" s="301"/>
      <c r="K26" s="305"/>
      <c r="L26" s="108" t="s">
        <v>150</v>
      </c>
      <c r="M26" s="109"/>
      <c r="N26" s="109"/>
      <c r="O26" s="109"/>
      <c r="P26" s="110"/>
      <c r="Q26" s="300"/>
      <c r="R26" s="301"/>
      <c r="S26" s="305"/>
      <c r="T26" s="300"/>
      <c r="U26" s="301"/>
      <c r="V26" s="305"/>
      <c r="W26" s="309" t="s">
        <v>141</v>
      </c>
      <c r="X26" s="310"/>
      <c r="Y26" s="310"/>
      <c r="Z26" s="310"/>
      <c r="AA26" s="315"/>
      <c r="AB26" s="300"/>
      <c r="AC26" s="301"/>
      <c r="AD26" s="305"/>
      <c r="AE26" s="300"/>
      <c r="AF26" s="301"/>
      <c r="AG26" s="301"/>
      <c r="AH26" s="305"/>
    </row>
    <row r="27" spans="1:34" ht="13.5" customHeight="1" x14ac:dyDescent="0.2">
      <c r="A27" s="314" t="s">
        <v>231</v>
      </c>
      <c r="B27" s="316"/>
      <c r="C27" s="316"/>
      <c r="D27" s="316"/>
      <c r="E27" s="317"/>
      <c r="F27" s="300"/>
      <c r="G27" s="301"/>
      <c r="H27" s="305"/>
      <c r="I27" s="300"/>
      <c r="J27" s="301"/>
      <c r="K27" s="305"/>
      <c r="L27" s="398" t="s">
        <v>241</v>
      </c>
      <c r="M27" s="399"/>
      <c r="N27" s="399"/>
      <c r="O27" s="399"/>
      <c r="P27" s="400"/>
      <c r="Q27" s="300"/>
      <c r="R27" s="301"/>
      <c r="S27" s="305"/>
      <c r="T27" s="300"/>
      <c r="U27" s="301"/>
      <c r="V27" s="305"/>
      <c r="W27" s="309" t="s">
        <v>143</v>
      </c>
      <c r="X27" s="310"/>
      <c r="Y27" s="310"/>
      <c r="Z27" s="310"/>
      <c r="AA27" s="315"/>
      <c r="AB27" s="300"/>
      <c r="AC27" s="301"/>
      <c r="AD27" s="305"/>
      <c r="AE27" s="300"/>
      <c r="AF27" s="301"/>
      <c r="AG27" s="301"/>
      <c r="AH27" s="305"/>
    </row>
    <row r="28" spans="1:34" ht="13.5" customHeight="1" x14ac:dyDescent="0.2">
      <c r="A28" s="309" t="s">
        <v>145</v>
      </c>
      <c r="B28" s="310"/>
      <c r="C28" s="310"/>
      <c r="D28" s="310"/>
      <c r="E28" s="315"/>
      <c r="F28" s="300"/>
      <c r="G28" s="301"/>
      <c r="H28" s="305"/>
      <c r="I28" s="300"/>
      <c r="J28" s="301"/>
      <c r="K28" s="305"/>
      <c r="L28" s="398" t="s">
        <v>241</v>
      </c>
      <c r="M28" s="399"/>
      <c r="N28" s="399"/>
      <c r="O28" s="399"/>
      <c r="P28" s="400"/>
      <c r="Q28" s="300"/>
      <c r="R28" s="301"/>
      <c r="S28" s="305"/>
      <c r="T28" s="300"/>
      <c r="U28" s="301"/>
      <c r="V28" s="305"/>
      <c r="W28" s="309" t="s">
        <v>216</v>
      </c>
      <c r="X28" s="310"/>
      <c r="Y28" s="310"/>
      <c r="Z28" s="310"/>
      <c r="AA28" s="315"/>
      <c r="AB28" s="300"/>
      <c r="AC28" s="301"/>
      <c r="AD28" s="305"/>
      <c r="AE28" s="300"/>
      <c r="AF28" s="301"/>
      <c r="AG28" s="301"/>
      <c r="AH28" s="305"/>
    </row>
    <row r="29" spans="1:34" ht="13.5" customHeight="1" x14ac:dyDescent="0.2">
      <c r="A29" s="314" t="s">
        <v>139</v>
      </c>
      <c r="B29" s="316"/>
      <c r="C29" s="316"/>
      <c r="D29" s="316"/>
      <c r="E29" s="317"/>
      <c r="F29" s="300"/>
      <c r="G29" s="301"/>
      <c r="H29" s="305"/>
      <c r="I29" s="300"/>
      <c r="J29" s="301"/>
      <c r="K29" s="305"/>
      <c r="L29" s="398"/>
      <c r="M29" s="399"/>
      <c r="N29" s="399"/>
      <c r="O29" s="399"/>
      <c r="P29" s="400"/>
      <c r="Q29" s="300"/>
      <c r="R29" s="301"/>
      <c r="S29" s="305"/>
      <c r="T29" s="300"/>
      <c r="U29" s="301"/>
      <c r="V29" s="305"/>
      <c r="W29" s="309"/>
      <c r="X29" s="310"/>
      <c r="Y29" s="310"/>
      <c r="Z29" s="310"/>
      <c r="AA29" s="315"/>
      <c r="AB29" s="300"/>
      <c r="AC29" s="301"/>
      <c r="AD29" s="305"/>
      <c r="AE29" s="300"/>
      <c r="AF29" s="301"/>
      <c r="AG29" s="301"/>
      <c r="AH29" s="305"/>
    </row>
    <row r="30" spans="1:34" ht="13.5" customHeight="1" x14ac:dyDescent="0.2">
      <c r="A30" s="314" t="s">
        <v>229</v>
      </c>
      <c r="B30" s="316"/>
      <c r="C30" s="316"/>
      <c r="D30" s="316"/>
      <c r="E30" s="317"/>
      <c r="F30" s="300"/>
      <c r="G30" s="301"/>
      <c r="H30" s="305"/>
      <c r="I30" s="300"/>
      <c r="J30" s="301"/>
      <c r="K30" s="305"/>
      <c r="L30" s="398" t="s">
        <v>122</v>
      </c>
      <c r="M30" s="399"/>
      <c r="N30" s="399"/>
      <c r="O30" s="399"/>
      <c r="P30" s="400"/>
      <c r="Q30" s="300"/>
      <c r="R30" s="301"/>
      <c r="S30" s="305"/>
      <c r="T30" s="300"/>
      <c r="U30" s="301"/>
      <c r="V30" s="305"/>
      <c r="W30" s="309" t="s">
        <v>245</v>
      </c>
      <c r="X30" s="310"/>
      <c r="Y30" s="310"/>
      <c r="Z30" s="310"/>
      <c r="AA30" s="315"/>
      <c r="AB30" s="300"/>
      <c r="AC30" s="301"/>
      <c r="AD30" s="305"/>
      <c r="AE30" s="300"/>
      <c r="AF30" s="301"/>
      <c r="AG30" s="301"/>
      <c r="AH30" s="305"/>
    </row>
    <row r="31" spans="1:34" ht="13.5" customHeight="1" x14ac:dyDescent="0.2">
      <c r="A31" s="314" t="s">
        <v>230</v>
      </c>
      <c r="B31" s="316"/>
      <c r="C31" s="316"/>
      <c r="D31" s="316"/>
      <c r="E31" s="317"/>
      <c r="F31" s="300"/>
      <c r="G31" s="301"/>
      <c r="H31" s="305"/>
      <c r="I31" s="300"/>
      <c r="J31" s="301"/>
      <c r="K31" s="305"/>
      <c r="L31" s="105" t="s">
        <v>151</v>
      </c>
      <c r="M31" s="106"/>
      <c r="N31" s="106"/>
      <c r="O31" s="106"/>
      <c r="P31" s="107"/>
      <c r="Q31" s="300"/>
      <c r="R31" s="301"/>
      <c r="S31" s="305"/>
      <c r="T31" s="300"/>
      <c r="U31" s="301"/>
      <c r="V31" s="305"/>
      <c r="W31" s="309"/>
      <c r="X31" s="310"/>
      <c r="Y31" s="310"/>
      <c r="Z31" s="310"/>
      <c r="AA31" s="315"/>
      <c r="AB31" s="300"/>
      <c r="AC31" s="301"/>
      <c r="AD31" s="305"/>
      <c r="AE31" s="300"/>
      <c r="AF31" s="301"/>
      <c r="AG31" s="301"/>
      <c r="AH31" s="305"/>
    </row>
    <row r="32" spans="1:34" ht="13.5" customHeight="1" x14ac:dyDescent="0.2">
      <c r="A32" s="314" t="s">
        <v>231</v>
      </c>
      <c r="B32" s="316"/>
      <c r="C32" s="316"/>
      <c r="D32" s="316"/>
      <c r="E32" s="317"/>
      <c r="F32" s="300"/>
      <c r="G32" s="301"/>
      <c r="H32" s="305"/>
      <c r="I32" s="300"/>
      <c r="J32" s="301"/>
      <c r="K32" s="305"/>
      <c r="L32" s="398" t="s">
        <v>152</v>
      </c>
      <c r="M32" s="399"/>
      <c r="N32" s="399"/>
      <c r="O32" s="399"/>
      <c r="P32" s="400"/>
      <c r="Q32" s="300"/>
      <c r="R32" s="301"/>
      <c r="S32" s="305"/>
      <c r="T32" s="300"/>
      <c r="U32" s="301"/>
      <c r="V32" s="305"/>
      <c r="W32" s="309" t="s">
        <v>135</v>
      </c>
      <c r="X32" s="310"/>
      <c r="Y32" s="310"/>
      <c r="Z32" s="310"/>
      <c r="AA32" s="315"/>
      <c r="AB32" s="300"/>
      <c r="AC32" s="301"/>
      <c r="AD32" s="305"/>
      <c r="AE32" s="300"/>
      <c r="AF32" s="301"/>
      <c r="AG32" s="301"/>
      <c r="AH32" s="305"/>
    </row>
    <row r="33" spans="1:34" ht="13.5" customHeight="1" x14ac:dyDescent="0.2">
      <c r="A33" s="314" t="s">
        <v>231</v>
      </c>
      <c r="B33" s="316"/>
      <c r="C33" s="316"/>
      <c r="D33" s="316"/>
      <c r="E33" s="317"/>
      <c r="F33" s="300"/>
      <c r="G33" s="301"/>
      <c r="H33" s="305"/>
      <c r="I33" s="300"/>
      <c r="J33" s="301"/>
      <c r="K33" s="301"/>
      <c r="L33" s="290"/>
      <c r="M33" s="291"/>
      <c r="N33" s="291"/>
      <c r="O33" s="291"/>
      <c r="P33" s="302"/>
      <c r="Q33" s="300"/>
      <c r="R33" s="301"/>
      <c r="S33" s="305"/>
      <c r="T33" s="300"/>
      <c r="U33" s="301"/>
      <c r="V33" s="301"/>
      <c r="W33" s="319"/>
      <c r="X33" s="320"/>
      <c r="Y33" s="320"/>
      <c r="Z33" s="320"/>
      <c r="AA33" s="321"/>
      <c r="AB33" s="300"/>
      <c r="AC33" s="301"/>
      <c r="AD33" s="305"/>
      <c r="AE33" s="300"/>
      <c r="AF33" s="301"/>
      <c r="AG33" s="301"/>
      <c r="AH33" s="305"/>
    </row>
    <row r="34" spans="1:34" ht="13.5" customHeight="1" x14ac:dyDescent="0.2">
      <c r="A34" s="318" t="s">
        <v>239</v>
      </c>
      <c r="B34" s="310"/>
      <c r="C34" s="310"/>
      <c r="D34" s="310"/>
      <c r="E34" s="315"/>
      <c r="F34" s="300"/>
      <c r="G34" s="301"/>
      <c r="H34" s="305"/>
      <c r="I34" s="300"/>
      <c r="J34" s="301"/>
      <c r="K34" s="301"/>
      <c r="L34" s="355" t="s">
        <v>250</v>
      </c>
      <c r="M34" s="356"/>
      <c r="N34" s="356"/>
      <c r="O34" s="356"/>
      <c r="P34" s="357"/>
      <c r="Q34" s="361"/>
      <c r="R34" s="362"/>
      <c r="S34" s="363"/>
      <c r="T34" s="361"/>
      <c r="U34" s="362"/>
      <c r="V34" s="363"/>
      <c r="W34" s="319"/>
      <c r="X34" s="320"/>
      <c r="Y34" s="320"/>
      <c r="Z34" s="320"/>
      <c r="AA34" s="321"/>
      <c r="AB34" s="300"/>
      <c r="AC34" s="301"/>
      <c r="AD34" s="305"/>
      <c r="AE34" s="300"/>
      <c r="AF34" s="301"/>
      <c r="AG34" s="301"/>
      <c r="AH34" s="305"/>
    </row>
    <row r="35" spans="1:34" ht="13.5" customHeight="1" x14ac:dyDescent="0.2">
      <c r="A35" s="318" t="s">
        <v>233</v>
      </c>
      <c r="B35" s="310"/>
      <c r="C35" s="310"/>
      <c r="D35" s="310"/>
      <c r="E35" s="315"/>
      <c r="F35" s="300"/>
      <c r="G35" s="301"/>
      <c r="H35" s="305"/>
      <c r="I35" s="300"/>
      <c r="J35" s="301"/>
      <c r="K35" s="301"/>
      <c r="L35" s="358"/>
      <c r="M35" s="359"/>
      <c r="N35" s="359"/>
      <c r="O35" s="359"/>
      <c r="P35" s="360"/>
      <c r="Q35" s="364"/>
      <c r="R35" s="312"/>
      <c r="S35" s="313"/>
      <c r="T35" s="364"/>
      <c r="U35" s="312"/>
      <c r="V35" s="313"/>
      <c r="W35" s="309"/>
      <c r="X35" s="310"/>
      <c r="Y35" s="310"/>
      <c r="Z35" s="310"/>
      <c r="AA35" s="315"/>
      <c r="AB35" s="300"/>
      <c r="AC35" s="301"/>
      <c r="AD35" s="305"/>
      <c r="AE35" s="300"/>
      <c r="AF35" s="301"/>
      <c r="AG35" s="301"/>
      <c r="AH35" s="305"/>
    </row>
    <row r="36" spans="1:34" ht="13.5" customHeight="1" x14ac:dyDescent="0.2">
      <c r="A36" s="329" t="s">
        <v>234</v>
      </c>
      <c r="B36" s="330"/>
      <c r="C36" s="330"/>
      <c r="D36" s="330"/>
      <c r="E36" s="334"/>
      <c r="F36" s="326"/>
      <c r="G36" s="327"/>
      <c r="H36" s="328"/>
      <c r="I36" s="326"/>
      <c r="J36" s="327"/>
      <c r="K36" s="327"/>
      <c r="L36" s="322"/>
      <c r="M36" s="323"/>
      <c r="N36" s="323"/>
      <c r="O36" s="323"/>
      <c r="P36" s="335"/>
      <c r="Q36" s="326"/>
      <c r="R36" s="327"/>
      <c r="S36" s="328"/>
      <c r="T36" s="326"/>
      <c r="U36" s="327"/>
      <c r="V36" s="328"/>
      <c r="W36" s="329" t="s">
        <v>135</v>
      </c>
      <c r="X36" s="330"/>
      <c r="Y36" s="330"/>
      <c r="Z36" s="330"/>
      <c r="AA36" s="330"/>
      <c r="AB36" s="326"/>
      <c r="AC36" s="327"/>
      <c r="AD36" s="328"/>
      <c r="AE36" s="326"/>
      <c r="AF36" s="327"/>
      <c r="AG36" s="327"/>
      <c r="AH36" s="328"/>
    </row>
    <row r="37" spans="1:34" x14ac:dyDescent="0.2">
      <c r="A37" s="331" t="s">
        <v>36</v>
      </c>
      <c r="B37" s="332"/>
      <c r="C37" s="332"/>
      <c r="D37" s="332" t="s">
        <v>17</v>
      </c>
      <c r="E37" s="332"/>
      <c r="F37" s="332" t="s">
        <v>12</v>
      </c>
      <c r="G37" s="332"/>
      <c r="H37" s="332"/>
      <c r="I37" s="332"/>
      <c r="J37" s="332"/>
      <c r="K37" s="332"/>
      <c r="L37" s="332"/>
      <c r="M37" s="332" t="s">
        <v>13</v>
      </c>
      <c r="N37" s="332"/>
      <c r="O37" s="332"/>
      <c r="P37" s="332"/>
      <c r="Q37" s="332"/>
      <c r="R37" s="332"/>
      <c r="S37" s="332"/>
      <c r="T37" s="332" t="s">
        <v>14</v>
      </c>
      <c r="U37" s="332"/>
      <c r="V37" s="332"/>
      <c r="W37" s="332"/>
      <c r="X37" s="332"/>
      <c r="Y37" s="332"/>
      <c r="Z37" s="332"/>
      <c r="AA37" s="332" t="s">
        <v>15</v>
      </c>
      <c r="AB37" s="332"/>
      <c r="AC37" s="332"/>
      <c r="AD37" s="332"/>
      <c r="AE37" s="332"/>
      <c r="AF37" s="332"/>
      <c r="AG37" s="332"/>
      <c r="AH37" s="333"/>
    </row>
    <row r="38" spans="1:34" x14ac:dyDescent="0.2">
      <c r="A38" s="339"/>
      <c r="B38" s="340"/>
      <c r="C38" s="340"/>
      <c r="D38" s="341"/>
      <c r="E38" s="341"/>
      <c r="F38" s="336"/>
      <c r="G38" s="336"/>
      <c r="H38" s="336"/>
      <c r="I38" s="336"/>
      <c r="J38" s="336"/>
      <c r="K38" s="336"/>
      <c r="L38" s="336"/>
      <c r="M38" s="336"/>
      <c r="N38" s="336"/>
      <c r="O38" s="336"/>
      <c r="P38" s="336"/>
      <c r="Q38" s="336"/>
      <c r="R38" s="336"/>
      <c r="S38" s="336"/>
      <c r="T38" s="342"/>
      <c r="U38" s="342"/>
      <c r="V38" s="342"/>
      <c r="W38" s="342"/>
      <c r="X38" s="342"/>
      <c r="Y38" s="342"/>
      <c r="Z38" s="342"/>
      <c r="AA38" s="336"/>
      <c r="AB38" s="337"/>
      <c r="AC38" s="337"/>
      <c r="AD38" s="337"/>
      <c r="AE38" s="337"/>
      <c r="AF38" s="337"/>
      <c r="AG38" s="337"/>
      <c r="AH38" s="338"/>
    </row>
    <row r="39" spans="1:34" x14ac:dyDescent="0.2">
      <c r="A39" s="339"/>
      <c r="B39" s="340"/>
      <c r="C39" s="340"/>
      <c r="D39" s="341"/>
      <c r="E39" s="341"/>
      <c r="F39" s="342"/>
      <c r="G39" s="342"/>
      <c r="H39" s="342"/>
      <c r="I39" s="342"/>
      <c r="J39" s="342"/>
      <c r="K39" s="342"/>
      <c r="L39" s="342"/>
      <c r="M39" s="336"/>
      <c r="N39" s="336"/>
      <c r="O39" s="336"/>
      <c r="P39" s="336"/>
      <c r="Q39" s="336"/>
      <c r="R39" s="336"/>
      <c r="S39" s="336"/>
      <c r="T39" s="342"/>
      <c r="U39" s="342"/>
      <c r="V39" s="342"/>
      <c r="W39" s="342"/>
      <c r="X39" s="342"/>
      <c r="Y39" s="342"/>
      <c r="Z39" s="342"/>
      <c r="AA39" s="336"/>
      <c r="AB39" s="337"/>
      <c r="AC39" s="337"/>
      <c r="AD39" s="337"/>
      <c r="AE39" s="337"/>
      <c r="AF39" s="337"/>
      <c r="AG39" s="337"/>
      <c r="AH39" s="338"/>
    </row>
    <row r="40" spans="1:34" x14ac:dyDescent="0.2">
      <c r="A40" s="339"/>
      <c r="B40" s="340"/>
      <c r="C40" s="340"/>
      <c r="D40" s="341"/>
      <c r="E40" s="341"/>
      <c r="F40" s="342"/>
      <c r="G40" s="342"/>
      <c r="H40" s="342"/>
      <c r="I40" s="342"/>
      <c r="J40" s="342"/>
      <c r="K40" s="342"/>
      <c r="L40" s="342"/>
      <c r="M40" s="336"/>
      <c r="N40" s="336"/>
      <c r="O40" s="336"/>
      <c r="P40" s="336"/>
      <c r="Q40" s="336"/>
      <c r="R40" s="336"/>
      <c r="S40" s="336"/>
      <c r="T40" s="336"/>
      <c r="U40" s="336"/>
      <c r="V40" s="336"/>
      <c r="W40" s="336"/>
      <c r="X40" s="336"/>
      <c r="Y40" s="336"/>
      <c r="Z40" s="336"/>
      <c r="AA40" s="336"/>
      <c r="AB40" s="337"/>
      <c r="AC40" s="337"/>
      <c r="AD40" s="337"/>
      <c r="AE40" s="337"/>
      <c r="AF40" s="337"/>
      <c r="AG40" s="337"/>
      <c r="AH40" s="338"/>
    </row>
    <row r="41" spans="1:34" x14ac:dyDescent="0.2">
      <c r="A41" s="339"/>
      <c r="B41" s="340"/>
      <c r="C41" s="340"/>
      <c r="D41" s="341"/>
      <c r="E41" s="341"/>
      <c r="F41" s="336"/>
      <c r="G41" s="336"/>
      <c r="H41" s="336"/>
      <c r="I41" s="336"/>
      <c r="J41" s="336"/>
      <c r="K41" s="336"/>
      <c r="L41" s="336"/>
      <c r="M41" s="336"/>
      <c r="N41" s="336"/>
      <c r="O41" s="336"/>
      <c r="P41" s="336"/>
      <c r="Q41" s="336"/>
      <c r="R41" s="336"/>
      <c r="S41" s="336"/>
      <c r="T41" s="336"/>
      <c r="U41" s="336"/>
      <c r="V41" s="336"/>
      <c r="W41" s="336"/>
      <c r="X41" s="336"/>
      <c r="Y41" s="336"/>
      <c r="Z41" s="336"/>
      <c r="AA41" s="336"/>
      <c r="AB41" s="337"/>
      <c r="AC41" s="337"/>
      <c r="AD41" s="337"/>
      <c r="AE41" s="337"/>
      <c r="AF41" s="337"/>
      <c r="AG41" s="337"/>
      <c r="AH41" s="338"/>
    </row>
    <row r="42" spans="1:34" x14ac:dyDescent="0.2">
      <c r="A42" s="365"/>
      <c r="B42" s="366"/>
      <c r="C42" s="366"/>
      <c r="D42" s="367"/>
      <c r="E42" s="367"/>
      <c r="F42" s="368"/>
      <c r="G42" s="368"/>
      <c r="H42" s="368"/>
      <c r="I42" s="368"/>
      <c r="J42" s="368"/>
      <c r="K42" s="368"/>
      <c r="L42" s="368"/>
      <c r="M42" s="368"/>
      <c r="N42" s="368"/>
      <c r="O42" s="368"/>
      <c r="P42" s="368"/>
      <c r="Q42" s="368"/>
      <c r="R42" s="368"/>
      <c r="S42" s="368"/>
      <c r="T42" s="368"/>
      <c r="U42" s="368"/>
      <c r="V42" s="368"/>
      <c r="W42" s="368"/>
      <c r="X42" s="368"/>
      <c r="Y42" s="368"/>
      <c r="Z42" s="368"/>
      <c r="AA42" s="368"/>
      <c r="AB42" s="369"/>
      <c r="AC42" s="369"/>
      <c r="AD42" s="369"/>
      <c r="AE42" s="369"/>
      <c r="AF42" s="369"/>
      <c r="AG42" s="369"/>
      <c r="AH42" s="370"/>
    </row>
    <row r="43" spans="1:34" x14ac:dyDescent="0.2">
      <c r="A43" s="371" t="s">
        <v>221</v>
      </c>
      <c r="B43" s="372"/>
      <c r="C43" s="372"/>
      <c r="D43" s="372"/>
      <c r="E43" s="372"/>
      <c r="F43" s="372"/>
      <c r="G43" s="372"/>
      <c r="H43" s="372"/>
      <c r="I43" s="372"/>
      <c r="J43" s="372"/>
      <c r="K43" s="372"/>
      <c r="L43" s="372"/>
      <c r="M43" s="372"/>
      <c r="N43" s="372"/>
      <c r="O43" s="372"/>
      <c r="P43" s="372"/>
      <c r="Q43" s="372"/>
      <c r="R43" s="372"/>
      <c r="S43" s="372"/>
      <c r="T43" s="372"/>
      <c r="U43" s="372"/>
      <c r="V43" s="372"/>
      <c r="W43" s="372"/>
      <c r="X43" s="372"/>
      <c r="Y43" s="372"/>
      <c r="Z43" s="372"/>
      <c r="AA43" s="372"/>
      <c r="AB43" s="372"/>
      <c r="AC43" s="372"/>
      <c r="AD43" s="372"/>
      <c r="AE43" s="372"/>
      <c r="AF43" s="372"/>
      <c r="AG43" s="372"/>
      <c r="AH43" s="373"/>
    </row>
    <row r="44" spans="1:34" ht="30.65" customHeight="1" x14ac:dyDescent="0.2">
      <c r="A44" s="374"/>
      <c r="B44" s="375"/>
      <c r="C44" s="375"/>
      <c r="D44" s="375"/>
      <c r="E44" s="375"/>
      <c r="F44" s="375"/>
      <c r="G44" s="375"/>
      <c r="H44" s="375"/>
      <c r="I44" s="375"/>
      <c r="J44" s="375"/>
      <c r="K44" s="375"/>
      <c r="L44" s="375"/>
      <c r="M44" s="375"/>
      <c r="N44" s="375"/>
      <c r="O44" s="375"/>
      <c r="P44" s="375"/>
      <c r="Q44" s="375"/>
      <c r="R44" s="375"/>
      <c r="S44" s="375"/>
      <c r="T44" s="375"/>
      <c r="U44" s="375"/>
      <c r="V44" s="375"/>
      <c r="W44" s="375"/>
      <c r="X44" s="375"/>
      <c r="Y44" s="375"/>
      <c r="Z44" s="375"/>
      <c r="AA44" s="375"/>
      <c r="AB44" s="375"/>
      <c r="AC44" s="375"/>
      <c r="AD44" s="375"/>
      <c r="AE44" s="375"/>
      <c r="AF44" s="375"/>
      <c r="AG44" s="375"/>
      <c r="AH44" s="376"/>
    </row>
    <row r="45" spans="1:34" x14ac:dyDescent="0.2">
      <c r="A45" s="377" t="s">
        <v>227</v>
      </c>
      <c r="B45" s="378"/>
      <c r="C45" s="378"/>
      <c r="D45" s="378"/>
      <c r="E45" s="378"/>
      <c r="F45" s="378"/>
      <c r="G45" s="378"/>
      <c r="H45" s="378"/>
      <c r="I45" s="378"/>
      <c r="J45" s="378"/>
      <c r="K45" s="378"/>
      <c r="L45" s="378"/>
      <c r="M45" s="378"/>
      <c r="N45" s="378"/>
      <c r="O45" s="378"/>
      <c r="P45" s="378"/>
      <c r="Q45" s="378"/>
      <c r="R45" s="378"/>
      <c r="S45" s="378"/>
      <c r="T45" s="378"/>
      <c r="U45" s="378"/>
      <c r="V45" s="378"/>
      <c r="W45" s="378"/>
      <c r="X45" s="378"/>
      <c r="Y45" s="378"/>
      <c r="Z45" s="378"/>
      <c r="AA45" s="378"/>
      <c r="AB45" s="378"/>
      <c r="AC45" s="378"/>
      <c r="AD45" s="378"/>
      <c r="AE45" s="378"/>
      <c r="AF45" s="378"/>
      <c r="AG45" s="378"/>
      <c r="AH45" s="379"/>
    </row>
    <row r="46" spans="1:34" x14ac:dyDescent="0.2">
      <c r="A46" s="380" t="s">
        <v>37</v>
      </c>
      <c r="B46" s="381"/>
      <c r="C46" s="381"/>
      <c r="D46" s="381"/>
      <c r="E46" s="381"/>
      <c r="F46" s="381"/>
      <c r="G46" s="381"/>
      <c r="H46" s="381"/>
      <c r="I46" s="381"/>
      <c r="J46" s="381"/>
      <c r="K46" s="381"/>
      <c r="L46" s="381"/>
      <c r="M46" s="381"/>
      <c r="N46" s="381"/>
      <c r="O46" s="381"/>
      <c r="P46" s="381"/>
      <c r="Q46" s="381"/>
      <c r="R46" s="381"/>
      <c r="S46" s="381"/>
      <c r="T46" s="381"/>
      <c r="U46" s="381"/>
      <c r="V46" s="381"/>
      <c r="W46" s="381"/>
      <c r="X46" s="381"/>
      <c r="Y46" s="381"/>
      <c r="Z46" s="381"/>
      <c r="AA46" s="381"/>
      <c r="AB46" s="381"/>
      <c r="AC46" s="381"/>
      <c r="AD46" s="381"/>
      <c r="AE46" s="381"/>
      <c r="AF46" s="381"/>
      <c r="AG46" s="381"/>
      <c r="AH46" s="382"/>
    </row>
    <row r="47" spans="1:34" x14ac:dyDescent="0.2">
      <c r="A47" s="343" t="s">
        <v>228</v>
      </c>
      <c r="B47" s="344"/>
      <c r="C47" s="344"/>
      <c r="D47" s="344"/>
      <c r="E47" s="344"/>
      <c r="F47" s="344"/>
      <c r="G47" s="344"/>
      <c r="H47" s="344"/>
      <c r="I47" s="344"/>
      <c r="J47" s="344"/>
      <c r="K47" s="344"/>
      <c r="L47" s="344"/>
      <c r="M47" s="344"/>
      <c r="N47" s="344"/>
      <c r="O47" s="344"/>
      <c r="P47" s="344"/>
      <c r="Q47" s="344"/>
      <c r="R47" s="344"/>
      <c r="S47" s="344"/>
      <c r="T47" s="344"/>
      <c r="U47" s="344"/>
      <c r="V47" s="344"/>
      <c r="W47" s="344"/>
      <c r="X47" s="344"/>
      <c r="Y47" s="344"/>
      <c r="Z47" s="344"/>
      <c r="AA47" s="345"/>
      <c r="AB47" s="345"/>
      <c r="AC47" s="345"/>
      <c r="AD47" s="345"/>
      <c r="AE47" s="345"/>
      <c r="AF47" s="345"/>
      <c r="AG47" s="345"/>
      <c r="AH47" s="346"/>
    </row>
    <row r="48" spans="1:34" x14ac:dyDescent="0.2">
      <c r="A48" s="347"/>
      <c r="B48" s="348"/>
      <c r="C48" s="348"/>
      <c r="D48" s="348"/>
      <c r="E48" s="348"/>
      <c r="F48" s="348"/>
      <c r="G48" s="348"/>
      <c r="H48" s="348"/>
      <c r="I48" s="348"/>
      <c r="J48" s="348"/>
      <c r="K48" s="348"/>
      <c r="L48" s="348"/>
      <c r="M48" s="348"/>
      <c r="N48" s="348"/>
      <c r="O48" s="348"/>
      <c r="P48" s="348"/>
      <c r="Q48" s="348"/>
      <c r="R48" s="348"/>
      <c r="S48" s="348"/>
      <c r="T48" s="348"/>
      <c r="U48" s="348"/>
      <c r="V48" s="348"/>
      <c r="W48" s="348"/>
      <c r="X48" s="348"/>
      <c r="Y48" s="348"/>
      <c r="Z48" s="348"/>
      <c r="AA48" s="349"/>
      <c r="AB48" s="349"/>
      <c r="AC48" s="349"/>
      <c r="AD48" s="349"/>
      <c r="AE48" s="349"/>
      <c r="AF48" s="349"/>
      <c r="AG48" s="349"/>
      <c r="AH48" s="350"/>
    </row>
    <row r="49" spans="1:34" x14ac:dyDescent="0.2">
      <c r="A49" s="347"/>
      <c r="B49" s="348"/>
      <c r="C49" s="348"/>
      <c r="D49" s="348"/>
      <c r="E49" s="348"/>
      <c r="F49" s="348"/>
      <c r="G49" s="348"/>
      <c r="H49" s="348"/>
      <c r="I49" s="348"/>
      <c r="J49" s="348"/>
      <c r="K49" s="348"/>
      <c r="L49" s="348"/>
      <c r="M49" s="348"/>
      <c r="N49" s="348"/>
      <c r="O49" s="348"/>
      <c r="P49" s="348"/>
      <c r="Q49" s="348"/>
      <c r="R49" s="348"/>
      <c r="S49" s="348"/>
      <c r="T49" s="348"/>
      <c r="U49" s="348"/>
      <c r="V49" s="348"/>
      <c r="W49" s="348"/>
      <c r="X49" s="348"/>
      <c r="Y49" s="348"/>
      <c r="Z49" s="348"/>
      <c r="AA49" s="349"/>
      <c r="AB49" s="349"/>
      <c r="AC49" s="349"/>
      <c r="AD49" s="349"/>
      <c r="AE49" s="349"/>
      <c r="AF49" s="349"/>
      <c r="AG49" s="349"/>
      <c r="AH49" s="350"/>
    </row>
    <row r="50" spans="1:34" x14ac:dyDescent="0.2">
      <c r="A50" s="347"/>
      <c r="B50" s="348"/>
      <c r="C50" s="348"/>
      <c r="D50" s="348"/>
      <c r="E50" s="348"/>
      <c r="F50" s="348"/>
      <c r="G50" s="348"/>
      <c r="H50" s="348"/>
      <c r="I50" s="348"/>
      <c r="J50" s="348"/>
      <c r="K50" s="348"/>
      <c r="L50" s="348"/>
      <c r="M50" s="348"/>
      <c r="N50" s="348"/>
      <c r="O50" s="348"/>
      <c r="P50" s="348"/>
      <c r="Q50" s="348"/>
      <c r="R50" s="348"/>
      <c r="S50" s="348"/>
      <c r="T50" s="348"/>
      <c r="U50" s="348"/>
      <c r="V50" s="348"/>
      <c r="W50" s="348"/>
      <c r="X50" s="348"/>
      <c r="Y50" s="348"/>
      <c r="Z50" s="348"/>
      <c r="AA50" s="349"/>
      <c r="AB50" s="349"/>
      <c r="AC50" s="349"/>
      <c r="AD50" s="349"/>
      <c r="AE50" s="349"/>
      <c r="AF50" s="349"/>
      <c r="AG50" s="349"/>
      <c r="AH50" s="350"/>
    </row>
    <row r="51" spans="1:34" x14ac:dyDescent="0.2">
      <c r="A51" s="347"/>
      <c r="B51" s="348"/>
      <c r="C51" s="348"/>
      <c r="D51" s="348"/>
      <c r="E51" s="348"/>
      <c r="F51" s="348"/>
      <c r="G51" s="348"/>
      <c r="H51" s="348"/>
      <c r="I51" s="348"/>
      <c r="J51" s="348"/>
      <c r="K51" s="348"/>
      <c r="L51" s="348"/>
      <c r="M51" s="348"/>
      <c r="N51" s="348"/>
      <c r="O51" s="348"/>
      <c r="P51" s="348"/>
      <c r="Q51" s="348"/>
      <c r="R51" s="348"/>
      <c r="S51" s="348"/>
      <c r="T51" s="348"/>
      <c r="U51" s="348"/>
      <c r="V51" s="348"/>
      <c r="W51" s="348"/>
      <c r="X51" s="348"/>
      <c r="Y51" s="348"/>
      <c r="Z51" s="348"/>
      <c r="AA51" s="349"/>
      <c r="AB51" s="349"/>
      <c r="AC51" s="349"/>
      <c r="AD51" s="349"/>
      <c r="AE51" s="349"/>
      <c r="AF51" s="349"/>
      <c r="AG51" s="349"/>
      <c r="AH51" s="350"/>
    </row>
    <row r="52" spans="1:34" ht="12.65" customHeight="1" x14ac:dyDescent="0.2">
      <c r="A52" s="347"/>
      <c r="B52" s="348"/>
      <c r="C52" s="348"/>
      <c r="D52" s="348"/>
      <c r="E52" s="348"/>
      <c r="F52" s="348"/>
      <c r="G52" s="348"/>
      <c r="H52" s="348"/>
      <c r="I52" s="348"/>
      <c r="J52" s="348"/>
      <c r="K52" s="348"/>
      <c r="L52" s="348"/>
      <c r="M52" s="348"/>
      <c r="N52" s="348"/>
      <c r="O52" s="348"/>
      <c r="P52" s="348"/>
      <c r="Q52" s="348"/>
      <c r="R52" s="348"/>
      <c r="S52" s="348"/>
      <c r="T52" s="348"/>
      <c r="U52" s="348"/>
      <c r="V52" s="348"/>
      <c r="W52" s="348"/>
      <c r="X52" s="348"/>
      <c r="Y52" s="348"/>
      <c r="Z52" s="348"/>
      <c r="AA52" s="349"/>
      <c r="AB52" s="349"/>
      <c r="AC52" s="349"/>
      <c r="AD52" s="349"/>
      <c r="AE52" s="349"/>
      <c r="AF52" s="349"/>
      <c r="AG52" s="349"/>
      <c r="AH52" s="350"/>
    </row>
    <row r="53" spans="1:34" x14ac:dyDescent="0.2">
      <c r="A53" s="347"/>
      <c r="B53" s="348"/>
      <c r="C53" s="348"/>
      <c r="D53" s="348"/>
      <c r="E53" s="348"/>
      <c r="F53" s="348"/>
      <c r="G53" s="348"/>
      <c r="H53" s="348"/>
      <c r="I53" s="348"/>
      <c r="J53" s="348"/>
      <c r="K53" s="348"/>
      <c r="L53" s="348"/>
      <c r="M53" s="348"/>
      <c r="N53" s="348"/>
      <c r="O53" s="348"/>
      <c r="P53" s="348"/>
      <c r="Q53" s="348"/>
      <c r="R53" s="348"/>
      <c r="S53" s="348"/>
      <c r="T53" s="348"/>
      <c r="U53" s="348"/>
      <c r="V53" s="348"/>
      <c r="W53" s="348"/>
      <c r="X53" s="348"/>
      <c r="Y53" s="348"/>
      <c r="Z53" s="348"/>
      <c r="AA53" s="349"/>
      <c r="AB53" s="349"/>
      <c r="AC53" s="349"/>
      <c r="AD53" s="349"/>
      <c r="AE53" s="349"/>
      <c r="AF53" s="349"/>
      <c r="AG53" s="349"/>
      <c r="AH53" s="350"/>
    </row>
    <row r="54" spans="1:34" x14ac:dyDescent="0.2">
      <c r="A54" s="347"/>
      <c r="B54" s="348"/>
      <c r="C54" s="348"/>
      <c r="D54" s="348"/>
      <c r="E54" s="348"/>
      <c r="F54" s="348"/>
      <c r="G54" s="348"/>
      <c r="H54" s="348"/>
      <c r="I54" s="348"/>
      <c r="J54" s="348"/>
      <c r="K54" s="348"/>
      <c r="L54" s="348"/>
      <c r="M54" s="348"/>
      <c r="N54" s="348"/>
      <c r="O54" s="348"/>
      <c r="P54" s="348"/>
      <c r="Q54" s="348"/>
      <c r="R54" s="348"/>
      <c r="S54" s="348"/>
      <c r="T54" s="348"/>
      <c r="U54" s="348"/>
      <c r="V54" s="348"/>
      <c r="W54" s="348"/>
      <c r="X54" s="348"/>
      <c r="Y54" s="348"/>
      <c r="Z54" s="348"/>
      <c r="AA54" s="349"/>
      <c r="AB54" s="349"/>
      <c r="AC54" s="349"/>
      <c r="AD54" s="349"/>
      <c r="AE54" s="349"/>
      <c r="AF54" s="349"/>
      <c r="AG54" s="349"/>
      <c r="AH54" s="350"/>
    </row>
    <row r="55" spans="1:34" x14ac:dyDescent="0.2">
      <c r="A55" s="347"/>
      <c r="B55" s="348"/>
      <c r="C55" s="348"/>
      <c r="D55" s="348"/>
      <c r="E55" s="348"/>
      <c r="F55" s="348"/>
      <c r="G55" s="348"/>
      <c r="H55" s="348"/>
      <c r="I55" s="348"/>
      <c r="J55" s="348"/>
      <c r="K55" s="348"/>
      <c r="L55" s="348"/>
      <c r="M55" s="348"/>
      <c r="N55" s="348"/>
      <c r="O55" s="348"/>
      <c r="P55" s="348"/>
      <c r="Q55" s="348"/>
      <c r="R55" s="348"/>
      <c r="S55" s="348"/>
      <c r="T55" s="348"/>
      <c r="U55" s="348"/>
      <c r="V55" s="348"/>
      <c r="W55" s="348"/>
      <c r="X55" s="348"/>
      <c r="Y55" s="348"/>
      <c r="Z55" s="348"/>
      <c r="AA55" s="349"/>
      <c r="AB55" s="349"/>
      <c r="AC55" s="349"/>
      <c r="AD55" s="349"/>
      <c r="AE55" s="349"/>
      <c r="AF55" s="349"/>
      <c r="AG55" s="349"/>
      <c r="AH55" s="350"/>
    </row>
    <row r="56" spans="1:34" x14ac:dyDescent="0.2">
      <c r="A56" s="347"/>
      <c r="B56" s="348"/>
      <c r="C56" s="348"/>
      <c r="D56" s="348"/>
      <c r="E56" s="348"/>
      <c r="F56" s="348"/>
      <c r="G56" s="348"/>
      <c r="H56" s="348"/>
      <c r="I56" s="348"/>
      <c r="J56" s="348"/>
      <c r="K56" s="348"/>
      <c r="L56" s="348"/>
      <c r="M56" s="348"/>
      <c r="N56" s="348"/>
      <c r="O56" s="348"/>
      <c r="P56" s="348"/>
      <c r="Q56" s="348"/>
      <c r="R56" s="348"/>
      <c r="S56" s="348"/>
      <c r="T56" s="348"/>
      <c r="U56" s="348"/>
      <c r="V56" s="348"/>
      <c r="W56" s="348"/>
      <c r="X56" s="348"/>
      <c r="Y56" s="348"/>
      <c r="Z56" s="348"/>
      <c r="AA56" s="349"/>
      <c r="AB56" s="349"/>
      <c r="AC56" s="349"/>
      <c r="AD56" s="349"/>
      <c r="AE56" s="349"/>
      <c r="AF56" s="349"/>
      <c r="AG56" s="349"/>
      <c r="AH56" s="350"/>
    </row>
    <row r="57" spans="1:34" x14ac:dyDescent="0.2">
      <c r="A57" s="351"/>
      <c r="B57" s="349"/>
      <c r="C57" s="349"/>
      <c r="D57" s="349"/>
      <c r="E57" s="349"/>
      <c r="F57" s="349"/>
      <c r="G57" s="349"/>
      <c r="H57" s="349"/>
      <c r="I57" s="349"/>
      <c r="J57" s="349"/>
      <c r="K57" s="349"/>
      <c r="L57" s="349"/>
      <c r="M57" s="349"/>
      <c r="N57" s="349"/>
      <c r="O57" s="349"/>
      <c r="P57" s="349"/>
      <c r="Q57" s="349"/>
      <c r="R57" s="349"/>
      <c r="S57" s="349"/>
      <c r="T57" s="349"/>
      <c r="U57" s="349"/>
      <c r="V57" s="349"/>
      <c r="W57" s="349"/>
      <c r="X57" s="349"/>
      <c r="Y57" s="349"/>
      <c r="Z57" s="349"/>
      <c r="AA57" s="349"/>
      <c r="AB57" s="349"/>
      <c r="AC57" s="349"/>
      <c r="AD57" s="349"/>
      <c r="AE57" s="349"/>
      <c r="AF57" s="349"/>
      <c r="AG57" s="349"/>
      <c r="AH57" s="350"/>
    </row>
    <row r="58" spans="1:34" x14ac:dyDescent="0.2">
      <c r="A58" s="351"/>
      <c r="B58" s="349"/>
      <c r="C58" s="349"/>
      <c r="D58" s="349"/>
      <c r="E58" s="349"/>
      <c r="F58" s="349"/>
      <c r="G58" s="349"/>
      <c r="H58" s="349"/>
      <c r="I58" s="349"/>
      <c r="J58" s="349"/>
      <c r="K58" s="349"/>
      <c r="L58" s="349"/>
      <c r="M58" s="349"/>
      <c r="N58" s="349"/>
      <c r="O58" s="349"/>
      <c r="P58" s="349"/>
      <c r="Q58" s="349"/>
      <c r="R58" s="349"/>
      <c r="S58" s="349"/>
      <c r="T58" s="349"/>
      <c r="U58" s="349"/>
      <c r="V58" s="349"/>
      <c r="W58" s="349"/>
      <c r="X58" s="349"/>
      <c r="Y58" s="349"/>
      <c r="Z58" s="349"/>
      <c r="AA58" s="349"/>
      <c r="AB58" s="349"/>
      <c r="AC58" s="349"/>
      <c r="AD58" s="349"/>
      <c r="AE58" s="349"/>
      <c r="AF58" s="349"/>
      <c r="AG58" s="349"/>
      <c r="AH58" s="350"/>
    </row>
    <row r="59" spans="1:34" x14ac:dyDescent="0.2">
      <c r="A59" s="351"/>
      <c r="B59" s="349"/>
      <c r="C59" s="349"/>
      <c r="D59" s="349"/>
      <c r="E59" s="349"/>
      <c r="F59" s="349"/>
      <c r="G59" s="349"/>
      <c r="H59" s="349"/>
      <c r="I59" s="349"/>
      <c r="J59" s="349"/>
      <c r="K59" s="349"/>
      <c r="L59" s="349"/>
      <c r="M59" s="349"/>
      <c r="N59" s="349"/>
      <c r="O59" s="349"/>
      <c r="P59" s="349"/>
      <c r="Q59" s="349"/>
      <c r="R59" s="349"/>
      <c r="S59" s="349"/>
      <c r="T59" s="349"/>
      <c r="U59" s="349"/>
      <c r="V59" s="349"/>
      <c r="W59" s="349"/>
      <c r="X59" s="349"/>
      <c r="Y59" s="349"/>
      <c r="Z59" s="349"/>
      <c r="AA59" s="349"/>
      <c r="AB59" s="349"/>
      <c r="AC59" s="349"/>
      <c r="AD59" s="349"/>
      <c r="AE59" s="349"/>
      <c r="AF59" s="349"/>
      <c r="AG59" s="349"/>
      <c r="AH59" s="350"/>
    </row>
    <row r="60" spans="1:34" x14ac:dyDescent="0.2">
      <c r="A60" s="352"/>
      <c r="B60" s="353"/>
      <c r="C60" s="353"/>
      <c r="D60" s="353"/>
      <c r="E60" s="353"/>
      <c r="F60" s="353"/>
      <c r="G60" s="353"/>
      <c r="H60" s="353"/>
      <c r="I60" s="353"/>
      <c r="J60" s="353"/>
      <c r="K60" s="353"/>
      <c r="L60" s="353"/>
      <c r="M60" s="353"/>
      <c r="N60" s="353"/>
      <c r="O60" s="353"/>
      <c r="P60" s="353"/>
      <c r="Q60" s="353"/>
      <c r="R60" s="353"/>
      <c r="S60" s="353"/>
      <c r="T60" s="353"/>
      <c r="U60" s="353"/>
      <c r="V60" s="353"/>
      <c r="W60" s="353"/>
      <c r="X60" s="353"/>
      <c r="Y60" s="353"/>
      <c r="Z60" s="353"/>
      <c r="AA60" s="353"/>
      <c r="AB60" s="353"/>
      <c r="AC60" s="353"/>
      <c r="AD60" s="353"/>
      <c r="AE60" s="353"/>
      <c r="AF60" s="353"/>
      <c r="AG60" s="353"/>
      <c r="AH60" s="354"/>
    </row>
  </sheetData>
  <mergeCells count="270">
    <mergeCell ref="A43:AH44"/>
    <mergeCell ref="A45:AH45"/>
    <mergeCell ref="A46:AH46"/>
    <mergeCell ref="A47:AH60"/>
    <mergeCell ref="L34:P35"/>
    <mergeCell ref="Q34:S35"/>
    <mergeCell ref="T34:V35"/>
    <mergeCell ref="A42:C42"/>
    <mergeCell ref="D42:E42"/>
    <mergeCell ref="F42:L42"/>
    <mergeCell ref="M42:S42"/>
    <mergeCell ref="T42:Z42"/>
    <mergeCell ref="AA42:AH42"/>
    <mergeCell ref="A41:C41"/>
    <mergeCell ref="D41:E41"/>
    <mergeCell ref="F41:L41"/>
    <mergeCell ref="M41:S41"/>
    <mergeCell ref="T41:Z41"/>
    <mergeCell ref="AA41:AH41"/>
    <mergeCell ref="A40:C40"/>
    <mergeCell ref="D40:E40"/>
    <mergeCell ref="F40:L40"/>
    <mergeCell ref="M40:S40"/>
    <mergeCell ref="T40:Z40"/>
    <mergeCell ref="AA40:AH40"/>
    <mergeCell ref="A39:C39"/>
    <mergeCell ref="D39:E39"/>
    <mergeCell ref="F39:L39"/>
    <mergeCell ref="M39:S39"/>
    <mergeCell ref="T39:Z39"/>
    <mergeCell ref="AA39:AH39"/>
    <mergeCell ref="A38:C38"/>
    <mergeCell ref="D38:E38"/>
    <mergeCell ref="F38:L38"/>
    <mergeCell ref="M38:S38"/>
    <mergeCell ref="T38:Z38"/>
    <mergeCell ref="AA38:AH38"/>
    <mergeCell ref="AE36:AH36"/>
    <mergeCell ref="A37:C37"/>
    <mergeCell ref="D37:E37"/>
    <mergeCell ref="F37:L37"/>
    <mergeCell ref="M37:S37"/>
    <mergeCell ref="T37:Z37"/>
    <mergeCell ref="AA37:AH37"/>
    <mergeCell ref="AB35:AD35"/>
    <mergeCell ref="AE35:AH35"/>
    <mergeCell ref="A36:E36"/>
    <mergeCell ref="F36:H36"/>
    <mergeCell ref="I36:K36"/>
    <mergeCell ref="L36:P36"/>
    <mergeCell ref="Q36:S36"/>
    <mergeCell ref="T36:V36"/>
    <mergeCell ref="W36:AA36"/>
    <mergeCell ref="AB36:AD36"/>
    <mergeCell ref="W34:AA34"/>
    <mergeCell ref="AB34:AD34"/>
    <mergeCell ref="AE34:AH34"/>
    <mergeCell ref="A35:E35"/>
    <mergeCell ref="F35:H35"/>
    <mergeCell ref="I35:K35"/>
    <mergeCell ref="W35:AA35"/>
    <mergeCell ref="A34:E34"/>
    <mergeCell ref="F34:H34"/>
    <mergeCell ref="I34:K34"/>
    <mergeCell ref="A33:E33"/>
    <mergeCell ref="F33:H33"/>
    <mergeCell ref="I33:K33"/>
    <mergeCell ref="L33:P33"/>
    <mergeCell ref="Q33:S33"/>
    <mergeCell ref="T33:V33"/>
    <mergeCell ref="W33:AA33"/>
    <mergeCell ref="AB33:AD33"/>
    <mergeCell ref="AE33:AH33"/>
    <mergeCell ref="AB31:AD31"/>
    <mergeCell ref="AE31:AH31"/>
    <mergeCell ref="A32:E32"/>
    <mergeCell ref="F32:H32"/>
    <mergeCell ref="I32:K32"/>
    <mergeCell ref="L32:P32"/>
    <mergeCell ref="Q32:S32"/>
    <mergeCell ref="T32:V32"/>
    <mergeCell ref="W32:AA32"/>
    <mergeCell ref="AB32:AD32"/>
    <mergeCell ref="A31:E31"/>
    <mergeCell ref="F31:H31"/>
    <mergeCell ref="I31:K31"/>
    <mergeCell ref="Q31:S31"/>
    <mergeCell ref="T31:V31"/>
    <mergeCell ref="W31:AA31"/>
    <mergeCell ref="AE32:AH32"/>
    <mergeCell ref="A30:E30"/>
    <mergeCell ref="F30:H30"/>
    <mergeCell ref="I30:K30"/>
    <mergeCell ref="L30:P30"/>
    <mergeCell ref="Q30:S30"/>
    <mergeCell ref="T30:V30"/>
    <mergeCell ref="W30:AA30"/>
    <mergeCell ref="AB30:AD30"/>
    <mergeCell ref="AE30:AH30"/>
    <mergeCell ref="A29:E29"/>
    <mergeCell ref="F29:H29"/>
    <mergeCell ref="I29:K29"/>
    <mergeCell ref="L29:P29"/>
    <mergeCell ref="Q29:S29"/>
    <mergeCell ref="T29:V29"/>
    <mergeCell ref="W29:AA29"/>
    <mergeCell ref="AB29:AD29"/>
    <mergeCell ref="AE29:AH29"/>
    <mergeCell ref="W27:AA27"/>
    <mergeCell ref="AB27:AD27"/>
    <mergeCell ref="AE27:AH27"/>
    <mergeCell ref="A28:E28"/>
    <mergeCell ref="F28:H28"/>
    <mergeCell ref="I28:K28"/>
    <mergeCell ref="L28:P28"/>
    <mergeCell ref="Q28:S28"/>
    <mergeCell ref="T28:V28"/>
    <mergeCell ref="W28:AA28"/>
    <mergeCell ref="A27:E27"/>
    <mergeCell ref="F27:H27"/>
    <mergeCell ref="I27:K27"/>
    <mergeCell ref="L27:P27"/>
    <mergeCell ref="Q27:S27"/>
    <mergeCell ref="T27:V27"/>
    <mergeCell ref="AB28:AD28"/>
    <mergeCell ref="AE28:AH28"/>
    <mergeCell ref="AB25:AD25"/>
    <mergeCell ref="AE25:AH25"/>
    <mergeCell ref="A26:E26"/>
    <mergeCell ref="F26:H26"/>
    <mergeCell ref="I26:K26"/>
    <mergeCell ref="Q26:S26"/>
    <mergeCell ref="T26:V26"/>
    <mergeCell ref="W26:AA26"/>
    <mergeCell ref="AB26:AD26"/>
    <mergeCell ref="AE26:AH26"/>
    <mergeCell ref="A25:E25"/>
    <mergeCell ref="F25:H25"/>
    <mergeCell ref="I25:K25"/>
    <mergeCell ref="Q25:S25"/>
    <mergeCell ref="T25:V25"/>
    <mergeCell ref="W25:AA25"/>
    <mergeCell ref="A24:E24"/>
    <mergeCell ref="F24:H24"/>
    <mergeCell ref="I24:K24"/>
    <mergeCell ref="L24:P24"/>
    <mergeCell ref="Q24:S24"/>
    <mergeCell ref="T24:V24"/>
    <mergeCell ref="W24:AA24"/>
    <mergeCell ref="AB24:AD24"/>
    <mergeCell ref="AE24:AH24"/>
    <mergeCell ref="A23:E23"/>
    <mergeCell ref="F23:H23"/>
    <mergeCell ref="I23:K23"/>
    <mergeCell ref="L23:P23"/>
    <mergeCell ref="Q23:S23"/>
    <mergeCell ref="T23:V23"/>
    <mergeCell ref="W23:AA23"/>
    <mergeCell ref="AB23:AD23"/>
    <mergeCell ref="AE23:AH23"/>
    <mergeCell ref="W21:AA21"/>
    <mergeCell ref="AB21:AD21"/>
    <mergeCell ref="AE21:AH21"/>
    <mergeCell ref="A22:E22"/>
    <mergeCell ref="F22:H22"/>
    <mergeCell ref="I22:K22"/>
    <mergeCell ref="L22:P22"/>
    <mergeCell ref="Q22:S22"/>
    <mergeCell ref="T22:V22"/>
    <mergeCell ref="W22:AA22"/>
    <mergeCell ref="A21:E21"/>
    <mergeCell ref="F21:H21"/>
    <mergeCell ref="I21:K21"/>
    <mergeCell ref="L21:P21"/>
    <mergeCell ref="Q21:S21"/>
    <mergeCell ref="T21:V21"/>
    <mergeCell ref="AB22:AD22"/>
    <mergeCell ref="AE22:AH22"/>
    <mergeCell ref="A20:AH20"/>
    <mergeCell ref="A17:F17"/>
    <mergeCell ref="H17:M17"/>
    <mergeCell ref="O17:T17"/>
    <mergeCell ref="V17:AA17"/>
    <mergeCell ref="AC17:AG17"/>
    <mergeCell ref="A18:F18"/>
    <mergeCell ref="H18:M18"/>
    <mergeCell ref="O18:T18"/>
    <mergeCell ref="V18:AA18"/>
    <mergeCell ref="AC18:AG18"/>
    <mergeCell ref="A16:F16"/>
    <mergeCell ref="H16:M16"/>
    <mergeCell ref="O16:T16"/>
    <mergeCell ref="V16:AA16"/>
    <mergeCell ref="AC16:AG16"/>
    <mergeCell ref="A19:F19"/>
    <mergeCell ref="H19:M19"/>
    <mergeCell ref="O19:T19"/>
    <mergeCell ref="V19:AA19"/>
    <mergeCell ref="AC19:AG19"/>
    <mergeCell ref="A14:F14"/>
    <mergeCell ref="H14:M14"/>
    <mergeCell ref="O14:T14"/>
    <mergeCell ref="V14:AA14"/>
    <mergeCell ref="AC14:AG14"/>
    <mergeCell ref="A15:F15"/>
    <mergeCell ref="H15:M15"/>
    <mergeCell ref="O15:T15"/>
    <mergeCell ref="V15:AA15"/>
    <mergeCell ref="AC15:AG15"/>
    <mergeCell ref="A12:F12"/>
    <mergeCell ref="H12:M12"/>
    <mergeCell ref="O12:T12"/>
    <mergeCell ref="V12:AA12"/>
    <mergeCell ref="AC12:AG12"/>
    <mergeCell ref="A13:F13"/>
    <mergeCell ref="H13:M13"/>
    <mergeCell ref="O13:T13"/>
    <mergeCell ref="V13:AA13"/>
    <mergeCell ref="AC13:AG13"/>
    <mergeCell ref="A10:F10"/>
    <mergeCell ref="H10:M10"/>
    <mergeCell ref="O10:T10"/>
    <mergeCell ref="V10:AA10"/>
    <mergeCell ref="AC10:AG10"/>
    <mergeCell ref="A11:F11"/>
    <mergeCell ref="H11:M11"/>
    <mergeCell ref="O11:T11"/>
    <mergeCell ref="V11:AA11"/>
    <mergeCell ref="AC11:AG11"/>
    <mergeCell ref="A8:F8"/>
    <mergeCell ref="H8:M8"/>
    <mergeCell ref="O8:T8"/>
    <mergeCell ref="V8:AA8"/>
    <mergeCell ref="AC8:AG8"/>
    <mergeCell ref="A9:F9"/>
    <mergeCell ref="H9:M9"/>
    <mergeCell ref="O9:T9"/>
    <mergeCell ref="V9:AA9"/>
    <mergeCell ref="AC9:AG9"/>
    <mergeCell ref="A6:F6"/>
    <mergeCell ref="H6:M6"/>
    <mergeCell ref="O6:T6"/>
    <mergeCell ref="V6:AA6"/>
    <mergeCell ref="AC6:AG6"/>
    <mergeCell ref="A7:F7"/>
    <mergeCell ref="H7:M7"/>
    <mergeCell ref="O7:T7"/>
    <mergeCell ref="V7:AA7"/>
    <mergeCell ref="AC7:AG7"/>
    <mergeCell ref="A4:F4"/>
    <mergeCell ref="H4:M4"/>
    <mergeCell ref="O4:T4"/>
    <mergeCell ref="V4:AA4"/>
    <mergeCell ref="AC4:AG4"/>
    <mergeCell ref="A5:F5"/>
    <mergeCell ref="H5:M5"/>
    <mergeCell ref="O5:T5"/>
    <mergeCell ref="V5:AA5"/>
    <mergeCell ref="AC5:AG5"/>
    <mergeCell ref="A1:AH1"/>
    <mergeCell ref="A2:F2"/>
    <mergeCell ref="H2:M2"/>
    <mergeCell ref="O2:T2"/>
    <mergeCell ref="V2:AA2"/>
    <mergeCell ref="AC2:AG2"/>
    <mergeCell ref="A3:F3"/>
    <mergeCell ref="H3:M3"/>
    <mergeCell ref="O3:T3"/>
    <mergeCell ref="V3:AA3"/>
    <mergeCell ref="AC3:AG3"/>
  </mergeCells>
  <phoneticPr fontId="1"/>
  <pageMargins left="0.51181102362204722" right="0.31496062992125984" top="0.55118110236220474" bottom="0.35433070866141736" header="0.31496062992125984" footer="0.31496062992125984"/>
  <pageSetup paperSize="9" fitToWidth="0" orientation="portrait" horizontalDpi="4294967292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B2B2B2"/>
    <pageSetUpPr fitToPage="1"/>
  </sheetPr>
  <dimension ref="A1:AH60"/>
  <sheetViews>
    <sheetView zoomScaleNormal="100" workbookViewId="0">
      <selection activeCell="A20" sqref="A20:AH20"/>
    </sheetView>
  </sheetViews>
  <sheetFormatPr defaultRowHeight="13" x14ac:dyDescent="0.2"/>
  <cols>
    <col min="1" max="47" width="2.6328125" customWidth="1"/>
  </cols>
  <sheetData>
    <row r="1" spans="1:34" ht="19.5" customHeight="1" x14ac:dyDescent="0.2">
      <c r="A1" s="282" t="s">
        <v>248</v>
      </c>
      <c r="B1" s="283"/>
      <c r="C1" s="283"/>
      <c r="D1" s="283"/>
      <c r="E1" s="283"/>
      <c r="F1" s="283"/>
      <c r="G1" s="283"/>
      <c r="H1" s="283"/>
      <c r="I1" s="283"/>
      <c r="J1" s="283"/>
      <c r="K1" s="283"/>
      <c r="L1" s="283"/>
      <c r="M1" s="283"/>
      <c r="N1" s="283"/>
      <c r="O1" s="283"/>
      <c r="P1" s="283"/>
      <c r="Q1" s="283"/>
      <c r="R1" s="283"/>
      <c r="S1" s="283"/>
      <c r="T1" s="283"/>
      <c r="U1" s="283"/>
      <c r="V1" s="283"/>
      <c r="W1" s="283"/>
      <c r="X1" s="283"/>
      <c r="Y1" s="283"/>
      <c r="Z1" s="283"/>
      <c r="AA1" s="283"/>
      <c r="AB1" s="283"/>
      <c r="AC1" s="283"/>
      <c r="AD1" s="283"/>
      <c r="AE1" s="283"/>
      <c r="AF1" s="283"/>
      <c r="AG1" s="283"/>
      <c r="AH1" s="284"/>
    </row>
    <row r="2" spans="1:34" x14ac:dyDescent="0.2">
      <c r="A2" s="285" t="s">
        <v>34</v>
      </c>
      <c r="B2" s="286"/>
      <c r="C2" s="286"/>
      <c r="D2" s="286"/>
      <c r="E2" s="286"/>
      <c r="F2" s="286"/>
      <c r="G2" s="17" t="s">
        <v>35</v>
      </c>
      <c r="H2" s="285" t="s">
        <v>34</v>
      </c>
      <c r="I2" s="286"/>
      <c r="J2" s="286"/>
      <c r="K2" s="286"/>
      <c r="L2" s="286"/>
      <c r="M2" s="286"/>
      <c r="N2" s="17" t="s">
        <v>35</v>
      </c>
      <c r="O2" s="285" t="s">
        <v>34</v>
      </c>
      <c r="P2" s="286"/>
      <c r="Q2" s="286"/>
      <c r="R2" s="286"/>
      <c r="S2" s="286"/>
      <c r="T2" s="286"/>
      <c r="U2" s="17" t="s">
        <v>35</v>
      </c>
      <c r="V2" s="285" t="s">
        <v>34</v>
      </c>
      <c r="W2" s="286"/>
      <c r="X2" s="286"/>
      <c r="Y2" s="286"/>
      <c r="Z2" s="286"/>
      <c r="AA2" s="286"/>
      <c r="AB2" s="17" t="s">
        <v>35</v>
      </c>
      <c r="AC2" s="285" t="s">
        <v>34</v>
      </c>
      <c r="AD2" s="286"/>
      <c r="AE2" s="286"/>
      <c r="AF2" s="286"/>
      <c r="AG2" s="286"/>
      <c r="AH2" s="17" t="s">
        <v>35</v>
      </c>
    </row>
    <row r="3" spans="1:34" x14ac:dyDescent="0.2">
      <c r="A3" s="287" t="s">
        <v>40</v>
      </c>
      <c r="B3" s="288"/>
      <c r="C3" s="288"/>
      <c r="D3" s="288"/>
      <c r="E3" s="288"/>
      <c r="F3" s="289"/>
      <c r="G3" s="36" t="s">
        <v>111</v>
      </c>
      <c r="H3" s="287" t="s">
        <v>22</v>
      </c>
      <c r="I3" s="288"/>
      <c r="J3" s="288"/>
      <c r="K3" s="288"/>
      <c r="L3" s="288"/>
      <c r="M3" s="289"/>
      <c r="N3" s="36" t="s">
        <v>111</v>
      </c>
      <c r="O3" s="287" t="s">
        <v>30</v>
      </c>
      <c r="P3" s="288"/>
      <c r="Q3" s="288"/>
      <c r="R3" s="288"/>
      <c r="S3" s="288"/>
      <c r="T3" s="289"/>
      <c r="U3" s="36" t="s">
        <v>111</v>
      </c>
      <c r="V3" s="287" t="s">
        <v>101</v>
      </c>
      <c r="W3" s="288"/>
      <c r="X3" s="288"/>
      <c r="Y3" s="288"/>
      <c r="Z3" s="288"/>
      <c r="AA3" s="289"/>
      <c r="AB3" s="16" t="s">
        <v>120</v>
      </c>
      <c r="AC3" s="287" t="s">
        <v>103</v>
      </c>
      <c r="AD3" s="288"/>
      <c r="AE3" s="288"/>
      <c r="AF3" s="288"/>
      <c r="AG3" s="289"/>
      <c r="AH3" s="16" t="s">
        <v>132</v>
      </c>
    </row>
    <row r="4" spans="1:34" x14ac:dyDescent="0.2">
      <c r="A4" s="290" t="s">
        <v>18</v>
      </c>
      <c r="B4" s="291"/>
      <c r="C4" s="291"/>
      <c r="D4" s="291"/>
      <c r="E4" s="291"/>
      <c r="F4" s="292"/>
      <c r="G4" s="14" t="s">
        <v>111</v>
      </c>
      <c r="H4" s="290" t="s">
        <v>23</v>
      </c>
      <c r="I4" s="291"/>
      <c r="J4" s="291"/>
      <c r="K4" s="291"/>
      <c r="L4" s="291"/>
      <c r="M4" s="292"/>
      <c r="N4" s="14" t="s">
        <v>111</v>
      </c>
      <c r="O4" s="290" t="s">
        <v>134</v>
      </c>
      <c r="P4" s="291"/>
      <c r="Q4" s="291"/>
      <c r="R4" s="291"/>
      <c r="S4" s="291"/>
      <c r="T4" s="292"/>
      <c r="U4" s="14" t="s">
        <v>111</v>
      </c>
      <c r="V4" s="290" t="s">
        <v>33</v>
      </c>
      <c r="W4" s="291"/>
      <c r="X4" s="291"/>
      <c r="Y4" s="291"/>
      <c r="Z4" s="291"/>
      <c r="AA4" s="292"/>
      <c r="AB4" s="16" t="s">
        <v>111</v>
      </c>
      <c r="AC4" s="290" t="s">
        <v>128</v>
      </c>
      <c r="AD4" s="291"/>
      <c r="AE4" s="291"/>
      <c r="AF4" s="291"/>
      <c r="AG4" s="292"/>
      <c r="AH4" s="14" t="s">
        <v>132</v>
      </c>
    </row>
    <row r="5" spans="1:34" x14ac:dyDescent="0.2">
      <c r="A5" s="290" t="s">
        <v>88</v>
      </c>
      <c r="B5" s="291"/>
      <c r="C5" s="291"/>
      <c r="D5" s="291"/>
      <c r="E5" s="291"/>
      <c r="F5" s="292"/>
      <c r="G5" s="14" t="s">
        <v>111</v>
      </c>
      <c r="H5" s="290" t="s">
        <v>41</v>
      </c>
      <c r="I5" s="291"/>
      <c r="J5" s="291"/>
      <c r="K5" s="291"/>
      <c r="L5" s="291"/>
      <c r="M5" s="292"/>
      <c r="N5" s="14" t="s">
        <v>111</v>
      </c>
      <c r="O5" s="290" t="s">
        <v>153</v>
      </c>
      <c r="P5" s="291"/>
      <c r="Q5" s="291"/>
      <c r="R5" s="291"/>
      <c r="S5" s="291"/>
      <c r="T5" s="292"/>
      <c r="U5" s="14" t="s">
        <v>111</v>
      </c>
      <c r="V5" s="290" t="s">
        <v>42</v>
      </c>
      <c r="W5" s="291"/>
      <c r="X5" s="291"/>
      <c r="Y5" s="291"/>
      <c r="Z5" s="291"/>
      <c r="AA5" s="292"/>
      <c r="AB5" s="16" t="s">
        <v>119</v>
      </c>
      <c r="AC5" s="290" t="s">
        <v>104</v>
      </c>
      <c r="AD5" s="291"/>
      <c r="AE5" s="291"/>
      <c r="AF5" s="291"/>
      <c r="AG5" s="292"/>
      <c r="AH5" s="14"/>
    </row>
    <row r="6" spans="1:34" x14ac:dyDescent="0.2">
      <c r="A6" s="290" t="s">
        <v>19</v>
      </c>
      <c r="B6" s="291"/>
      <c r="C6" s="291"/>
      <c r="D6" s="291"/>
      <c r="E6" s="291"/>
      <c r="F6" s="292"/>
      <c r="G6" s="14" t="s">
        <v>111</v>
      </c>
      <c r="H6" s="290" t="s">
        <v>24</v>
      </c>
      <c r="I6" s="291"/>
      <c r="J6" s="291"/>
      <c r="K6" s="291"/>
      <c r="L6" s="291"/>
      <c r="M6" s="292"/>
      <c r="N6" s="14" t="s">
        <v>111</v>
      </c>
      <c r="O6" s="290" t="s">
        <v>125</v>
      </c>
      <c r="P6" s="291"/>
      <c r="Q6" s="291"/>
      <c r="R6" s="291"/>
      <c r="S6" s="291"/>
      <c r="T6" s="292"/>
      <c r="U6" s="14" t="s">
        <v>111</v>
      </c>
      <c r="V6" s="290" t="s">
        <v>43</v>
      </c>
      <c r="W6" s="291"/>
      <c r="X6" s="291"/>
      <c r="Y6" s="291"/>
      <c r="Z6" s="291"/>
      <c r="AA6" s="292"/>
      <c r="AB6" s="16" t="s">
        <v>111</v>
      </c>
      <c r="AC6" s="290" t="s">
        <v>116</v>
      </c>
      <c r="AD6" s="291"/>
      <c r="AE6" s="291"/>
      <c r="AF6" s="291"/>
      <c r="AG6" s="292"/>
      <c r="AH6" s="14" t="s">
        <v>112</v>
      </c>
    </row>
    <row r="7" spans="1:34" x14ac:dyDescent="0.2">
      <c r="A7" s="290" t="s">
        <v>20</v>
      </c>
      <c r="B7" s="291"/>
      <c r="C7" s="291"/>
      <c r="D7" s="291"/>
      <c r="E7" s="291"/>
      <c r="F7" s="292"/>
      <c r="G7" s="14"/>
      <c r="H7" s="290" t="s">
        <v>25</v>
      </c>
      <c r="I7" s="291"/>
      <c r="J7" s="291"/>
      <c r="K7" s="291"/>
      <c r="L7" s="291"/>
      <c r="M7" s="292"/>
      <c r="N7" s="14" t="s">
        <v>111</v>
      </c>
      <c r="O7" s="290" t="s">
        <v>106</v>
      </c>
      <c r="P7" s="291"/>
      <c r="Q7" s="291"/>
      <c r="R7" s="291"/>
      <c r="S7" s="291"/>
      <c r="T7" s="292"/>
      <c r="U7" s="14" t="s">
        <v>111</v>
      </c>
      <c r="V7" s="290" t="s">
        <v>102</v>
      </c>
      <c r="W7" s="291"/>
      <c r="X7" s="291"/>
      <c r="Y7" s="291"/>
      <c r="Z7" s="291"/>
      <c r="AA7" s="292"/>
      <c r="AB7" s="16" t="s">
        <v>118</v>
      </c>
      <c r="AC7" s="290" t="s">
        <v>124</v>
      </c>
      <c r="AD7" s="291"/>
      <c r="AE7" s="291"/>
      <c r="AF7" s="291"/>
      <c r="AG7" s="292"/>
      <c r="AH7" s="14" t="s">
        <v>112</v>
      </c>
    </row>
    <row r="8" spans="1:34" x14ac:dyDescent="0.2">
      <c r="A8" s="290" t="s">
        <v>44</v>
      </c>
      <c r="B8" s="291"/>
      <c r="C8" s="291"/>
      <c r="D8" s="291"/>
      <c r="E8" s="291"/>
      <c r="F8" s="292"/>
      <c r="G8" s="14" t="s">
        <v>132</v>
      </c>
      <c r="H8" s="290" t="s">
        <v>26</v>
      </c>
      <c r="I8" s="291"/>
      <c r="J8" s="291"/>
      <c r="K8" s="291"/>
      <c r="L8" s="291"/>
      <c r="M8" s="292"/>
      <c r="N8" s="14" t="s">
        <v>111</v>
      </c>
      <c r="O8" s="290" t="s">
        <v>31</v>
      </c>
      <c r="P8" s="291"/>
      <c r="Q8" s="291"/>
      <c r="R8" s="291"/>
      <c r="S8" s="291"/>
      <c r="T8" s="292"/>
      <c r="U8" s="14" t="s">
        <v>111</v>
      </c>
      <c r="V8" s="290" t="s">
        <v>237</v>
      </c>
      <c r="W8" s="291"/>
      <c r="X8" s="291"/>
      <c r="Y8" s="291"/>
      <c r="Z8" s="291"/>
      <c r="AA8" s="292"/>
      <c r="AB8" s="16"/>
      <c r="AC8" s="290"/>
      <c r="AD8" s="291"/>
      <c r="AE8" s="291"/>
      <c r="AF8" s="291"/>
      <c r="AG8" s="292"/>
      <c r="AH8" s="14"/>
    </row>
    <row r="9" spans="1:34" x14ac:dyDescent="0.2">
      <c r="A9" s="290" t="s">
        <v>38</v>
      </c>
      <c r="B9" s="291"/>
      <c r="C9" s="291"/>
      <c r="D9" s="291"/>
      <c r="E9" s="291"/>
      <c r="F9" s="292"/>
      <c r="G9" s="14" t="s">
        <v>111</v>
      </c>
      <c r="H9" s="290" t="s">
        <v>27</v>
      </c>
      <c r="I9" s="291"/>
      <c r="J9" s="291"/>
      <c r="K9" s="291"/>
      <c r="L9" s="291"/>
      <c r="M9" s="292"/>
      <c r="N9" s="14" t="s">
        <v>111</v>
      </c>
      <c r="O9" s="290" t="s">
        <v>32</v>
      </c>
      <c r="P9" s="291"/>
      <c r="Q9" s="291"/>
      <c r="R9" s="291"/>
      <c r="S9" s="291"/>
      <c r="T9" s="292"/>
      <c r="U9" s="14" t="s">
        <v>111</v>
      </c>
      <c r="V9" s="290" t="s">
        <v>45</v>
      </c>
      <c r="W9" s="291"/>
      <c r="X9" s="291"/>
      <c r="Y9" s="291"/>
      <c r="Z9" s="291"/>
      <c r="AA9" s="292"/>
      <c r="AB9" s="16">
        <v>1</v>
      </c>
      <c r="AC9" s="290"/>
      <c r="AD9" s="291"/>
      <c r="AE9" s="291"/>
      <c r="AF9" s="291"/>
      <c r="AG9" s="292"/>
      <c r="AH9" s="14"/>
    </row>
    <row r="10" spans="1:34" x14ac:dyDescent="0.2">
      <c r="A10" s="290" t="s">
        <v>21</v>
      </c>
      <c r="B10" s="291"/>
      <c r="C10" s="291"/>
      <c r="D10" s="291"/>
      <c r="E10" s="291"/>
      <c r="F10" s="292"/>
      <c r="G10" s="14" t="s">
        <v>111</v>
      </c>
      <c r="H10" s="290" t="s">
        <v>46</v>
      </c>
      <c r="I10" s="291"/>
      <c r="J10" s="291"/>
      <c r="K10" s="291"/>
      <c r="L10" s="291"/>
      <c r="M10" s="292"/>
      <c r="N10" s="14" t="s">
        <v>111</v>
      </c>
      <c r="O10" s="290" t="s">
        <v>107</v>
      </c>
      <c r="P10" s="291"/>
      <c r="Q10" s="291"/>
      <c r="R10" s="291"/>
      <c r="S10" s="291"/>
      <c r="T10" s="292"/>
      <c r="U10" s="14" t="s">
        <v>111</v>
      </c>
      <c r="V10" s="290" t="s">
        <v>48</v>
      </c>
      <c r="W10" s="291"/>
      <c r="X10" s="291"/>
      <c r="Y10" s="291"/>
      <c r="Z10" s="291"/>
      <c r="AA10" s="292"/>
      <c r="AB10" s="16">
        <v>1</v>
      </c>
      <c r="AC10" s="290"/>
      <c r="AD10" s="291"/>
      <c r="AE10" s="291"/>
      <c r="AF10" s="291"/>
      <c r="AG10" s="292"/>
      <c r="AH10" s="14"/>
    </row>
    <row r="11" spans="1:34" x14ac:dyDescent="0.2">
      <c r="A11" s="290" t="s">
        <v>49</v>
      </c>
      <c r="B11" s="291"/>
      <c r="C11" s="291"/>
      <c r="D11" s="291"/>
      <c r="E11" s="291"/>
      <c r="F11" s="292"/>
      <c r="G11" s="14" t="s">
        <v>112</v>
      </c>
      <c r="H11" s="290" t="s">
        <v>28</v>
      </c>
      <c r="I11" s="291"/>
      <c r="J11" s="291"/>
      <c r="K11" s="291"/>
      <c r="L11" s="291"/>
      <c r="M11" s="292"/>
      <c r="N11" s="14" t="s">
        <v>112</v>
      </c>
      <c r="O11" s="290" t="s">
        <v>47</v>
      </c>
      <c r="P11" s="291"/>
      <c r="Q11" s="291"/>
      <c r="R11" s="291"/>
      <c r="S11" s="291"/>
      <c r="T11" s="292"/>
      <c r="U11" s="14" t="s">
        <v>111</v>
      </c>
      <c r="V11" s="290" t="s">
        <v>96</v>
      </c>
      <c r="W11" s="291"/>
      <c r="X11" s="291"/>
      <c r="Y11" s="291"/>
      <c r="Z11" s="291"/>
      <c r="AA11" s="292"/>
      <c r="AB11" s="16">
        <v>3</v>
      </c>
      <c r="AC11" s="290"/>
      <c r="AD11" s="291"/>
      <c r="AE11" s="291"/>
      <c r="AF11" s="291"/>
      <c r="AG11" s="292"/>
      <c r="AH11" s="14"/>
    </row>
    <row r="12" spans="1:34" x14ac:dyDescent="0.2">
      <c r="A12" s="290" t="s">
        <v>51</v>
      </c>
      <c r="B12" s="291"/>
      <c r="C12" s="291"/>
      <c r="D12" s="291"/>
      <c r="E12" s="291"/>
      <c r="F12" s="292"/>
      <c r="G12" s="14" t="s">
        <v>111</v>
      </c>
      <c r="H12" s="290" t="s">
        <v>29</v>
      </c>
      <c r="I12" s="291"/>
      <c r="J12" s="291"/>
      <c r="K12" s="291"/>
      <c r="L12" s="291"/>
      <c r="M12" s="292"/>
      <c r="N12" s="14" t="s">
        <v>111</v>
      </c>
      <c r="O12" s="290" t="s">
        <v>50</v>
      </c>
      <c r="P12" s="291"/>
      <c r="Q12" s="291"/>
      <c r="R12" s="291"/>
      <c r="S12" s="291"/>
      <c r="T12" s="292"/>
      <c r="U12" s="14" t="s">
        <v>111</v>
      </c>
      <c r="V12" s="290" t="s">
        <v>97</v>
      </c>
      <c r="W12" s="291"/>
      <c r="X12" s="291"/>
      <c r="Y12" s="291"/>
      <c r="Z12" s="291"/>
      <c r="AA12" s="292"/>
      <c r="AB12" s="16">
        <v>3</v>
      </c>
      <c r="AC12" s="290" t="s">
        <v>115</v>
      </c>
      <c r="AD12" s="291"/>
      <c r="AE12" s="291"/>
      <c r="AF12" s="291"/>
      <c r="AG12" s="292"/>
      <c r="AH12" s="14" t="s">
        <v>117</v>
      </c>
    </row>
    <row r="13" spans="1:34" x14ac:dyDescent="0.2">
      <c r="A13" s="290" t="s">
        <v>53</v>
      </c>
      <c r="B13" s="291"/>
      <c r="C13" s="291"/>
      <c r="D13" s="291"/>
      <c r="E13" s="291"/>
      <c r="F13" s="292"/>
      <c r="G13" s="14" t="s">
        <v>111</v>
      </c>
      <c r="H13" s="290" t="s">
        <v>105</v>
      </c>
      <c r="I13" s="291"/>
      <c r="J13" s="291"/>
      <c r="K13" s="291"/>
      <c r="L13" s="291"/>
      <c r="M13" s="292"/>
      <c r="N13" s="14" t="s">
        <v>111</v>
      </c>
      <c r="O13" s="290" t="s">
        <v>52</v>
      </c>
      <c r="P13" s="291"/>
      <c r="Q13" s="291"/>
      <c r="R13" s="291"/>
      <c r="S13" s="291"/>
      <c r="T13" s="292"/>
      <c r="U13" s="14" t="s">
        <v>111</v>
      </c>
      <c r="V13" s="290" t="s">
        <v>131</v>
      </c>
      <c r="W13" s="291"/>
      <c r="X13" s="291"/>
      <c r="Y13" s="291"/>
      <c r="Z13" s="291"/>
      <c r="AA13" s="292"/>
      <c r="AB13" s="16">
        <v>1</v>
      </c>
      <c r="AC13" s="290"/>
      <c r="AD13" s="291"/>
      <c r="AE13" s="291"/>
      <c r="AF13" s="291"/>
      <c r="AG13" s="292"/>
      <c r="AH13" s="14"/>
    </row>
    <row r="14" spans="1:34" x14ac:dyDescent="0.2">
      <c r="A14" s="290" t="s">
        <v>90</v>
      </c>
      <c r="B14" s="291"/>
      <c r="C14" s="291"/>
      <c r="D14" s="291"/>
      <c r="E14" s="291"/>
      <c r="F14" s="292"/>
      <c r="G14" s="14" t="s">
        <v>111</v>
      </c>
      <c r="H14" s="290" t="s">
        <v>98</v>
      </c>
      <c r="I14" s="291"/>
      <c r="J14" s="291"/>
      <c r="K14" s="291"/>
      <c r="L14" s="291"/>
      <c r="M14" s="292"/>
      <c r="N14" s="14" t="s">
        <v>111</v>
      </c>
      <c r="O14" s="290" t="s">
        <v>39</v>
      </c>
      <c r="P14" s="291"/>
      <c r="Q14" s="291"/>
      <c r="R14" s="291"/>
      <c r="S14" s="291"/>
      <c r="T14" s="292"/>
      <c r="U14" s="14" t="s">
        <v>111</v>
      </c>
      <c r="V14" s="290" t="s">
        <v>114</v>
      </c>
      <c r="W14" s="291"/>
      <c r="X14" s="291"/>
      <c r="Y14" s="291"/>
      <c r="Z14" s="291"/>
      <c r="AA14" s="292"/>
      <c r="AB14" s="16">
        <v>3</v>
      </c>
      <c r="AC14" s="290"/>
      <c r="AD14" s="291"/>
      <c r="AE14" s="291"/>
      <c r="AF14" s="291"/>
      <c r="AG14" s="292"/>
      <c r="AH14" s="14"/>
    </row>
    <row r="15" spans="1:34" x14ac:dyDescent="0.2">
      <c r="A15" s="290" t="s">
        <v>91</v>
      </c>
      <c r="B15" s="291"/>
      <c r="C15" s="291"/>
      <c r="D15" s="291"/>
      <c r="E15" s="291"/>
      <c r="F15" s="292"/>
      <c r="G15" s="14" t="s">
        <v>111</v>
      </c>
      <c r="H15" s="290"/>
      <c r="I15" s="291"/>
      <c r="J15" s="291"/>
      <c r="K15" s="291"/>
      <c r="L15" s="291"/>
      <c r="M15" s="292"/>
      <c r="N15" s="14"/>
      <c r="O15" s="290" t="s">
        <v>54</v>
      </c>
      <c r="P15" s="291"/>
      <c r="Q15" s="291"/>
      <c r="R15" s="291"/>
      <c r="S15" s="291"/>
      <c r="T15" s="292"/>
      <c r="U15" s="14" t="s">
        <v>112</v>
      </c>
      <c r="V15" s="290" t="s">
        <v>113</v>
      </c>
      <c r="W15" s="291"/>
      <c r="X15" s="291"/>
      <c r="Y15" s="291"/>
      <c r="Z15" s="291"/>
      <c r="AA15" s="292"/>
      <c r="AB15" s="14">
        <v>2</v>
      </c>
      <c r="AC15" s="290" t="s">
        <v>155</v>
      </c>
      <c r="AD15" s="291"/>
      <c r="AE15" s="291"/>
      <c r="AF15" s="291"/>
      <c r="AG15" s="292"/>
      <c r="AH15" s="14" t="s">
        <v>132</v>
      </c>
    </row>
    <row r="16" spans="1:34" x14ac:dyDescent="0.2">
      <c r="A16" s="290" t="s">
        <v>92</v>
      </c>
      <c r="B16" s="291"/>
      <c r="C16" s="291"/>
      <c r="D16" s="291"/>
      <c r="E16" s="291"/>
      <c r="F16" s="292"/>
      <c r="G16" s="14" t="s">
        <v>111</v>
      </c>
      <c r="H16" s="290"/>
      <c r="I16" s="291"/>
      <c r="J16" s="291"/>
      <c r="K16" s="291"/>
      <c r="L16" s="291"/>
      <c r="M16" s="292"/>
      <c r="N16" s="14"/>
      <c r="O16" s="290" t="s">
        <v>78</v>
      </c>
      <c r="P16" s="291"/>
      <c r="Q16" s="291"/>
      <c r="R16" s="291"/>
      <c r="S16" s="291"/>
      <c r="T16" s="292"/>
      <c r="U16" s="14" t="s">
        <v>112</v>
      </c>
      <c r="V16" s="290" t="s">
        <v>121</v>
      </c>
      <c r="W16" s="291"/>
      <c r="X16" s="291"/>
      <c r="Y16" s="291"/>
      <c r="Z16" s="291"/>
      <c r="AA16" s="292"/>
      <c r="AB16" s="16">
        <v>1</v>
      </c>
      <c r="AC16" s="290" t="s">
        <v>133</v>
      </c>
      <c r="AD16" s="291"/>
      <c r="AE16" s="291"/>
      <c r="AF16" s="291"/>
      <c r="AG16" s="292"/>
      <c r="AH16" s="14" t="s">
        <v>132</v>
      </c>
    </row>
    <row r="17" spans="1:34" x14ac:dyDescent="0.2">
      <c r="A17" s="290"/>
      <c r="B17" s="291"/>
      <c r="C17" s="291"/>
      <c r="D17" s="291"/>
      <c r="E17" s="291"/>
      <c r="F17" s="292"/>
      <c r="G17" s="14"/>
      <c r="H17" s="290"/>
      <c r="I17" s="291"/>
      <c r="J17" s="291"/>
      <c r="K17" s="291"/>
      <c r="L17" s="291"/>
      <c r="M17" s="292"/>
      <c r="N17" s="14"/>
      <c r="O17" s="290"/>
      <c r="P17" s="291"/>
      <c r="Q17" s="291"/>
      <c r="R17" s="291"/>
      <c r="S17" s="291"/>
      <c r="T17" s="292"/>
      <c r="U17" s="14"/>
      <c r="V17" s="290" t="s">
        <v>238</v>
      </c>
      <c r="W17" s="291"/>
      <c r="X17" s="291"/>
      <c r="Y17" s="291"/>
      <c r="Z17" s="291"/>
      <c r="AA17" s="292"/>
      <c r="AB17" s="16"/>
      <c r="AC17" s="290"/>
      <c r="AD17" s="291"/>
      <c r="AE17" s="291"/>
      <c r="AF17" s="291"/>
      <c r="AG17" s="292"/>
      <c r="AH17" s="14"/>
    </row>
    <row r="18" spans="1:34" x14ac:dyDescent="0.2">
      <c r="A18" s="290"/>
      <c r="B18" s="291"/>
      <c r="C18" s="291"/>
      <c r="D18" s="291"/>
      <c r="E18" s="291"/>
      <c r="F18" s="292"/>
      <c r="G18" s="14"/>
      <c r="H18" s="290"/>
      <c r="I18" s="291"/>
      <c r="J18" s="291"/>
      <c r="K18" s="291"/>
      <c r="L18" s="291"/>
      <c r="M18" s="292"/>
      <c r="N18" s="14"/>
      <c r="O18" s="290"/>
      <c r="P18" s="291"/>
      <c r="Q18" s="291"/>
      <c r="R18" s="291"/>
      <c r="S18" s="291"/>
      <c r="T18" s="292"/>
      <c r="U18" s="14"/>
      <c r="V18" s="290"/>
      <c r="W18" s="291"/>
      <c r="X18" s="291"/>
      <c r="Y18" s="291"/>
      <c r="Z18" s="291"/>
      <c r="AA18" s="292"/>
      <c r="AB18" s="14"/>
      <c r="AC18" s="290"/>
      <c r="AD18" s="291"/>
      <c r="AE18" s="291"/>
      <c r="AF18" s="291"/>
      <c r="AG18" s="292"/>
      <c r="AH18" s="14"/>
    </row>
    <row r="19" spans="1:34" ht="13.5" customHeight="1" x14ac:dyDescent="0.2">
      <c r="A19" s="322"/>
      <c r="B19" s="323"/>
      <c r="C19" s="323"/>
      <c r="D19" s="323"/>
      <c r="E19" s="323"/>
      <c r="F19" s="324"/>
      <c r="G19" s="16"/>
      <c r="H19" s="322"/>
      <c r="I19" s="323"/>
      <c r="J19" s="323"/>
      <c r="K19" s="323"/>
      <c r="L19" s="323"/>
      <c r="M19" s="324"/>
      <c r="N19" s="15"/>
      <c r="O19" s="322"/>
      <c r="P19" s="323"/>
      <c r="Q19" s="323"/>
      <c r="R19" s="323"/>
      <c r="S19" s="323"/>
      <c r="T19" s="324"/>
      <c r="U19" s="14"/>
      <c r="V19" s="322"/>
      <c r="W19" s="323"/>
      <c r="X19" s="323"/>
      <c r="Y19" s="323"/>
      <c r="Z19" s="323"/>
      <c r="AA19" s="324"/>
      <c r="AB19" s="15"/>
      <c r="AC19" s="322"/>
      <c r="AD19" s="323"/>
      <c r="AE19" s="323"/>
      <c r="AF19" s="323"/>
      <c r="AG19" s="324"/>
      <c r="AH19" s="15"/>
    </row>
    <row r="20" spans="1:34" ht="19.5" customHeight="1" x14ac:dyDescent="0.2">
      <c r="A20" s="325" t="s">
        <v>251</v>
      </c>
      <c r="B20" s="283"/>
      <c r="C20" s="283"/>
      <c r="D20" s="283"/>
      <c r="E20" s="283"/>
      <c r="F20" s="283"/>
      <c r="G20" s="283"/>
      <c r="H20" s="283"/>
      <c r="I20" s="283"/>
      <c r="J20" s="283"/>
      <c r="K20" s="283"/>
      <c r="L20" s="283"/>
      <c r="M20" s="283"/>
      <c r="N20" s="283"/>
      <c r="O20" s="283"/>
      <c r="P20" s="283"/>
      <c r="Q20" s="283"/>
      <c r="R20" s="283"/>
      <c r="S20" s="283"/>
      <c r="T20" s="283"/>
      <c r="U20" s="283"/>
      <c r="V20" s="283"/>
      <c r="W20" s="283"/>
      <c r="X20" s="283"/>
      <c r="Y20" s="283"/>
      <c r="Z20" s="283"/>
      <c r="AA20" s="283"/>
      <c r="AB20" s="283"/>
      <c r="AC20" s="283"/>
      <c r="AD20" s="283"/>
      <c r="AE20" s="283"/>
      <c r="AF20" s="283"/>
      <c r="AG20" s="283"/>
      <c r="AH20" s="284"/>
    </row>
    <row r="21" spans="1:34" ht="13.5" customHeight="1" x14ac:dyDescent="0.2">
      <c r="A21" s="285" t="s">
        <v>34</v>
      </c>
      <c r="B21" s="286"/>
      <c r="C21" s="286"/>
      <c r="D21" s="286"/>
      <c r="E21" s="293"/>
      <c r="F21" s="285" t="s">
        <v>99</v>
      </c>
      <c r="G21" s="286"/>
      <c r="H21" s="294"/>
      <c r="I21" s="285" t="s">
        <v>100</v>
      </c>
      <c r="J21" s="286"/>
      <c r="K21" s="286"/>
      <c r="L21" s="285" t="s">
        <v>34</v>
      </c>
      <c r="M21" s="286"/>
      <c r="N21" s="286"/>
      <c r="O21" s="286"/>
      <c r="P21" s="293"/>
      <c r="Q21" s="285" t="s">
        <v>99</v>
      </c>
      <c r="R21" s="286"/>
      <c r="S21" s="294"/>
      <c r="T21" s="285" t="s">
        <v>100</v>
      </c>
      <c r="U21" s="286"/>
      <c r="V21" s="286"/>
      <c r="W21" s="285" t="s">
        <v>34</v>
      </c>
      <c r="X21" s="286"/>
      <c r="Y21" s="286"/>
      <c r="Z21" s="286"/>
      <c r="AA21" s="286"/>
      <c r="AB21" s="285" t="s">
        <v>99</v>
      </c>
      <c r="AC21" s="295"/>
      <c r="AD21" s="296"/>
      <c r="AE21" s="285" t="s">
        <v>100</v>
      </c>
      <c r="AF21" s="295"/>
      <c r="AG21" s="295"/>
      <c r="AH21" s="296"/>
    </row>
    <row r="22" spans="1:34" ht="13.5" customHeight="1" x14ac:dyDescent="0.2">
      <c r="A22" s="297" t="s">
        <v>145</v>
      </c>
      <c r="B22" s="298"/>
      <c r="C22" s="298"/>
      <c r="D22" s="298"/>
      <c r="E22" s="299"/>
      <c r="F22" s="300"/>
      <c r="G22" s="301"/>
      <c r="H22" s="301"/>
      <c r="I22" s="300"/>
      <c r="J22" s="301"/>
      <c r="K22" s="301"/>
      <c r="L22" s="287" t="s">
        <v>147</v>
      </c>
      <c r="M22" s="391"/>
      <c r="N22" s="391"/>
      <c r="O22" s="391"/>
      <c r="P22" s="392"/>
      <c r="Q22" s="300"/>
      <c r="R22" s="301"/>
      <c r="S22" s="301"/>
      <c r="T22" s="300"/>
      <c r="U22" s="301"/>
      <c r="V22" s="301"/>
      <c r="W22" s="303" t="s">
        <v>138</v>
      </c>
      <c r="X22" s="304"/>
      <c r="Y22" s="304"/>
      <c r="Z22" s="304"/>
      <c r="AA22" s="304"/>
      <c r="AB22" s="300"/>
      <c r="AC22" s="301"/>
      <c r="AD22" s="305"/>
      <c r="AE22" s="306"/>
      <c r="AF22" s="307"/>
      <c r="AG22" s="307"/>
      <c r="AH22" s="308"/>
    </row>
    <row r="23" spans="1:34" ht="13.5" customHeight="1" x14ac:dyDescent="0.2">
      <c r="A23" s="311" t="s">
        <v>139</v>
      </c>
      <c r="B23" s="312"/>
      <c r="C23" s="312"/>
      <c r="D23" s="312"/>
      <c r="E23" s="313"/>
      <c r="F23" s="300"/>
      <c r="G23" s="301"/>
      <c r="H23" s="301"/>
      <c r="I23" s="300"/>
      <c r="J23" s="301"/>
      <c r="K23" s="301"/>
      <c r="L23" s="290" t="s">
        <v>148</v>
      </c>
      <c r="M23" s="396"/>
      <c r="N23" s="396"/>
      <c r="O23" s="396"/>
      <c r="P23" s="397"/>
      <c r="Q23" s="300"/>
      <c r="R23" s="301"/>
      <c r="S23" s="301"/>
      <c r="T23" s="300"/>
      <c r="U23" s="301"/>
      <c r="V23" s="301"/>
      <c r="W23" s="309" t="s">
        <v>158</v>
      </c>
      <c r="X23" s="310"/>
      <c r="Y23" s="310"/>
      <c r="Z23" s="310"/>
      <c r="AA23" s="310"/>
      <c r="AB23" s="300"/>
      <c r="AC23" s="301"/>
      <c r="AD23" s="305"/>
      <c r="AE23" s="300"/>
      <c r="AF23" s="301"/>
      <c r="AG23" s="301"/>
      <c r="AH23" s="305"/>
    </row>
    <row r="24" spans="1:34" ht="13.5" customHeight="1" x14ac:dyDescent="0.2">
      <c r="A24" s="311" t="s">
        <v>140</v>
      </c>
      <c r="B24" s="312"/>
      <c r="C24" s="312"/>
      <c r="D24" s="312"/>
      <c r="E24" s="313"/>
      <c r="F24" s="300"/>
      <c r="G24" s="301"/>
      <c r="H24" s="301"/>
      <c r="I24" s="300"/>
      <c r="J24" s="301"/>
      <c r="K24" s="301"/>
      <c r="L24" s="290" t="s">
        <v>149</v>
      </c>
      <c r="M24" s="396"/>
      <c r="N24" s="396"/>
      <c r="O24" s="396"/>
      <c r="P24" s="397"/>
      <c r="Q24" s="300"/>
      <c r="R24" s="301"/>
      <c r="S24" s="301"/>
      <c r="T24" s="300"/>
      <c r="U24" s="301"/>
      <c r="V24" s="301"/>
      <c r="W24" s="309" t="s">
        <v>159</v>
      </c>
      <c r="X24" s="310"/>
      <c r="Y24" s="310"/>
      <c r="Z24" s="310"/>
      <c r="AA24" s="310"/>
      <c r="AB24" s="300"/>
      <c r="AC24" s="301"/>
      <c r="AD24" s="305"/>
      <c r="AE24" s="300"/>
      <c r="AF24" s="301"/>
      <c r="AG24" s="301"/>
      <c r="AH24" s="305"/>
    </row>
    <row r="25" spans="1:34" ht="13.5" customHeight="1" x14ac:dyDescent="0.2">
      <c r="A25" s="311" t="s">
        <v>142</v>
      </c>
      <c r="B25" s="312"/>
      <c r="C25" s="312"/>
      <c r="D25" s="312"/>
      <c r="E25" s="313"/>
      <c r="F25" s="300"/>
      <c r="G25" s="301"/>
      <c r="H25" s="301"/>
      <c r="I25" s="300"/>
      <c r="J25" s="301"/>
      <c r="K25" s="301"/>
      <c r="L25" s="108" t="s">
        <v>150</v>
      </c>
      <c r="M25" s="109"/>
      <c r="N25" s="109"/>
      <c r="O25" s="109"/>
      <c r="P25" s="110"/>
      <c r="Q25" s="300"/>
      <c r="R25" s="301"/>
      <c r="S25" s="301"/>
      <c r="T25" s="300"/>
      <c r="U25" s="301"/>
      <c r="V25" s="301"/>
      <c r="W25" s="309" t="s">
        <v>156</v>
      </c>
      <c r="X25" s="310"/>
      <c r="Y25" s="310"/>
      <c r="Z25" s="310"/>
      <c r="AA25" s="310"/>
      <c r="AB25" s="300"/>
      <c r="AC25" s="301"/>
      <c r="AD25" s="305"/>
      <c r="AE25" s="300"/>
      <c r="AF25" s="301"/>
      <c r="AG25" s="301"/>
      <c r="AH25" s="305"/>
    </row>
    <row r="26" spans="1:34" ht="13.5" customHeight="1" x14ac:dyDescent="0.2">
      <c r="A26" s="314" t="s">
        <v>231</v>
      </c>
      <c r="B26" s="301"/>
      <c r="C26" s="301"/>
      <c r="D26" s="301"/>
      <c r="E26" s="305"/>
      <c r="F26" s="300"/>
      <c r="G26" s="301"/>
      <c r="H26" s="301"/>
      <c r="I26" s="300"/>
      <c r="J26" s="301"/>
      <c r="K26" s="301"/>
      <c r="L26" s="108" t="s">
        <v>150</v>
      </c>
      <c r="M26" s="109"/>
      <c r="N26" s="109"/>
      <c r="O26" s="109"/>
      <c r="P26" s="110"/>
      <c r="Q26" s="300"/>
      <c r="R26" s="301"/>
      <c r="S26" s="301"/>
      <c r="T26" s="300"/>
      <c r="U26" s="301"/>
      <c r="V26" s="301"/>
      <c r="W26" s="309" t="s">
        <v>141</v>
      </c>
      <c r="X26" s="310"/>
      <c r="Y26" s="310"/>
      <c r="Z26" s="310"/>
      <c r="AA26" s="315"/>
      <c r="AB26" s="300"/>
      <c r="AC26" s="301"/>
      <c r="AD26" s="305"/>
      <c r="AE26" s="300"/>
      <c r="AF26" s="301"/>
      <c r="AG26" s="301"/>
      <c r="AH26" s="305"/>
    </row>
    <row r="27" spans="1:34" ht="13.5" customHeight="1" x14ac:dyDescent="0.2">
      <c r="A27" s="314" t="s">
        <v>231</v>
      </c>
      <c r="B27" s="301"/>
      <c r="C27" s="301"/>
      <c r="D27" s="301"/>
      <c r="E27" s="305"/>
      <c r="F27" s="300"/>
      <c r="G27" s="301"/>
      <c r="H27" s="305"/>
      <c r="I27" s="300"/>
      <c r="J27" s="301"/>
      <c r="K27" s="301"/>
      <c r="L27" s="398" t="s">
        <v>241</v>
      </c>
      <c r="M27" s="399"/>
      <c r="N27" s="399"/>
      <c r="O27" s="399"/>
      <c r="P27" s="400"/>
      <c r="Q27" s="300"/>
      <c r="R27" s="301"/>
      <c r="S27" s="301"/>
      <c r="T27" s="300"/>
      <c r="U27" s="301"/>
      <c r="V27" s="301"/>
      <c r="W27" s="309" t="s">
        <v>143</v>
      </c>
      <c r="X27" s="310"/>
      <c r="Y27" s="310"/>
      <c r="Z27" s="310"/>
      <c r="AA27" s="315"/>
      <c r="AB27" s="300"/>
      <c r="AC27" s="301"/>
      <c r="AD27" s="305"/>
      <c r="AE27" s="300"/>
      <c r="AF27" s="301"/>
      <c r="AG27" s="301"/>
      <c r="AH27" s="305"/>
    </row>
    <row r="28" spans="1:34" ht="13.5" customHeight="1" x14ac:dyDescent="0.2">
      <c r="A28" s="309" t="s">
        <v>145</v>
      </c>
      <c r="B28" s="310"/>
      <c r="C28" s="310"/>
      <c r="D28" s="310"/>
      <c r="E28" s="315"/>
      <c r="F28" s="300"/>
      <c r="G28" s="301"/>
      <c r="H28" s="305"/>
      <c r="I28" s="300"/>
      <c r="J28" s="301"/>
      <c r="K28" s="301"/>
      <c r="L28" s="398" t="s">
        <v>241</v>
      </c>
      <c r="M28" s="399"/>
      <c r="N28" s="399"/>
      <c r="O28" s="399"/>
      <c r="P28" s="400"/>
      <c r="Q28" s="300"/>
      <c r="R28" s="301"/>
      <c r="S28" s="305"/>
      <c r="T28" s="300"/>
      <c r="U28" s="301"/>
      <c r="V28" s="305"/>
      <c r="W28" s="309" t="s">
        <v>157</v>
      </c>
      <c r="X28" s="310"/>
      <c r="Y28" s="310"/>
      <c r="Z28" s="310"/>
      <c r="AA28" s="315"/>
      <c r="AB28" s="300"/>
      <c r="AC28" s="301"/>
      <c r="AD28" s="305"/>
      <c r="AE28" s="300"/>
      <c r="AF28" s="301"/>
      <c r="AG28" s="301"/>
      <c r="AH28" s="305"/>
    </row>
    <row r="29" spans="1:34" ht="13.5" customHeight="1" x14ac:dyDescent="0.2">
      <c r="A29" s="314" t="s">
        <v>139</v>
      </c>
      <c r="B29" s="316"/>
      <c r="C29" s="316"/>
      <c r="D29" s="316"/>
      <c r="E29" s="317"/>
      <c r="F29" s="300"/>
      <c r="G29" s="301"/>
      <c r="H29" s="305"/>
      <c r="I29" s="300"/>
      <c r="J29" s="301"/>
      <c r="K29" s="301"/>
      <c r="L29" s="398"/>
      <c r="M29" s="399"/>
      <c r="N29" s="399"/>
      <c r="O29" s="399"/>
      <c r="P29" s="400"/>
      <c r="Q29" s="300"/>
      <c r="R29" s="301"/>
      <c r="S29" s="305"/>
      <c r="T29" s="300"/>
      <c r="U29" s="301"/>
      <c r="V29" s="305"/>
      <c r="W29" s="309" t="s">
        <v>157</v>
      </c>
      <c r="X29" s="310"/>
      <c r="Y29" s="310"/>
      <c r="Z29" s="310"/>
      <c r="AA29" s="315"/>
      <c r="AB29" s="300"/>
      <c r="AC29" s="301"/>
      <c r="AD29" s="305"/>
      <c r="AE29" s="300"/>
      <c r="AF29" s="301"/>
      <c r="AG29" s="301"/>
      <c r="AH29" s="305"/>
    </row>
    <row r="30" spans="1:34" ht="13.5" customHeight="1" x14ac:dyDescent="0.2">
      <c r="A30" s="314" t="s">
        <v>229</v>
      </c>
      <c r="B30" s="316"/>
      <c r="C30" s="316"/>
      <c r="D30" s="316"/>
      <c r="E30" s="317"/>
      <c r="F30" s="300"/>
      <c r="G30" s="301"/>
      <c r="H30" s="305"/>
      <c r="I30" s="300"/>
      <c r="J30" s="301"/>
      <c r="K30" s="301"/>
      <c r="L30" s="398" t="s">
        <v>122</v>
      </c>
      <c r="M30" s="399"/>
      <c r="N30" s="399"/>
      <c r="O30" s="399"/>
      <c r="P30" s="400"/>
      <c r="Q30" s="300"/>
      <c r="R30" s="301"/>
      <c r="S30" s="305"/>
      <c r="T30" s="300"/>
      <c r="U30" s="301"/>
      <c r="V30" s="301"/>
      <c r="W30" s="309" t="s">
        <v>226</v>
      </c>
      <c r="X30" s="310"/>
      <c r="Y30" s="310"/>
      <c r="Z30" s="310"/>
      <c r="AA30" s="315"/>
      <c r="AB30" s="300"/>
      <c r="AC30" s="301"/>
      <c r="AD30" s="305"/>
      <c r="AE30" s="300"/>
      <c r="AF30" s="301"/>
      <c r="AG30" s="301"/>
      <c r="AH30" s="305"/>
    </row>
    <row r="31" spans="1:34" ht="13.5" customHeight="1" x14ac:dyDescent="0.2">
      <c r="A31" s="314" t="s">
        <v>230</v>
      </c>
      <c r="B31" s="316"/>
      <c r="C31" s="316"/>
      <c r="D31" s="316"/>
      <c r="E31" s="317"/>
      <c r="F31" s="300"/>
      <c r="G31" s="301"/>
      <c r="H31" s="305"/>
      <c r="I31" s="300"/>
      <c r="J31" s="301"/>
      <c r="K31" s="301"/>
      <c r="L31" s="105" t="s">
        <v>151</v>
      </c>
      <c r="M31" s="106"/>
      <c r="N31" s="106"/>
      <c r="O31" s="106"/>
      <c r="P31" s="107"/>
      <c r="Q31" s="300"/>
      <c r="R31" s="301"/>
      <c r="S31" s="305"/>
      <c r="T31" s="300"/>
      <c r="U31" s="301"/>
      <c r="V31" s="301"/>
      <c r="W31" s="309" t="s">
        <v>144</v>
      </c>
      <c r="X31" s="310"/>
      <c r="Y31" s="310"/>
      <c r="Z31" s="310"/>
      <c r="AA31" s="315"/>
      <c r="AB31" s="300"/>
      <c r="AC31" s="301"/>
      <c r="AD31" s="305"/>
      <c r="AE31" s="300"/>
      <c r="AF31" s="301"/>
      <c r="AG31" s="301"/>
      <c r="AH31" s="305"/>
    </row>
    <row r="32" spans="1:34" ht="13.5" customHeight="1" x14ac:dyDescent="0.2">
      <c r="A32" s="314" t="s">
        <v>231</v>
      </c>
      <c r="B32" s="301"/>
      <c r="C32" s="301"/>
      <c r="D32" s="301"/>
      <c r="E32" s="305"/>
      <c r="F32" s="300"/>
      <c r="G32" s="301"/>
      <c r="H32" s="305"/>
      <c r="I32" s="300"/>
      <c r="J32" s="301"/>
      <c r="K32" s="301"/>
      <c r="L32" s="398" t="s">
        <v>152</v>
      </c>
      <c r="M32" s="399"/>
      <c r="N32" s="399"/>
      <c r="O32" s="399"/>
      <c r="P32" s="400"/>
      <c r="Q32" s="300"/>
      <c r="R32" s="301"/>
      <c r="S32" s="305"/>
      <c r="T32" s="300"/>
      <c r="U32" s="301"/>
      <c r="V32" s="301"/>
      <c r="W32" s="309"/>
      <c r="X32" s="310"/>
      <c r="Y32" s="310"/>
      <c r="Z32" s="310"/>
      <c r="AA32" s="315"/>
      <c r="AB32" s="300"/>
      <c r="AC32" s="301"/>
      <c r="AD32" s="305"/>
      <c r="AE32" s="300"/>
      <c r="AF32" s="301"/>
      <c r="AG32" s="301"/>
      <c r="AH32" s="305"/>
    </row>
    <row r="33" spans="1:34" ht="13.5" customHeight="1" x14ac:dyDescent="0.2">
      <c r="A33" s="314" t="s">
        <v>231</v>
      </c>
      <c r="B33" s="316"/>
      <c r="C33" s="316"/>
      <c r="D33" s="316"/>
      <c r="E33" s="317"/>
      <c r="F33" s="300"/>
      <c r="G33" s="301"/>
      <c r="H33" s="305"/>
      <c r="I33" s="300"/>
      <c r="J33" s="301"/>
      <c r="K33" s="301"/>
      <c r="L33" s="290"/>
      <c r="M33" s="291"/>
      <c r="N33" s="291"/>
      <c r="O33" s="291"/>
      <c r="P33" s="302"/>
      <c r="Q33" s="300"/>
      <c r="R33" s="301"/>
      <c r="S33" s="305"/>
      <c r="T33" s="300"/>
      <c r="U33" s="301"/>
      <c r="V33" s="301"/>
      <c r="W33" s="319" t="s">
        <v>235</v>
      </c>
      <c r="X33" s="320"/>
      <c r="Y33" s="320"/>
      <c r="Z33" s="320"/>
      <c r="AA33" s="321"/>
      <c r="AB33" s="300"/>
      <c r="AC33" s="301"/>
      <c r="AD33" s="305"/>
      <c r="AE33" s="300"/>
      <c r="AF33" s="301"/>
      <c r="AG33" s="301"/>
      <c r="AH33" s="305"/>
    </row>
    <row r="34" spans="1:34" ht="13.5" customHeight="1" x14ac:dyDescent="0.2">
      <c r="A34" s="318" t="s">
        <v>232</v>
      </c>
      <c r="B34" s="310"/>
      <c r="C34" s="310"/>
      <c r="D34" s="310"/>
      <c r="E34" s="315"/>
      <c r="F34" s="300"/>
      <c r="G34" s="301"/>
      <c r="H34" s="305"/>
      <c r="I34" s="300"/>
      <c r="J34" s="301"/>
      <c r="K34" s="301"/>
      <c r="L34" s="355" t="s">
        <v>250</v>
      </c>
      <c r="M34" s="356"/>
      <c r="N34" s="356"/>
      <c r="O34" s="356"/>
      <c r="P34" s="357"/>
      <c r="Q34" s="361"/>
      <c r="R34" s="362"/>
      <c r="S34" s="363"/>
      <c r="T34" s="361"/>
      <c r="U34" s="362"/>
      <c r="V34" s="363"/>
      <c r="W34" s="319" t="s">
        <v>236</v>
      </c>
      <c r="X34" s="320"/>
      <c r="Y34" s="320"/>
      <c r="Z34" s="320"/>
      <c r="AA34" s="321"/>
      <c r="AB34" s="300"/>
      <c r="AC34" s="301"/>
      <c r="AD34" s="305"/>
      <c r="AE34" s="300"/>
      <c r="AF34" s="301"/>
      <c r="AG34" s="301"/>
      <c r="AH34" s="305"/>
    </row>
    <row r="35" spans="1:34" ht="13.5" customHeight="1" x14ac:dyDescent="0.2">
      <c r="A35" s="318" t="s">
        <v>233</v>
      </c>
      <c r="B35" s="310"/>
      <c r="C35" s="310"/>
      <c r="D35" s="310"/>
      <c r="E35" s="315"/>
      <c r="F35" s="300"/>
      <c r="G35" s="301"/>
      <c r="H35" s="305"/>
      <c r="I35" s="300"/>
      <c r="J35" s="301"/>
      <c r="K35" s="301"/>
      <c r="L35" s="358"/>
      <c r="M35" s="359"/>
      <c r="N35" s="359"/>
      <c r="O35" s="359"/>
      <c r="P35" s="360"/>
      <c r="Q35" s="364"/>
      <c r="R35" s="312"/>
      <c r="S35" s="313"/>
      <c r="T35" s="364"/>
      <c r="U35" s="312"/>
      <c r="V35" s="313"/>
      <c r="W35" s="309" t="s">
        <v>146</v>
      </c>
      <c r="X35" s="310"/>
      <c r="Y35" s="310"/>
      <c r="Z35" s="310"/>
      <c r="AA35" s="315"/>
      <c r="AB35" s="300"/>
      <c r="AC35" s="301"/>
      <c r="AD35" s="305"/>
      <c r="AE35" s="300"/>
      <c r="AF35" s="301"/>
      <c r="AG35" s="301"/>
      <c r="AH35" s="305"/>
    </row>
    <row r="36" spans="1:34" ht="13.5" customHeight="1" x14ac:dyDescent="0.2">
      <c r="A36" s="329" t="s">
        <v>234</v>
      </c>
      <c r="B36" s="330"/>
      <c r="C36" s="330"/>
      <c r="D36" s="330"/>
      <c r="E36" s="334"/>
      <c r="F36" s="326"/>
      <c r="G36" s="327"/>
      <c r="H36" s="328"/>
      <c r="I36" s="326"/>
      <c r="J36" s="327"/>
      <c r="K36" s="327"/>
      <c r="L36" s="322"/>
      <c r="M36" s="323"/>
      <c r="N36" s="323"/>
      <c r="O36" s="323"/>
      <c r="P36" s="335"/>
      <c r="Q36" s="326"/>
      <c r="R36" s="327"/>
      <c r="S36" s="328"/>
      <c r="T36" s="326"/>
      <c r="U36" s="327"/>
      <c r="V36" s="328"/>
      <c r="W36" s="329" t="s">
        <v>135</v>
      </c>
      <c r="X36" s="330"/>
      <c r="Y36" s="330"/>
      <c r="Z36" s="330"/>
      <c r="AA36" s="330"/>
      <c r="AB36" s="326"/>
      <c r="AC36" s="327"/>
      <c r="AD36" s="328"/>
      <c r="AE36" s="326"/>
      <c r="AF36" s="327"/>
      <c r="AG36" s="327"/>
      <c r="AH36" s="328"/>
    </row>
    <row r="37" spans="1:34" x14ac:dyDescent="0.2">
      <c r="A37" s="331" t="s">
        <v>36</v>
      </c>
      <c r="B37" s="332"/>
      <c r="C37" s="332"/>
      <c r="D37" s="332" t="s">
        <v>17</v>
      </c>
      <c r="E37" s="332"/>
      <c r="F37" s="332" t="s">
        <v>12</v>
      </c>
      <c r="G37" s="332"/>
      <c r="H37" s="332"/>
      <c r="I37" s="332"/>
      <c r="J37" s="332"/>
      <c r="K37" s="332"/>
      <c r="L37" s="332"/>
      <c r="M37" s="332" t="s">
        <v>13</v>
      </c>
      <c r="N37" s="332"/>
      <c r="O37" s="332"/>
      <c r="P37" s="332"/>
      <c r="Q37" s="332"/>
      <c r="R37" s="332"/>
      <c r="S37" s="332"/>
      <c r="T37" s="332" t="s">
        <v>14</v>
      </c>
      <c r="U37" s="332"/>
      <c r="V37" s="332"/>
      <c r="W37" s="332"/>
      <c r="X37" s="332"/>
      <c r="Y37" s="332"/>
      <c r="Z37" s="332"/>
      <c r="AA37" s="332" t="s">
        <v>15</v>
      </c>
      <c r="AB37" s="332"/>
      <c r="AC37" s="332"/>
      <c r="AD37" s="332"/>
      <c r="AE37" s="332"/>
      <c r="AF37" s="332"/>
      <c r="AG37" s="332"/>
      <c r="AH37" s="333"/>
    </row>
    <row r="38" spans="1:34" x14ac:dyDescent="0.2">
      <c r="A38" s="339"/>
      <c r="B38" s="340"/>
      <c r="C38" s="340"/>
      <c r="D38" s="341"/>
      <c r="E38" s="341"/>
      <c r="F38" s="336"/>
      <c r="G38" s="336"/>
      <c r="H38" s="336"/>
      <c r="I38" s="336"/>
      <c r="J38" s="336"/>
      <c r="K38" s="336"/>
      <c r="L38" s="336"/>
      <c r="M38" s="336"/>
      <c r="N38" s="336"/>
      <c r="O38" s="336"/>
      <c r="P38" s="336"/>
      <c r="Q38" s="336"/>
      <c r="R38" s="336"/>
      <c r="S38" s="336"/>
      <c r="T38" s="342"/>
      <c r="U38" s="342"/>
      <c r="V38" s="342"/>
      <c r="W38" s="342"/>
      <c r="X38" s="342"/>
      <c r="Y38" s="342"/>
      <c r="Z38" s="342"/>
      <c r="AA38" s="336"/>
      <c r="AB38" s="337"/>
      <c r="AC38" s="337"/>
      <c r="AD38" s="337"/>
      <c r="AE38" s="337"/>
      <c r="AF38" s="337"/>
      <c r="AG38" s="337"/>
      <c r="AH38" s="338"/>
    </row>
    <row r="39" spans="1:34" x14ac:dyDescent="0.2">
      <c r="A39" s="339"/>
      <c r="B39" s="340"/>
      <c r="C39" s="340"/>
      <c r="D39" s="341"/>
      <c r="E39" s="341"/>
      <c r="F39" s="342"/>
      <c r="G39" s="342"/>
      <c r="H39" s="342"/>
      <c r="I39" s="342"/>
      <c r="J39" s="342"/>
      <c r="K39" s="342"/>
      <c r="L39" s="342"/>
      <c r="M39" s="336"/>
      <c r="N39" s="336"/>
      <c r="O39" s="336"/>
      <c r="P39" s="336"/>
      <c r="Q39" s="336"/>
      <c r="R39" s="336"/>
      <c r="S39" s="336"/>
      <c r="T39" s="342"/>
      <c r="U39" s="342"/>
      <c r="V39" s="342"/>
      <c r="W39" s="342"/>
      <c r="X39" s="342"/>
      <c r="Y39" s="342"/>
      <c r="Z39" s="342"/>
      <c r="AA39" s="336"/>
      <c r="AB39" s="337"/>
      <c r="AC39" s="337"/>
      <c r="AD39" s="337"/>
      <c r="AE39" s="337"/>
      <c r="AF39" s="337"/>
      <c r="AG39" s="337"/>
      <c r="AH39" s="338"/>
    </row>
    <row r="40" spans="1:34" x14ac:dyDescent="0.2">
      <c r="A40" s="339"/>
      <c r="B40" s="340"/>
      <c r="C40" s="340"/>
      <c r="D40" s="341"/>
      <c r="E40" s="341"/>
      <c r="F40" s="342"/>
      <c r="G40" s="342"/>
      <c r="H40" s="342"/>
      <c r="I40" s="342"/>
      <c r="J40" s="342"/>
      <c r="K40" s="342"/>
      <c r="L40" s="342"/>
      <c r="M40" s="336"/>
      <c r="N40" s="336"/>
      <c r="O40" s="336"/>
      <c r="P40" s="336"/>
      <c r="Q40" s="336"/>
      <c r="R40" s="336"/>
      <c r="S40" s="336"/>
      <c r="T40" s="336"/>
      <c r="U40" s="336"/>
      <c r="V40" s="336"/>
      <c r="W40" s="336"/>
      <c r="X40" s="336"/>
      <c r="Y40" s="336"/>
      <c r="Z40" s="336"/>
      <c r="AA40" s="336"/>
      <c r="AB40" s="337"/>
      <c r="AC40" s="337"/>
      <c r="AD40" s="337"/>
      <c r="AE40" s="337"/>
      <c r="AF40" s="337"/>
      <c r="AG40" s="337"/>
      <c r="AH40" s="338"/>
    </row>
    <row r="41" spans="1:34" x14ac:dyDescent="0.2">
      <c r="A41" s="339"/>
      <c r="B41" s="340"/>
      <c r="C41" s="340"/>
      <c r="D41" s="341"/>
      <c r="E41" s="341"/>
      <c r="F41" s="336"/>
      <c r="G41" s="336"/>
      <c r="H41" s="336"/>
      <c r="I41" s="336"/>
      <c r="J41" s="336"/>
      <c r="K41" s="336"/>
      <c r="L41" s="336"/>
      <c r="M41" s="336"/>
      <c r="N41" s="336"/>
      <c r="O41" s="336"/>
      <c r="P41" s="336"/>
      <c r="Q41" s="336"/>
      <c r="R41" s="336"/>
      <c r="S41" s="336"/>
      <c r="T41" s="336"/>
      <c r="U41" s="336"/>
      <c r="V41" s="336"/>
      <c r="W41" s="336"/>
      <c r="X41" s="336"/>
      <c r="Y41" s="336"/>
      <c r="Z41" s="336"/>
      <c r="AA41" s="336"/>
      <c r="AB41" s="337"/>
      <c r="AC41" s="337"/>
      <c r="AD41" s="337"/>
      <c r="AE41" s="337"/>
      <c r="AF41" s="337"/>
      <c r="AG41" s="337"/>
      <c r="AH41" s="338"/>
    </row>
    <row r="42" spans="1:34" x14ac:dyDescent="0.2">
      <c r="A42" s="365"/>
      <c r="B42" s="366"/>
      <c r="C42" s="366"/>
      <c r="D42" s="367"/>
      <c r="E42" s="367"/>
      <c r="F42" s="368"/>
      <c r="G42" s="368"/>
      <c r="H42" s="368"/>
      <c r="I42" s="368"/>
      <c r="J42" s="368"/>
      <c r="K42" s="368"/>
      <c r="L42" s="368"/>
      <c r="M42" s="368"/>
      <c r="N42" s="368"/>
      <c r="O42" s="368"/>
      <c r="P42" s="368"/>
      <c r="Q42" s="368"/>
      <c r="R42" s="368"/>
      <c r="S42" s="368"/>
      <c r="T42" s="368"/>
      <c r="U42" s="368"/>
      <c r="V42" s="368"/>
      <c r="W42" s="368"/>
      <c r="X42" s="368"/>
      <c r="Y42" s="368"/>
      <c r="Z42" s="368"/>
      <c r="AA42" s="368"/>
      <c r="AB42" s="369"/>
      <c r="AC42" s="369"/>
      <c r="AD42" s="369"/>
      <c r="AE42" s="369"/>
      <c r="AF42" s="369"/>
      <c r="AG42" s="369"/>
      <c r="AH42" s="370"/>
    </row>
    <row r="43" spans="1:34" x14ac:dyDescent="0.2">
      <c r="A43" s="371" t="s">
        <v>221</v>
      </c>
      <c r="B43" s="372"/>
      <c r="C43" s="372"/>
      <c r="D43" s="372"/>
      <c r="E43" s="372"/>
      <c r="F43" s="372"/>
      <c r="G43" s="372"/>
      <c r="H43" s="372"/>
      <c r="I43" s="372"/>
      <c r="J43" s="372"/>
      <c r="K43" s="372"/>
      <c r="L43" s="372"/>
      <c r="M43" s="372"/>
      <c r="N43" s="372"/>
      <c r="O43" s="372"/>
      <c r="P43" s="372"/>
      <c r="Q43" s="372"/>
      <c r="R43" s="372"/>
      <c r="S43" s="372"/>
      <c r="T43" s="372"/>
      <c r="U43" s="372"/>
      <c r="V43" s="372"/>
      <c r="W43" s="372"/>
      <c r="X43" s="372"/>
      <c r="Y43" s="372"/>
      <c r="Z43" s="372"/>
      <c r="AA43" s="372"/>
      <c r="AB43" s="372"/>
      <c r="AC43" s="372"/>
      <c r="AD43" s="372"/>
      <c r="AE43" s="372"/>
      <c r="AF43" s="372"/>
      <c r="AG43" s="372"/>
      <c r="AH43" s="373"/>
    </row>
    <row r="44" spans="1:34" ht="30.65" customHeight="1" x14ac:dyDescent="0.2">
      <c r="A44" s="374"/>
      <c r="B44" s="375"/>
      <c r="C44" s="375"/>
      <c r="D44" s="375"/>
      <c r="E44" s="375"/>
      <c r="F44" s="375"/>
      <c r="G44" s="375"/>
      <c r="H44" s="375"/>
      <c r="I44" s="375"/>
      <c r="J44" s="375"/>
      <c r="K44" s="375"/>
      <c r="L44" s="375"/>
      <c r="M44" s="375"/>
      <c r="N44" s="375"/>
      <c r="O44" s="375"/>
      <c r="P44" s="375"/>
      <c r="Q44" s="375"/>
      <c r="R44" s="375"/>
      <c r="S44" s="375"/>
      <c r="T44" s="375"/>
      <c r="U44" s="375"/>
      <c r="V44" s="375"/>
      <c r="W44" s="375"/>
      <c r="X44" s="375"/>
      <c r="Y44" s="375"/>
      <c r="Z44" s="375"/>
      <c r="AA44" s="375"/>
      <c r="AB44" s="375"/>
      <c r="AC44" s="375"/>
      <c r="AD44" s="375"/>
      <c r="AE44" s="375"/>
      <c r="AF44" s="375"/>
      <c r="AG44" s="375"/>
      <c r="AH44" s="376"/>
    </row>
    <row r="45" spans="1:34" x14ac:dyDescent="0.2">
      <c r="A45" s="377" t="s">
        <v>227</v>
      </c>
      <c r="B45" s="378"/>
      <c r="C45" s="378"/>
      <c r="D45" s="378"/>
      <c r="E45" s="378"/>
      <c r="F45" s="378"/>
      <c r="G45" s="378"/>
      <c r="H45" s="378"/>
      <c r="I45" s="378"/>
      <c r="J45" s="378"/>
      <c r="K45" s="378"/>
      <c r="L45" s="378"/>
      <c r="M45" s="378"/>
      <c r="N45" s="378"/>
      <c r="O45" s="378"/>
      <c r="P45" s="378"/>
      <c r="Q45" s="378"/>
      <c r="R45" s="378"/>
      <c r="S45" s="378"/>
      <c r="T45" s="378"/>
      <c r="U45" s="378"/>
      <c r="V45" s="378"/>
      <c r="W45" s="378"/>
      <c r="X45" s="378"/>
      <c r="Y45" s="378"/>
      <c r="Z45" s="378"/>
      <c r="AA45" s="378"/>
      <c r="AB45" s="378"/>
      <c r="AC45" s="378"/>
      <c r="AD45" s="378"/>
      <c r="AE45" s="378"/>
      <c r="AF45" s="378"/>
      <c r="AG45" s="378"/>
      <c r="AH45" s="379"/>
    </row>
    <row r="46" spans="1:34" x14ac:dyDescent="0.2">
      <c r="A46" s="380" t="s">
        <v>37</v>
      </c>
      <c r="B46" s="381"/>
      <c r="C46" s="381"/>
      <c r="D46" s="381"/>
      <c r="E46" s="381"/>
      <c r="F46" s="381"/>
      <c r="G46" s="381"/>
      <c r="H46" s="381"/>
      <c r="I46" s="381"/>
      <c r="J46" s="381"/>
      <c r="K46" s="381"/>
      <c r="L46" s="381"/>
      <c r="M46" s="381"/>
      <c r="N46" s="381"/>
      <c r="O46" s="381"/>
      <c r="P46" s="381"/>
      <c r="Q46" s="381"/>
      <c r="R46" s="381"/>
      <c r="S46" s="381"/>
      <c r="T46" s="381"/>
      <c r="U46" s="381"/>
      <c r="V46" s="381"/>
      <c r="W46" s="381"/>
      <c r="X46" s="381"/>
      <c r="Y46" s="381"/>
      <c r="Z46" s="381"/>
      <c r="AA46" s="381"/>
      <c r="AB46" s="381"/>
      <c r="AC46" s="381"/>
      <c r="AD46" s="381"/>
      <c r="AE46" s="381"/>
      <c r="AF46" s="381"/>
      <c r="AG46" s="381"/>
      <c r="AH46" s="382"/>
    </row>
    <row r="47" spans="1:34" x14ac:dyDescent="0.2">
      <c r="A47" s="343" t="s">
        <v>228</v>
      </c>
      <c r="B47" s="344"/>
      <c r="C47" s="344"/>
      <c r="D47" s="344"/>
      <c r="E47" s="344"/>
      <c r="F47" s="344"/>
      <c r="G47" s="344"/>
      <c r="H47" s="344"/>
      <c r="I47" s="344"/>
      <c r="J47" s="344"/>
      <c r="K47" s="344"/>
      <c r="L47" s="344"/>
      <c r="M47" s="344"/>
      <c r="N47" s="344"/>
      <c r="O47" s="344"/>
      <c r="P47" s="344"/>
      <c r="Q47" s="344"/>
      <c r="R47" s="344"/>
      <c r="S47" s="344"/>
      <c r="T47" s="344"/>
      <c r="U47" s="344"/>
      <c r="V47" s="344"/>
      <c r="W47" s="344"/>
      <c r="X47" s="344"/>
      <c r="Y47" s="344"/>
      <c r="Z47" s="344"/>
      <c r="AA47" s="345"/>
      <c r="AB47" s="345"/>
      <c r="AC47" s="345"/>
      <c r="AD47" s="345"/>
      <c r="AE47" s="345"/>
      <c r="AF47" s="345"/>
      <c r="AG47" s="345"/>
      <c r="AH47" s="346"/>
    </row>
    <row r="48" spans="1:34" x14ac:dyDescent="0.2">
      <c r="A48" s="347"/>
      <c r="B48" s="348"/>
      <c r="C48" s="348"/>
      <c r="D48" s="348"/>
      <c r="E48" s="348"/>
      <c r="F48" s="348"/>
      <c r="G48" s="348"/>
      <c r="H48" s="348"/>
      <c r="I48" s="348"/>
      <c r="J48" s="348"/>
      <c r="K48" s="348"/>
      <c r="L48" s="348"/>
      <c r="M48" s="348"/>
      <c r="N48" s="348"/>
      <c r="O48" s="348"/>
      <c r="P48" s="348"/>
      <c r="Q48" s="348"/>
      <c r="R48" s="348"/>
      <c r="S48" s="348"/>
      <c r="T48" s="348"/>
      <c r="U48" s="348"/>
      <c r="V48" s="348"/>
      <c r="W48" s="348"/>
      <c r="X48" s="348"/>
      <c r="Y48" s="348"/>
      <c r="Z48" s="348"/>
      <c r="AA48" s="349"/>
      <c r="AB48" s="349"/>
      <c r="AC48" s="349"/>
      <c r="AD48" s="349"/>
      <c r="AE48" s="349"/>
      <c r="AF48" s="349"/>
      <c r="AG48" s="349"/>
      <c r="AH48" s="350"/>
    </row>
    <row r="49" spans="1:34" x14ac:dyDescent="0.2">
      <c r="A49" s="347"/>
      <c r="B49" s="348"/>
      <c r="C49" s="348"/>
      <c r="D49" s="348"/>
      <c r="E49" s="348"/>
      <c r="F49" s="348"/>
      <c r="G49" s="348"/>
      <c r="H49" s="348"/>
      <c r="I49" s="348"/>
      <c r="J49" s="348"/>
      <c r="K49" s="348"/>
      <c r="L49" s="348"/>
      <c r="M49" s="348"/>
      <c r="N49" s="348"/>
      <c r="O49" s="348"/>
      <c r="P49" s="348"/>
      <c r="Q49" s="348"/>
      <c r="R49" s="348"/>
      <c r="S49" s="348"/>
      <c r="T49" s="348"/>
      <c r="U49" s="348"/>
      <c r="V49" s="348"/>
      <c r="W49" s="348"/>
      <c r="X49" s="348"/>
      <c r="Y49" s="348"/>
      <c r="Z49" s="348"/>
      <c r="AA49" s="349"/>
      <c r="AB49" s="349"/>
      <c r="AC49" s="349"/>
      <c r="AD49" s="349"/>
      <c r="AE49" s="349"/>
      <c r="AF49" s="349"/>
      <c r="AG49" s="349"/>
      <c r="AH49" s="350"/>
    </row>
    <row r="50" spans="1:34" x14ac:dyDescent="0.2">
      <c r="A50" s="347"/>
      <c r="B50" s="348"/>
      <c r="C50" s="348"/>
      <c r="D50" s="348"/>
      <c r="E50" s="348"/>
      <c r="F50" s="348"/>
      <c r="G50" s="348"/>
      <c r="H50" s="348"/>
      <c r="I50" s="348"/>
      <c r="J50" s="348"/>
      <c r="K50" s="348"/>
      <c r="L50" s="348"/>
      <c r="M50" s="348"/>
      <c r="N50" s="348"/>
      <c r="O50" s="348"/>
      <c r="P50" s="348"/>
      <c r="Q50" s="348"/>
      <c r="R50" s="348"/>
      <c r="S50" s="348"/>
      <c r="T50" s="348"/>
      <c r="U50" s="348"/>
      <c r="V50" s="348"/>
      <c r="W50" s="348"/>
      <c r="X50" s="348"/>
      <c r="Y50" s="348"/>
      <c r="Z50" s="348"/>
      <c r="AA50" s="349"/>
      <c r="AB50" s="349"/>
      <c r="AC50" s="349"/>
      <c r="AD50" s="349"/>
      <c r="AE50" s="349"/>
      <c r="AF50" s="349"/>
      <c r="AG50" s="349"/>
      <c r="AH50" s="350"/>
    </row>
    <row r="51" spans="1:34" x14ac:dyDescent="0.2">
      <c r="A51" s="347"/>
      <c r="B51" s="348"/>
      <c r="C51" s="348"/>
      <c r="D51" s="348"/>
      <c r="E51" s="348"/>
      <c r="F51" s="348"/>
      <c r="G51" s="348"/>
      <c r="H51" s="348"/>
      <c r="I51" s="348"/>
      <c r="J51" s="348"/>
      <c r="K51" s="348"/>
      <c r="L51" s="348"/>
      <c r="M51" s="348"/>
      <c r="N51" s="348"/>
      <c r="O51" s="348"/>
      <c r="P51" s="348"/>
      <c r="Q51" s="348"/>
      <c r="R51" s="348"/>
      <c r="S51" s="348"/>
      <c r="T51" s="348"/>
      <c r="U51" s="348"/>
      <c r="V51" s="348"/>
      <c r="W51" s="348"/>
      <c r="X51" s="348"/>
      <c r="Y51" s="348"/>
      <c r="Z51" s="348"/>
      <c r="AA51" s="349"/>
      <c r="AB51" s="349"/>
      <c r="AC51" s="349"/>
      <c r="AD51" s="349"/>
      <c r="AE51" s="349"/>
      <c r="AF51" s="349"/>
      <c r="AG51" s="349"/>
      <c r="AH51" s="350"/>
    </row>
    <row r="52" spans="1:34" ht="12.65" customHeight="1" x14ac:dyDescent="0.2">
      <c r="A52" s="347"/>
      <c r="B52" s="348"/>
      <c r="C52" s="348"/>
      <c r="D52" s="348"/>
      <c r="E52" s="348"/>
      <c r="F52" s="348"/>
      <c r="G52" s="348"/>
      <c r="H52" s="348"/>
      <c r="I52" s="348"/>
      <c r="J52" s="348"/>
      <c r="K52" s="348"/>
      <c r="L52" s="348"/>
      <c r="M52" s="348"/>
      <c r="N52" s="348"/>
      <c r="O52" s="348"/>
      <c r="P52" s="348"/>
      <c r="Q52" s="348"/>
      <c r="R52" s="348"/>
      <c r="S52" s="348"/>
      <c r="T52" s="348"/>
      <c r="U52" s="348"/>
      <c r="V52" s="348"/>
      <c r="W52" s="348"/>
      <c r="X52" s="348"/>
      <c r="Y52" s="348"/>
      <c r="Z52" s="348"/>
      <c r="AA52" s="349"/>
      <c r="AB52" s="349"/>
      <c r="AC52" s="349"/>
      <c r="AD52" s="349"/>
      <c r="AE52" s="349"/>
      <c r="AF52" s="349"/>
      <c r="AG52" s="349"/>
      <c r="AH52" s="350"/>
    </row>
    <row r="53" spans="1:34" x14ac:dyDescent="0.2">
      <c r="A53" s="347"/>
      <c r="B53" s="348"/>
      <c r="C53" s="348"/>
      <c r="D53" s="348"/>
      <c r="E53" s="348"/>
      <c r="F53" s="348"/>
      <c r="G53" s="348"/>
      <c r="H53" s="348"/>
      <c r="I53" s="348"/>
      <c r="J53" s="348"/>
      <c r="K53" s="348"/>
      <c r="L53" s="348"/>
      <c r="M53" s="348"/>
      <c r="N53" s="348"/>
      <c r="O53" s="348"/>
      <c r="P53" s="348"/>
      <c r="Q53" s="348"/>
      <c r="R53" s="348"/>
      <c r="S53" s="348"/>
      <c r="T53" s="348"/>
      <c r="U53" s="348"/>
      <c r="V53" s="348"/>
      <c r="W53" s="348"/>
      <c r="X53" s="348"/>
      <c r="Y53" s="348"/>
      <c r="Z53" s="348"/>
      <c r="AA53" s="349"/>
      <c r="AB53" s="349"/>
      <c r="AC53" s="349"/>
      <c r="AD53" s="349"/>
      <c r="AE53" s="349"/>
      <c r="AF53" s="349"/>
      <c r="AG53" s="349"/>
      <c r="AH53" s="350"/>
    </row>
    <row r="54" spans="1:34" x14ac:dyDescent="0.2">
      <c r="A54" s="347"/>
      <c r="B54" s="348"/>
      <c r="C54" s="348"/>
      <c r="D54" s="348"/>
      <c r="E54" s="348"/>
      <c r="F54" s="348"/>
      <c r="G54" s="348"/>
      <c r="H54" s="348"/>
      <c r="I54" s="348"/>
      <c r="J54" s="348"/>
      <c r="K54" s="348"/>
      <c r="L54" s="348"/>
      <c r="M54" s="348"/>
      <c r="N54" s="348"/>
      <c r="O54" s="348"/>
      <c r="P54" s="348"/>
      <c r="Q54" s="348"/>
      <c r="R54" s="348"/>
      <c r="S54" s="348"/>
      <c r="T54" s="348"/>
      <c r="U54" s="348"/>
      <c r="V54" s="348"/>
      <c r="W54" s="348"/>
      <c r="X54" s="348"/>
      <c r="Y54" s="348"/>
      <c r="Z54" s="348"/>
      <c r="AA54" s="349"/>
      <c r="AB54" s="349"/>
      <c r="AC54" s="349"/>
      <c r="AD54" s="349"/>
      <c r="AE54" s="349"/>
      <c r="AF54" s="349"/>
      <c r="AG54" s="349"/>
      <c r="AH54" s="350"/>
    </row>
    <row r="55" spans="1:34" x14ac:dyDescent="0.2">
      <c r="A55" s="347"/>
      <c r="B55" s="348"/>
      <c r="C55" s="348"/>
      <c r="D55" s="348"/>
      <c r="E55" s="348"/>
      <c r="F55" s="348"/>
      <c r="G55" s="348"/>
      <c r="H55" s="348"/>
      <c r="I55" s="348"/>
      <c r="J55" s="348"/>
      <c r="K55" s="348"/>
      <c r="L55" s="348"/>
      <c r="M55" s="348"/>
      <c r="N55" s="348"/>
      <c r="O55" s="348"/>
      <c r="P55" s="348"/>
      <c r="Q55" s="348"/>
      <c r="R55" s="348"/>
      <c r="S55" s="348"/>
      <c r="T55" s="348"/>
      <c r="U55" s="348"/>
      <c r="V55" s="348"/>
      <c r="W55" s="348"/>
      <c r="X55" s="348"/>
      <c r="Y55" s="348"/>
      <c r="Z55" s="348"/>
      <c r="AA55" s="349"/>
      <c r="AB55" s="349"/>
      <c r="AC55" s="349"/>
      <c r="AD55" s="349"/>
      <c r="AE55" s="349"/>
      <c r="AF55" s="349"/>
      <c r="AG55" s="349"/>
      <c r="AH55" s="350"/>
    </row>
    <row r="56" spans="1:34" x14ac:dyDescent="0.2">
      <c r="A56" s="347"/>
      <c r="B56" s="348"/>
      <c r="C56" s="348"/>
      <c r="D56" s="348"/>
      <c r="E56" s="348"/>
      <c r="F56" s="348"/>
      <c r="G56" s="348"/>
      <c r="H56" s="348"/>
      <c r="I56" s="348"/>
      <c r="J56" s="348"/>
      <c r="K56" s="348"/>
      <c r="L56" s="348"/>
      <c r="M56" s="348"/>
      <c r="N56" s="348"/>
      <c r="O56" s="348"/>
      <c r="P56" s="348"/>
      <c r="Q56" s="348"/>
      <c r="R56" s="348"/>
      <c r="S56" s="348"/>
      <c r="T56" s="348"/>
      <c r="U56" s="348"/>
      <c r="V56" s="348"/>
      <c r="W56" s="348"/>
      <c r="X56" s="348"/>
      <c r="Y56" s="348"/>
      <c r="Z56" s="348"/>
      <c r="AA56" s="349"/>
      <c r="AB56" s="349"/>
      <c r="AC56" s="349"/>
      <c r="AD56" s="349"/>
      <c r="AE56" s="349"/>
      <c r="AF56" s="349"/>
      <c r="AG56" s="349"/>
      <c r="AH56" s="350"/>
    </row>
    <row r="57" spans="1:34" x14ac:dyDescent="0.2">
      <c r="A57" s="351"/>
      <c r="B57" s="349"/>
      <c r="C57" s="349"/>
      <c r="D57" s="349"/>
      <c r="E57" s="349"/>
      <c r="F57" s="349"/>
      <c r="G57" s="349"/>
      <c r="H57" s="349"/>
      <c r="I57" s="349"/>
      <c r="J57" s="349"/>
      <c r="K57" s="349"/>
      <c r="L57" s="349"/>
      <c r="M57" s="349"/>
      <c r="N57" s="349"/>
      <c r="O57" s="349"/>
      <c r="P57" s="349"/>
      <c r="Q57" s="349"/>
      <c r="R57" s="349"/>
      <c r="S57" s="349"/>
      <c r="T57" s="349"/>
      <c r="U57" s="349"/>
      <c r="V57" s="349"/>
      <c r="W57" s="349"/>
      <c r="X57" s="349"/>
      <c r="Y57" s="349"/>
      <c r="Z57" s="349"/>
      <c r="AA57" s="349"/>
      <c r="AB57" s="349"/>
      <c r="AC57" s="349"/>
      <c r="AD57" s="349"/>
      <c r="AE57" s="349"/>
      <c r="AF57" s="349"/>
      <c r="AG57" s="349"/>
      <c r="AH57" s="350"/>
    </row>
    <row r="58" spans="1:34" x14ac:dyDescent="0.2">
      <c r="A58" s="351"/>
      <c r="B58" s="349"/>
      <c r="C58" s="349"/>
      <c r="D58" s="349"/>
      <c r="E58" s="349"/>
      <c r="F58" s="349"/>
      <c r="G58" s="349"/>
      <c r="H58" s="349"/>
      <c r="I58" s="349"/>
      <c r="J58" s="349"/>
      <c r="K58" s="349"/>
      <c r="L58" s="349"/>
      <c r="M58" s="349"/>
      <c r="N58" s="349"/>
      <c r="O58" s="349"/>
      <c r="P58" s="349"/>
      <c r="Q58" s="349"/>
      <c r="R58" s="349"/>
      <c r="S58" s="349"/>
      <c r="T58" s="349"/>
      <c r="U58" s="349"/>
      <c r="V58" s="349"/>
      <c r="W58" s="349"/>
      <c r="X58" s="349"/>
      <c r="Y58" s="349"/>
      <c r="Z58" s="349"/>
      <c r="AA58" s="349"/>
      <c r="AB58" s="349"/>
      <c r="AC58" s="349"/>
      <c r="AD58" s="349"/>
      <c r="AE58" s="349"/>
      <c r="AF58" s="349"/>
      <c r="AG58" s="349"/>
      <c r="AH58" s="350"/>
    </row>
    <row r="59" spans="1:34" x14ac:dyDescent="0.2">
      <c r="A59" s="351"/>
      <c r="B59" s="349"/>
      <c r="C59" s="349"/>
      <c r="D59" s="349"/>
      <c r="E59" s="349"/>
      <c r="F59" s="349"/>
      <c r="G59" s="349"/>
      <c r="H59" s="349"/>
      <c r="I59" s="349"/>
      <c r="J59" s="349"/>
      <c r="K59" s="349"/>
      <c r="L59" s="349"/>
      <c r="M59" s="349"/>
      <c r="N59" s="349"/>
      <c r="O59" s="349"/>
      <c r="P59" s="349"/>
      <c r="Q59" s="349"/>
      <c r="R59" s="349"/>
      <c r="S59" s="349"/>
      <c r="T59" s="349"/>
      <c r="U59" s="349"/>
      <c r="V59" s="349"/>
      <c r="W59" s="349"/>
      <c r="X59" s="349"/>
      <c r="Y59" s="349"/>
      <c r="Z59" s="349"/>
      <c r="AA59" s="349"/>
      <c r="AB59" s="349"/>
      <c r="AC59" s="349"/>
      <c r="AD59" s="349"/>
      <c r="AE59" s="349"/>
      <c r="AF59" s="349"/>
      <c r="AG59" s="349"/>
      <c r="AH59" s="350"/>
    </row>
    <row r="60" spans="1:34" x14ac:dyDescent="0.2">
      <c r="A60" s="352"/>
      <c r="B60" s="353"/>
      <c r="C60" s="353"/>
      <c r="D60" s="353"/>
      <c r="E60" s="353"/>
      <c r="F60" s="353"/>
      <c r="G60" s="353"/>
      <c r="H60" s="353"/>
      <c r="I60" s="353"/>
      <c r="J60" s="353"/>
      <c r="K60" s="353"/>
      <c r="L60" s="353"/>
      <c r="M60" s="353"/>
      <c r="N60" s="353"/>
      <c r="O60" s="353"/>
      <c r="P60" s="353"/>
      <c r="Q60" s="353"/>
      <c r="R60" s="353"/>
      <c r="S60" s="353"/>
      <c r="T60" s="353"/>
      <c r="U60" s="353"/>
      <c r="V60" s="353"/>
      <c r="W60" s="353"/>
      <c r="X60" s="353"/>
      <c r="Y60" s="353"/>
      <c r="Z60" s="353"/>
      <c r="AA60" s="353"/>
      <c r="AB60" s="353"/>
      <c r="AC60" s="353"/>
      <c r="AD60" s="353"/>
      <c r="AE60" s="353"/>
      <c r="AF60" s="353"/>
      <c r="AG60" s="353"/>
      <c r="AH60" s="354"/>
    </row>
  </sheetData>
  <mergeCells count="270">
    <mergeCell ref="A18:F18"/>
    <mergeCell ref="H18:M18"/>
    <mergeCell ref="O18:T18"/>
    <mergeCell ref="V18:AA18"/>
    <mergeCell ref="AC18:AG18"/>
    <mergeCell ref="L34:P35"/>
    <mergeCell ref="Q34:S35"/>
    <mergeCell ref="T34:V35"/>
    <mergeCell ref="A16:F16"/>
    <mergeCell ref="H16:M16"/>
    <mergeCell ref="O16:T16"/>
    <mergeCell ref="V16:AA16"/>
    <mergeCell ref="AC16:AG16"/>
    <mergeCell ref="A17:F17"/>
    <mergeCell ref="H17:M17"/>
    <mergeCell ref="O17:T17"/>
    <mergeCell ref="V17:AA17"/>
    <mergeCell ref="AC17:AG17"/>
    <mergeCell ref="A35:E35"/>
    <mergeCell ref="F35:H35"/>
    <mergeCell ref="I35:K35"/>
    <mergeCell ref="W35:AA35"/>
    <mergeCell ref="AB35:AD35"/>
    <mergeCell ref="AE35:AH35"/>
    <mergeCell ref="A34:E34"/>
    <mergeCell ref="F34:H34"/>
    <mergeCell ref="I34:K34"/>
    <mergeCell ref="W34:AA34"/>
    <mergeCell ref="AB34:AD34"/>
    <mergeCell ref="AE34:AH34"/>
    <mergeCell ref="A33:E33"/>
    <mergeCell ref="F33:H33"/>
    <mergeCell ref="I33:K33"/>
    <mergeCell ref="L33:P33"/>
    <mergeCell ref="Q33:S33"/>
    <mergeCell ref="T33:V33"/>
    <mergeCell ref="W33:AA33"/>
    <mergeCell ref="AB33:AD33"/>
    <mergeCell ref="AE33:AH33"/>
    <mergeCell ref="A32:E32"/>
    <mergeCell ref="F32:H32"/>
    <mergeCell ref="I32:K32"/>
    <mergeCell ref="L32:P32"/>
    <mergeCell ref="Q32:S32"/>
    <mergeCell ref="T32:V32"/>
    <mergeCell ref="W32:AA32"/>
    <mergeCell ref="AB32:AD32"/>
    <mergeCell ref="AE32:AH32"/>
    <mergeCell ref="AB26:AD26"/>
    <mergeCell ref="AE26:AH26"/>
    <mergeCell ref="T36:V36"/>
    <mergeCell ref="W36:AA36"/>
    <mergeCell ref="AB29:AD29"/>
    <mergeCell ref="T30:V30"/>
    <mergeCell ref="T29:V29"/>
    <mergeCell ref="W29:AA29"/>
    <mergeCell ref="AB36:AD36"/>
    <mergeCell ref="AB30:AD30"/>
    <mergeCell ref="AB31:AD31"/>
    <mergeCell ref="AE36:AH36"/>
    <mergeCell ref="AE30:AH30"/>
    <mergeCell ref="W30:AA30"/>
    <mergeCell ref="W31:AA31"/>
    <mergeCell ref="AE27:AH27"/>
    <mergeCell ref="AB28:AD28"/>
    <mergeCell ref="AE28:AH28"/>
    <mergeCell ref="W28:AA28"/>
    <mergeCell ref="AE31:AH31"/>
    <mergeCell ref="AE29:AH29"/>
    <mergeCell ref="W26:AA26"/>
    <mergeCell ref="AB27:AD27"/>
    <mergeCell ref="L22:P22"/>
    <mergeCell ref="Q21:S21"/>
    <mergeCell ref="T21:V21"/>
    <mergeCell ref="Q23:S23"/>
    <mergeCell ref="F27:H27"/>
    <mergeCell ref="F28:H28"/>
    <mergeCell ref="I28:K28"/>
    <mergeCell ref="A36:E36"/>
    <mergeCell ref="F36:H36"/>
    <mergeCell ref="I36:K36"/>
    <mergeCell ref="L36:P36"/>
    <mergeCell ref="Q29:S29"/>
    <mergeCell ref="I31:K31"/>
    <mergeCell ref="Q31:S31"/>
    <mergeCell ref="Q36:S36"/>
    <mergeCell ref="F30:H30"/>
    <mergeCell ref="I30:K30"/>
    <mergeCell ref="Q30:S30"/>
    <mergeCell ref="F31:H31"/>
    <mergeCell ref="F29:H29"/>
    <mergeCell ref="I29:K29"/>
    <mergeCell ref="A27:E27"/>
    <mergeCell ref="A31:E31"/>
    <mergeCell ref="L28:P28"/>
    <mergeCell ref="M38:S38"/>
    <mergeCell ref="T42:Z42"/>
    <mergeCell ref="AA37:AH37"/>
    <mergeCell ref="F37:L37"/>
    <mergeCell ref="M37:S37"/>
    <mergeCell ref="T37:Z37"/>
    <mergeCell ref="F39:L39"/>
    <mergeCell ref="M39:S39"/>
    <mergeCell ref="T39:Z39"/>
    <mergeCell ref="AA39:AH39"/>
    <mergeCell ref="AA38:AH38"/>
    <mergeCell ref="T38:Z38"/>
    <mergeCell ref="F26:H26"/>
    <mergeCell ref="I26:K26"/>
    <mergeCell ref="Q26:S26"/>
    <mergeCell ref="T26:V26"/>
    <mergeCell ref="Q28:S28"/>
    <mergeCell ref="T28:V28"/>
    <mergeCell ref="L30:P30"/>
    <mergeCell ref="L27:P27"/>
    <mergeCell ref="T31:V31"/>
    <mergeCell ref="L29:P29"/>
    <mergeCell ref="D37:E37"/>
    <mergeCell ref="A37:C37"/>
    <mergeCell ref="A38:C38"/>
    <mergeCell ref="D38:E38"/>
    <mergeCell ref="A28:E28"/>
    <mergeCell ref="A29:E29"/>
    <mergeCell ref="A30:E30"/>
    <mergeCell ref="F38:L38"/>
    <mergeCell ref="W22:AA22"/>
    <mergeCell ref="W23:AA23"/>
    <mergeCell ref="W24:AA24"/>
    <mergeCell ref="W25:AA25"/>
    <mergeCell ref="T23:V23"/>
    <mergeCell ref="I27:K27"/>
    <mergeCell ref="Q27:S27"/>
    <mergeCell ref="T27:V27"/>
    <mergeCell ref="W27:AA27"/>
    <mergeCell ref="Q22:S22"/>
    <mergeCell ref="T22:V22"/>
    <mergeCell ref="A22:E22"/>
    <mergeCell ref="A23:E23"/>
    <mergeCell ref="A24:E24"/>
    <mergeCell ref="A25:E25"/>
    <mergeCell ref="F22:H22"/>
    <mergeCell ref="A47:AH60"/>
    <mergeCell ref="D39:E39"/>
    <mergeCell ref="AA40:AH40"/>
    <mergeCell ref="A39:C39"/>
    <mergeCell ref="D40:E40"/>
    <mergeCell ref="F40:L40"/>
    <mergeCell ref="M40:S40"/>
    <mergeCell ref="T40:Z40"/>
    <mergeCell ref="A45:AH45"/>
    <mergeCell ref="A46:AH46"/>
    <mergeCell ref="A43:AH44"/>
    <mergeCell ref="AA41:AH41"/>
    <mergeCell ref="AA42:AH42"/>
    <mergeCell ref="A41:C41"/>
    <mergeCell ref="A42:C42"/>
    <mergeCell ref="D41:E41"/>
    <mergeCell ref="D42:E42"/>
    <mergeCell ref="A40:C40"/>
    <mergeCell ref="F42:L42"/>
    <mergeCell ref="M41:S41"/>
    <mergeCell ref="M42:S42"/>
    <mergeCell ref="T41:Z41"/>
    <mergeCell ref="F41:L41"/>
    <mergeCell ref="AC6:AG6"/>
    <mergeCell ref="AC7:AG7"/>
    <mergeCell ref="AC12:AG12"/>
    <mergeCell ref="V7:AA7"/>
    <mergeCell ref="V8:AA8"/>
    <mergeCell ref="V9:AA9"/>
    <mergeCell ref="V10:AA10"/>
    <mergeCell ref="V11:AA11"/>
    <mergeCell ref="V13:AA13"/>
    <mergeCell ref="V12:AA12"/>
    <mergeCell ref="AC8:AG8"/>
    <mergeCell ref="AC9:AG9"/>
    <mergeCell ref="AC10:AG10"/>
    <mergeCell ref="AC13:AG13"/>
    <mergeCell ref="V6:AA6"/>
    <mergeCell ref="AC11:AG11"/>
    <mergeCell ref="A6:F6"/>
    <mergeCell ref="A7:F7"/>
    <mergeCell ref="A8:F8"/>
    <mergeCell ref="A12:F12"/>
    <mergeCell ref="A13:F13"/>
    <mergeCell ref="H2:M2"/>
    <mergeCell ref="O2:T2"/>
    <mergeCell ref="O8:T8"/>
    <mergeCell ref="O11:T11"/>
    <mergeCell ref="O9:T9"/>
    <mergeCell ref="H10:M10"/>
    <mergeCell ref="O10:T10"/>
    <mergeCell ref="O13:T13"/>
    <mergeCell ref="A9:F9"/>
    <mergeCell ref="A10:F10"/>
    <mergeCell ref="O12:T12"/>
    <mergeCell ref="O7:T7"/>
    <mergeCell ref="O6:T6"/>
    <mergeCell ref="H6:M6"/>
    <mergeCell ref="H7:M7"/>
    <mergeCell ref="H9:M9"/>
    <mergeCell ref="A11:F11"/>
    <mergeCell ref="H8:M8"/>
    <mergeCell ref="F23:H23"/>
    <mergeCell ref="F24:H24"/>
    <mergeCell ref="H12:M12"/>
    <mergeCell ref="H11:M11"/>
    <mergeCell ref="L23:P23"/>
    <mergeCell ref="O14:T14"/>
    <mergeCell ref="O15:T15"/>
    <mergeCell ref="A20:AH20"/>
    <mergeCell ref="O19:T19"/>
    <mergeCell ref="A15:F15"/>
    <mergeCell ref="A19:F19"/>
    <mergeCell ref="H19:M19"/>
    <mergeCell ref="AE22:AH22"/>
    <mergeCell ref="AC19:AG19"/>
    <mergeCell ref="AB21:AD21"/>
    <mergeCell ref="W21:AA21"/>
    <mergeCell ref="A14:F14"/>
    <mergeCell ref="A21:E21"/>
    <mergeCell ref="AE21:AH21"/>
    <mergeCell ref="AB22:AD22"/>
    <mergeCell ref="Q24:S24"/>
    <mergeCell ref="H14:M14"/>
    <mergeCell ref="H13:M13"/>
    <mergeCell ref="L24:P24"/>
    <mergeCell ref="A1:AH1"/>
    <mergeCell ref="V3:AA3"/>
    <mergeCell ref="V4:AA4"/>
    <mergeCell ref="V5:AA5"/>
    <mergeCell ref="AC3:AG3"/>
    <mergeCell ref="AC2:AG2"/>
    <mergeCell ref="H3:M3"/>
    <mergeCell ref="H4:M4"/>
    <mergeCell ref="H5:M5"/>
    <mergeCell ref="V2:AA2"/>
    <mergeCell ref="A2:F2"/>
    <mergeCell ref="A3:F3"/>
    <mergeCell ref="A4:F4"/>
    <mergeCell ref="A5:F5"/>
    <mergeCell ref="AC4:AG4"/>
    <mergeCell ref="AC5:AG5"/>
    <mergeCell ref="O3:T3"/>
    <mergeCell ref="O4:T4"/>
    <mergeCell ref="O5:T5"/>
    <mergeCell ref="A26:E26"/>
    <mergeCell ref="I21:K21"/>
    <mergeCell ref="AC14:AG14"/>
    <mergeCell ref="AC15:AG15"/>
    <mergeCell ref="V15:AA15"/>
    <mergeCell ref="F25:H25"/>
    <mergeCell ref="I22:K22"/>
    <mergeCell ref="I23:K23"/>
    <mergeCell ref="I24:K24"/>
    <mergeCell ref="Q25:S25"/>
    <mergeCell ref="T25:V25"/>
    <mergeCell ref="AB25:AD25"/>
    <mergeCell ref="AE25:AH25"/>
    <mergeCell ref="T24:V24"/>
    <mergeCell ref="AB24:AD24"/>
    <mergeCell ref="AE24:AH24"/>
    <mergeCell ref="I25:K25"/>
    <mergeCell ref="F21:H21"/>
    <mergeCell ref="V19:AA19"/>
    <mergeCell ref="H15:M15"/>
    <mergeCell ref="AB23:AD23"/>
    <mergeCell ref="AE23:AH23"/>
    <mergeCell ref="L21:P21"/>
    <mergeCell ref="V14:AA14"/>
  </mergeCells>
  <phoneticPr fontId="1"/>
  <pageMargins left="0.43307086614173229" right="0.23622047244094491" top="0.51181102362204722" bottom="0.35433070866141736" header="0.31496062992125984" footer="0.51181102362204722"/>
  <pageSetup paperSize="9" fitToWidth="0" orientation="portrait" horizontalDpi="4294967293" verticalDpi="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C1"/>
  <sheetViews>
    <sheetView workbookViewId="0">
      <selection activeCell="D14" sqref="D14"/>
    </sheetView>
  </sheetViews>
  <sheetFormatPr defaultRowHeight="13" x14ac:dyDescent="0.2"/>
  <sheetData>
    <row r="1" spans="3:3" x14ac:dyDescent="0.2">
      <c r="C1" s="117"/>
    </row>
  </sheetData>
  <phoneticPr fontId="1"/>
  <pageMargins left="0.11811023622047245" right="0" top="0.74803149606299213" bottom="0.74803149606299213" header="0.31496062992125984" footer="0.31496062992125984"/>
  <pageSetup paperSize="9" scale="97" orientation="landscape" horizontalDpi="4294967292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5F4F3-D254-42FC-829C-26E73AB7FA6A}">
  <dimension ref="A1:T163"/>
  <sheetViews>
    <sheetView tabSelected="1" topLeftCell="A19" workbookViewId="0">
      <selection activeCell="A39" sqref="A39"/>
    </sheetView>
  </sheetViews>
  <sheetFormatPr defaultColWidth="9" defaultRowHeight="13" x14ac:dyDescent="0.2"/>
  <cols>
    <col min="1" max="1" width="8.36328125" style="127" customWidth="1"/>
    <col min="2" max="2" width="10.36328125" style="127" customWidth="1"/>
    <col min="3" max="3" width="11.6328125" style="127" bestFit="1" customWidth="1"/>
    <col min="4" max="6" width="11.08984375" style="127" customWidth="1"/>
    <col min="7" max="10" width="10" style="127" customWidth="1"/>
    <col min="11" max="11" width="11.90625" style="127" customWidth="1"/>
    <col min="12" max="13" width="11.36328125" style="127" customWidth="1"/>
    <col min="14" max="15" width="9.36328125" style="127" customWidth="1"/>
    <col min="16" max="18" width="8.6328125" style="127" customWidth="1"/>
    <col min="19" max="16384" width="9" style="127"/>
  </cols>
  <sheetData>
    <row r="1" spans="1:20" ht="14.25" customHeight="1" thickBot="1" x14ac:dyDescent="0.25"/>
    <row r="2" spans="1:20" ht="37" x14ac:dyDescent="0.2">
      <c r="A2" s="128" t="s">
        <v>261</v>
      </c>
      <c r="B2" s="129" t="s">
        <v>262</v>
      </c>
      <c r="C2" s="129" t="s">
        <v>263</v>
      </c>
      <c r="D2" s="129" t="s">
        <v>264</v>
      </c>
      <c r="E2" s="129" t="s">
        <v>265</v>
      </c>
      <c r="F2" s="130" t="s">
        <v>266</v>
      </c>
      <c r="G2" s="131" t="s">
        <v>315</v>
      </c>
      <c r="H2" s="132" t="s">
        <v>316</v>
      </c>
      <c r="I2" s="132" t="s">
        <v>317</v>
      </c>
      <c r="J2" s="133" t="s">
        <v>318</v>
      </c>
      <c r="K2" s="134" t="s">
        <v>267</v>
      </c>
      <c r="L2" s="134" t="s">
        <v>268</v>
      </c>
    </row>
    <row r="3" spans="1:20" ht="18" customHeight="1" x14ac:dyDescent="0.2">
      <c r="A3" s="135" t="s">
        <v>299</v>
      </c>
      <c r="B3" s="128">
        <v>800</v>
      </c>
      <c r="C3" s="128">
        <v>10</v>
      </c>
      <c r="D3" s="128">
        <v>140</v>
      </c>
      <c r="E3" s="128">
        <f>B3*15</f>
        <v>12000</v>
      </c>
      <c r="F3" s="136">
        <f>IF(C3=0,"",B3/C3*D3)</f>
        <v>11200</v>
      </c>
      <c r="G3" s="137">
        <v>4700</v>
      </c>
      <c r="H3" s="128">
        <v>5000</v>
      </c>
      <c r="I3" s="128"/>
      <c r="J3" s="136"/>
      <c r="K3" s="180"/>
      <c r="L3" s="181">
        <f>SUM(G3:J3)</f>
        <v>9700</v>
      </c>
      <c r="Q3" s="139"/>
      <c r="R3" s="140" t="s">
        <v>269</v>
      </c>
    </row>
    <row r="4" spans="1:20" ht="18" customHeight="1" x14ac:dyDescent="0.2">
      <c r="A4" s="135"/>
      <c r="B4" s="128"/>
      <c r="C4" s="128"/>
      <c r="D4" s="128"/>
      <c r="E4" s="128">
        <f>B4*15</f>
        <v>0</v>
      </c>
      <c r="F4" s="136" t="str">
        <f>IF(C4=0,"",B4/C4*D4)</f>
        <v/>
      </c>
      <c r="G4" s="141"/>
      <c r="H4" s="142"/>
      <c r="I4" s="142"/>
      <c r="J4" s="136"/>
      <c r="K4" s="138"/>
      <c r="L4" s="138">
        <f t="shared" ref="L4:L6" si="0">SUM(G4:J4)</f>
        <v>0</v>
      </c>
      <c r="Q4" s="143"/>
      <c r="R4" s="140" t="s">
        <v>270</v>
      </c>
    </row>
    <row r="5" spans="1:20" ht="18" customHeight="1" x14ac:dyDescent="0.2">
      <c r="A5" s="135"/>
      <c r="B5" s="128"/>
      <c r="C5" s="128"/>
      <c r="D5" s="128"/>
      <c r="E5" s="128">
        <f>B5*10</f>
        <v>0</v>
      </c>
      <c r="F5" s="136" t="str">
        <f>IF(C5=0,"",B5/C5*D5)</f>
        <v/>
      </c>
      <c r="G5" s="141"/>
      <c r="H5" s="142"/>
      <c r="I5" s="142"/>
      <c r="J5" s="144"/>
      <c r="K5" s="145"/>
      <c r="L5" s="138">
        <f t="shared" si="0"/>
        <v>0</v>
      </c>
      <c r="R5" s="140"/>
    </row>
    <row r="6" spans="1:20" ht="18" customHeight="1" thickBot="1" x14ac:dyDescent="0.25">
      <c r="A6" s="135" t="s">
        <v>271</v>
      </c>
      <c r="B6" s="128"/>
      <c r="C6" s="128"/>
      <c r="D6" s="128"/>
      <c r="E6" s="128">
        <f>B6*10</f>
        <v>0</v>
      </c>
      <c r="F6" s="136" t="str">
        <f>IF(C6=0,"",B6/C6*D6)</f>
        <v/>
      </c>
      <c r="G6" s="146"/>
      <c r="H6" s="147"/>
      <c r="I6" s="147"/>
      <c r="J6" s="148"/>
      <c r="K6" s="149"/>
      <c r="L6" s="138">
        <f t="shared" si="0"/>
        <v>0</v>
      </c>
      <c r="N6" s="426"/>
      <c r="O6" s="426"/>
      <c r="P6" s="426"/>
      <c r="Q6" s="426"/>
      <c r="R6" s="426"/>
      <c r="S6" s="426"/>
      <c r="T6" s="426"/>
    </row>
    <row r="7" spans="1:20" ht="24.75" customHeight="1" x14ac:dyDescent="0.2">
      <c r="N7" s="427"/>
      <c r="O7" s="427"/>
      <c r="P7" s="427"/>
      <c r="Q7" s="427"/>
      <c r="R7" s="427"/>
      <c r="S7" s="427"/>
      <c r="T7" s="427"/>
    </row>
    <row r="8" spans="1:20" ht="17.149999999999999" customHeight="1" thickBot="1" x14ac:dyDescent="0.25"/>
    <row r="9" spans="1:20" ht="18" customHeight="1" x14ac:dyDescent="0.2">
      <c r="A9" s="428" t="s">
        <v>272</v>
      </c>
      <c r="B9" s="430" t="s">
        <v>273</v>
      </c>
      <c r="C9" s="432" t="s">
        <v>274</v>
      </c>
      <c r="D9" s="434" t="s">
        <v>275</v>
      </c>
      <c r="E9" s="436" t="s">
        <v>276</v>
      </c>
      <c r="F9" s="438" t="s">
        <v>277</v>
      </c>
      <c r="G9" s="439"/>
      <c r="H9" s="440"/>
      <c r="I9" s="432" t="s">
        <v>278</v>
      </c>
      <c r="J9" s="414" t="s">
        <v>301</v>
      </c>
      <c r="K9" s="441"/>
      <c r="L9" s="414" t="s">
        <v>279</v>
      </c>
      <c r="M9" s="416" t="s">
        <v>280</v>
      </c>
      <c r="P9" s="151"/>
    </row>
    <row r="10" spans="1:20" ht="18" customHeight="1" thickBot="1" x14ac:dyDescent="0.25">
      <c r="A10" s="429"/>
      <c r="B10" s="431"/>
      <c r="C10" s="433"/>
      <c r="D10" s="435"/>
      <c r="E10" s="437"/>
      <c r="F10" s="152" t="s">
        <v>281</v>
      </c>
      <c r="G10" s="418" t="s">
        <v>282</v>
      </c>
      <c r="H10" s="419"/>
      <c r="I10" s="433"/>
      <c r="J10" s="442"/>
      <c r="K10" s="443"/>
      <c r="L10" s="415"/>
      <c r="M10" s="417"/>
      <c r="N10" s="127" t="s">
        <v>283</v>
      </c>
      <c r="O10" s="127" t="s">
        <v>284</v>
      </c>
      <c r="P10" s="151"/>
    </row>
    <row r="11" spans="1:20" ht="18" customHeight="1" x14ac:dyDescent="0.2">
      <c r="A11" s="153" t="s">
        <v>302</v>
      </c>
      <c r="B11" s="154" t="s">
        <v>299</v>
      </c>
      <c r="C11" s="155">
        <f>E3</f>
        <v>12000</v>
      </c>
      <c r="D11" s="156">
        <f>F3</f>
        <v>11200</v>
      </c>
      <c r="E11" s="157">
        <f>L3</f>
        <v>9700</v>
      </c>
      <c r="F11" s="158"/>
      <c r="G11" s="420"/>
      <c r="H11" s="421"/>
      <c r="I11" s="159">
        <f>SUM(C11:H11)</f>
        <v>32900</v>
      </c>
      <c r="J11" s="422">
        <f>IF(B11="","",$H$28+$H$29)</f>
        <v>11633.333333333332</v>
      </c>
      <c r="K11" s="423"/>
      <c r="L11" s="175">
        <f>IFERROR(I11-J11,0)</f>
        <v>21266.666666666668</v>
      </c>
      <c r="M11" s="182">
        <f>ROUNDUP(L11,-2)</f>
        <v>21300</v>
      </c>
      <c r="O11" s="127">
        <v>10000</v>
      </c>
      <c r="P11" s="151">
        <f>M11-N11-O11</f>
        <v>11300</v>
      </c>
    </row>
    <row r="12" spans="1:20" ht="18" customHeight="1" x14ac:dyDescent="0.2">
      <c r="A12" s="160"/>
      <c r="B12" s="161" t="s">
        <v>300</v>
      </c>
      <c r="C12" s="138"/>
      <c r="D12" s="137"/>
      <c r="E12" s="128"/>
      <c r="F12" s="158">
        <v>2000</v>
      </c>
      <c r="G12" s="424" t="s">
        <v>304</v>
      </c>
      <c r="H12" s="425"/>
      <c r="I12" s="174">
        <f t="shared" ref="I12:I25" si="1">SUM(C12:H12)</f>
        <v>2000</v>
      </c>
      <c r="J12" s="412">
        <f t="shared" ref="J12:J25" si="2">IF(B12="","",$H$28+$H$29)</f>
        <v>11633.333333333332</v>
      </c>
      <c r="K12" s="413"/>
      <c r="L12" s="175">
        <f>IFERROR(I12-J12,0)</f>
        <v>-9633.3333333333321</v>
      </c>
      <c r="M12" s="163">
        <f t="shared" ref="M12:M25" si="3">ROUND(L12,-2)</f>
        <v>-9600</v>
      </c>
      <c r="N12" s="127">
        <v>100</v>
      </c>
      <c r="O12" s="127">
        <v>10000</v>
      </c>
      <c r="P12" s="151">
        <f t="shared" ref="P12:P25" si="4">M12-N12-O12</f>
        <v>-19700</v>
      </c>
    </row>
    <row r="13" spans="1:20" ht="18" customHeight="1" x14ac:dyDescent="0.2">
      <c r="A13" s="160"/>
      <c r="B13" s="161" t="s">
        <v>303</v>
      </c>
      <c r="C13" s="138"/>
      <c r="D13" s="137"/>
      <c r="E13" s="128"/>
      <c r="F13" s="158"/>
      <c r="G13" s="410"/>
      <c r="H13" s="411"/>
      <c r="I13" s="174">
        <f>SUM(C13:H13)</f>
        <v>0</v>
      </c>
      <c r="J13" s="412">
        <f t="shared" si="2"/>
        <v>11633.333333333332</v>
      </c>
      <c r="K13" s="413"/>
      <c r="L13" s="175">
        <f t="shared" ref="L13:L25" si="5">IFERROR(I13-J13,0)</f>
        <v>-11633.333333333332</v>
      </c>
      <c r="M13" s="163">
        <f t="shared" si="3"/>
        <v>-11600</v>
      </c>
      <c r="N13" s="127">
        <v>100</v>
      </c>
      <c r="O13" s="127">
        <v>10000</v>
      </c>
      <c r="P13" s="151">
        <f t="shared" si="4"/>
        <v>-21700</v>
      </c>
    </row>
    <row r="14" spans="1:20" ht="18" customHeight="1" x14ac:dyDescent="0.2">
      <c r="A14" s="160"/>
      <c r="B14" s="161"/>
      <c r="C14" s="138"/>
      <c r="D14" s="137"/>
      <c r="E14" s="128"/>
      <c r="F14" s="158"/>
      <c r="G14" s="410"/>
      <c r="H14" s="411"/>
      <c r="I14" s="174">
        <f t="shared" si="1"/>
        <v>0</v>
      </c>
      <c r="J14" s="412" t="str">
        <f t="shared" si="2"/>
        <v/>
      </c>
      <c r="K14" s="413"/>
      <c r="L14" s="175">
        <f t="shared" si="5"/>
        <v>0</v>
      </c>
      <c r="M14" s="163">
        <f t="shared" si="3"/>
        <v>0</v>
      </c>
      <c r="P14" s="151">
        <f t="shared" si="4"/>
        <v>0</v>
      </c>
      <c r="R14" s="164"/>
    </row>
    <row r="15" spans="1:20" ht="18" customHeight="1" x14ac:dyDescent="0.2">
      <c r="A15" s="160"/>
      <c r="B15" s="161"/>
      <c r="C15" s="138">
        <f>E4</f>
        <v>0</v>
      </c>
      <c r="D15" s="137" t="str">
        <f>F4</f>
        <v/>
      </c>
      <c r="E15" s="128">
        <f>L4</f>
        <v>0</v>
      </c>
      <c r="F15" s="158"/>
      <c r="G15" s="410"/>
      <c r="H15" s="411"/>
      <c r="I15" s="174">
        <f t="shared" si="1"/>
        <v>0</v>
      </c>
      <c r="J15" s="412" t="str">
        <f t="shared" si="2"/>
        <v/>
      </c>
      <c r="K15" s="413"/>
      <c r="L15" s="175">
        <f t="shared" si="5"/>
        <v>0</v>
      </c>
      <c r="M15" s="163">
        <f t="shared" si="3"/>
        <v>0</v>
      </c>
      <c r="P15" s="151">
        <f t="shared" si="4"/>
        <v>0</v>
      </c>
    </row>
    <row r="16" spans="1:20" ht="18" customHeight="1" x14ac:dyDescent="0.2">
      <c r="A16" s="160"/>
      <c r="B16" s="161"/>
      <c r="C16" s="138"/>
      <c r="D16" s="137"/>
      <c r="E16" s="128"/>
      <c r="F16" s="158"/>
      <c r="G16" s="410"/>
      <c r="H16" s="411"/>
      <c r="I16" s="174">
        <f t="shared" si="1"/>
        <v>0</v>
      </c>
      <c r="J16" s="412" t="str">
        <f t="shared" si="2"/>
        <v/>
      </c>
      <c r="K16" s="413"/>
      <c r="L16" s="175">
        <f t="shared" si="5"/>
        <v>0</v>
      </c>
      <c r="M16" s="163">
        <f t="shared" si="3"/>
        <v>0</v>
      </c>
      <c r="P16" s="151">
        <f t="shared" si="4"/>
        <v>0</v>
      </c>
    </row>
    <row r="17" spans="1:19" ht="18" customHeight="1" x14ac:dyDescent="0.2">
      <c r="A17" s="160"/>
      <c r="B17" s="161"/>
      <c r="C17" s="138"/>
      <c r="D17" s="137"/>
      <c r="E17" s="128"/>
      <c r="F17" s="158"/>
      <c r="G17" s="410"/>
      <c r="H17" s="411"/>
      <c r="I17" s="174">
        <f t="shared" si="1"/>
        <v>0</v>
      </c>
      <c r="J17" s="412" t="str">
        <f t="shared" si="2"/>
        <v/>
      </c>
      <c r="K17" s="413"/>
      <c r="L17" s="175">
        <f t="shared" si="5"/>
        <v>0</v>
      </c>
      <c r="M17" s="163">
        <f t="shared" si="3"/>
        <v>0</v>
      </c>
      <c r="P17" s="151">
        <f t="shared" si="4"/>
        <v>0</v>
      </c>
      <c r="R17" s="164"/>
    </row>
    <row r="18" spans="1:19" ht="18" customHeight="1" x14ac:dyDescent="0.2">
      <c r="A18" s="160"/>
      <c r="B18" s="161"/>
      <c r="C18" s="138"/>
      <c r="D18" s="137"/>
      <c r="E18" s="128"/>
      <c r="F18" s="162"/>
      <c r="G18" s="410"/>
      <c r="H18" s="411"/>
      <c r="I18" s="174">
        <f t="shared" si="1"/>
        <v>0</v>
      </c>
      <c r="J18" s="412" t="str">
        <f t="shared" si="2"/>
        <v/>
      </c>
      <c r="K18" s="413"/>
      <c r="L18" s="175">
        <f t="shared" si="5"/>
        <v>0</v>
      </c>
      <c r="M18" s="163">
        <f t="shared" si="3"/>
        <v>0</v>
      </c>
      <c r="P18" s="151">
        <f t="shared" si="4"/>
        <v>0</v>
      </c>
    </row>
    <row r="19" spans="1:19" ht="18" customHeight="1" x14ac:dyDescent="0.2">
      <c r="A19" s="160"/>
      <c r="B19" s="161"/>
      <c r="C19" s="138"/>
      <c r="D19" s="137"/>
      <c r="E19" s="128"/>
      <c r="F19" s="162"/>
      <c r="G19" s="410"/>
      <c r="H19" s="411"/>
      <c r="I19" s="174">
        <f t="shared" si="1"/>
        <v>0</v>
      </c>
      <c r="J19" s="412" t="str">
        <f t="shared" si="2"/>
        <v/>
      </c>
      <c r="K19" s="413"/>
      <c r="L19" s="175">
        <f t="shared" si="5"/>
        <v>0</v>
      </c>
      <c r="M19" s="163">
        <f t="shared" si="3"/>
        <v>0</v>
      </c>
      <c r="P19" s="151">
        <f t="shared" si="4"/>
        <v>0</v>
      </c>
      <c r="R19" s="164"/>
    </row>
    <row r="20" spans="1:19" ht="18" customHeight="1" x14ac:dyDescent="0.2">
      <c r="A20" s="160"/>
      <c r="B20" s="161"/>
      <c r="C20" s="138"/>
      <c r="D20" s="137"/>
      <c r="E20" s="128"/>
      <c r="F20" s="162"/>
      <c r="G20" s="410"/>
      <c r="H20" s="411"/>
      <c r="I20" s="174">
        <f t="shared" si="1"/>
        <v>0</v>
      </c>
      <c r="J20" s="412" t="str">
        <f t="shared" si="2"/>
        <v/>
      </c>
      <c r="K20" s="413"/>
      <c r="L20" s="175">
        <f t="shared" si="5"/>
        <v>0</v>
      </c>
      <c r="M20" s="163">
        <f t="shared" si="3"/>
        <v>0</v>
      </c>
      <c r="P20" s="151">
        <f t="shared" si="4"/>
        <v>0</v>
      </c>
    </row>
    <row r="21" spans="1:19" ht="18" customHeight="1" x14ac:dyDescent="0.2">
      <c r="A21" s="160"/>
      <c r="B21" s="161"/>
      <c r="C21" s="138"/>
      <c r="D21" s="137"/>
      <c r="E21" s="128"/>
      <c r="F21" s="162"/>
      <c r="G21" s="410"/>
      <c r="H21" s="411"/>
      <c r="I21" s="174">
        <f t="shared" si="1"/>
        <v>0</v>
      </c>
      <c r="J21" s="412" t="str">
        <f t="shared" si="2"/>
        <v/>
      </c>
      <c r="K21" s="413"/>
      <c r="L21" s="175">
        <f t="shared" si="5"/>
        <v>0</v>
      </c>
      <c r="M21" s="163">
        <f t="shared" si="3"/>
        <v>0</v>
      </c>
      <c r="P21" s="151">
        <f t="shared" si="4"/>
        <v>0</v>
      </c>
      <c r="R21" s="164"/>
    </row>
    <row r="22" spans="1:19" ht="18" customHeight="1" x14ac:dyDescent="0.2">
      <c r="A22" s="160"/>
      <c r="B22" s="161"/>
      <c r="C22" s="138"/>
      <c r="D22" s="137"/>
      <c r="E22" s="128"/>
      <c r="F22" s="162"/>
      <c r="G22" s="410"/>
      <c r="H22" s="411"/>
      <c r="I22" s="174">
        <f t="shared" si="1"/>
        <v>0</v>
      </c>
      <c r="J22" s="412" t="str">
        <f t="shared" si="2"/>
        <v/>
      </c>
      <c r="K22" s="413"/>
      <c r="L22" s="175">
        <f t="shared" si="5"/>
        <v>0</v>
      </c>
      <c r="M22" s="163">
        <f t="shared" si="3"/>
        <v>0</v>
      </c>
      <c r="P22" s="151">
        <f t="shared" si="4"/>
        <v>0</v>
      </c>
      <c r="R22" s="164"/>
      <c r="S22" s="164"/>
    </row>
    <row r="23" spans="1:19" ht="18" customHeight="1" x14ac:dyDescent="0.2">
      <c r="A23" s="160"/>
      <c r="B23" s="161"/>
      <c r="C23" s="138"/>
      <c r="D23" s="137"/>
      <c r="E23" s="128"/>
      <c r="F23" s="162"/>
      <c r="G23" s="410"/>
      <c r="H23" s="411"/>
      <c r="I23" s="174">
        <f t="shared" si="1"/>
        <v>0</v>
      </c>
      <c r="J23" s="412" t="str">
        <f t="shared" si="2"/>
        <v/>
      </c>
      <c r="K23" s="413"/>
      <c r="L23" s="175">
        <f t="shared" si="5"/>
        <v>0</v>
      </c>
      <c r="M23" s="163">
        <f t="shared" si="3"/>
        <v>0</v>
      </c>
      <c r="P23" s="151">
        <f t="shared" si="4"/>
        <v>0</v>
      </c>
      <c r="R23" s="164"/>
      <c r="S23" s="164"/>
    </row>
    <row r="24" spans="1:19" ht="18" customHeight="1" x14ac:dyDescent="0.2">
      <c r="A24" s="160"/>
      <c r="B24" s="161"/>
      <c r="C24" s="138"/>
      <c r="D24" s="137"/>
      <c r="E24" s="128"/>
      <c r="F24" s="162"/>
      <c r="G24" s="410"/>
      <c r="H24" s="411"/>
      <c r="I24" s="174">
        <f t="shared" si="1"/>
        <v>0</v>
      </c>
      <c r="J24" s="412" t="str">
        <f t="shared" si="2"/>
        <v/>
      </c>
      <c r="K24" s="413"/>
      <c r="L24" s="175">
        <f t="shared" si="5"/>
        <v>0</v>
      </c>
      <c r="M24" s="163">
        <f t="shared" si="3"/>
        <v>0</v>
      </c>
      <c r="P24" s="151">
        <f t="shared" si="4"/>
        <v>0</v>
      </c>
      <c r="R24" s="164">
        <f>SUM(K24:Q24)</f>
        <v>0</v>
      </c>
      <c r="S24" s="164"/>
    </row>
    <row r="25" spans="1:19" ht="18" customHeight="1" thickBot="1" x14ac:dyDescent="0.25">
      <c r="A25" s="165"/>
      <c r="B25" s="166"/>
      <c r="C25" s="150"/>
      <c r="D25" s="146"/>
      <c r="E25" s="147"/>
      <c r="F25" s="167"/>
      <c r="G25" s="402"/>
      <c r="H25" s="403"/>
      <c r="I25" s="174">
        <f t="shared" si="1"/>
        <v>0</v>
      </c>
      <c r="J25" s="404" t="str">
        <f t="shared" si="2"/>
        <v/>
      </c>
      <c r="K25" s="405"/>
      <c r="L25" s="175">
        <f t="shared" si="5"/>
        <v>0</v>
      </c>
      <c r="M25" s="163">
        <f t="shared" si="3"/>
        <v>0</v>
      </c>
      <c r="P25" s="151">
        <f t="shared" si="4"/>
        <v>0</v>
      </c>
      <c r="R25" s="164"/>
      <c r="S25" s="164"/>
    </row>
    <row r="26" spans="1:19" ht="18" customHeight="1" thickBot="1" x14ac:dyDescent="0.25">
      <c r="A26" s="406" t="s">
        <v>285</v>
      </c>
      <c r="B26" s="407"/>
      <c r="C26" s="168">
        <f>SUM(C11:C25)</f>
        <v>12000</v>
      </c>
      <c r="D26" s="406">
        <f>SUM(D11:F25)</f>
        <v>22900</v>
      </c>
      <c r="E26" s="408"/>
      <c r="F26" s="408"/>
      <c r="G26" s="408"/>
      <c r="H26" s="407"/>
      <c r="I26" s="169">
        <f>SUM(I11:I25)</f>
        <v>34900</v>
      </c>
      <c r="J26" s="406">
        <f>SUM(K11:K25)</f>
        <v>0</v>
      </c>
      <c r="K26" s="407"/>
      <c r="L26" s="170">
        <f t="shared" ref="L26:P26" si="6">SUM(L11:L25)</f>
        <v>3.637978807091713E-12</v>
      </c>
      <c r="M26" s="169">
        <f t="shared" si="6"/>
        <v>100</v>
      </c>
      <c r="N26" s="127">
        <f t="shared" si="6"/>
        <v>200</v>
      </c>
      <c r="O26" s="127">
        <f t="shared" si="6"/>
        <v>30000</v>
      </c>
      <c r="P26" s="127">
        <f t="shared" si="6"/>
        <v>-30100</v>
      </c>
      <c r="R26" s="127">
        <f t="shared" ref="R26" si="7">SUM(R11:R20)</f>
        <v>0</v>
      </c>
      <c r="S26" s="127">
        <f>SUM(S11:S21)</f>
        <v>0</v>
      </c>
    </row>
    <row r="27" spans="1:19" ht="18" customHeight="1" thickBot="1" x14ac:dyDescent="0.25">
      <c r="A27" s="409"/>
      <c r="B27" s="409"/>
      <c r="C27" s="171"/>
      <c r="D27" s="171"/>
      <c r="E27" s="171"/>
      <c r="F27" s="171"/>
      <c r="G27" s="171"/>
      <c r="H27" s="171"/>
      <c r="I27" s="171"/>
      <c r="J27" s="171"/>
      <c r="K27" s="171"/>
      <c r="L27" s="171"/>
      <c r="N27" s="401" t="s">
        <v>286</v>
      </c>
      <c r="O27" s="401"/>
      <c r="P27" s="401"/>
      <c r="Q27" s="401"/>
    </row>
    <row r="28" spans="1:19" ht="18" customHeight="1" thickBot="1" x14ac:dyDescent="0.25">
      <c r="E28" s="172">
        <f>COUNTA(B11:B25)</f>
        <v>3</v>
      </c>
      <c r="G28" s="127" t="s">
        <v>287</v>
      </c>
      <c r="H28" s="173">
        <f>D26/E28</f>
        <v>7633.333333333333</v>
      </c>
      <c r="J28" s="140"/>
      <c r="N28" s="140" t="s">
        <v>288</v>
      </c>
      <c r="O28" s="164"/>
    </row>
    <row r="29" spans="1:19" ht="18" customHeight="1" thickBot="1" x14ac:dyDescent="0.25">
      <c r="E29" s="172">
        <f>COUNTA(B11:B25)</f>
        <v>3</v>
      </c>
      <c r="G29" s="127" t="s">
        <v>289</v>
      </c>
      <c r="H29" s="173">
        <f>C26/E29</f>
        <v>4000</v>
      </c>
      <c r="J29" s="140"/>
    </row>
    <row r="30" spans="1:19" ht="13.5" customHeight="1" x14ac:dyDescent="0.2"/>
    <row r="32" spans="1:19" s="164" customFormat="1" x14ac:dyDescent="0.2">
      <c r="A32" s="164" t="s">
        <v>290</v>
      </c>
    </row>
    <row r="33" spans="1:2" s="164" customFormat="1" x14ac:dyDescent="0.2">
      <c r="A33" s="164" t="s">
        <v>291</v>
      </c>
      <c r="B33" s="164" t="s">
        <v>292</v>
      </c>
    </row>
    <row r="34" spans="1:2" s="164" customFormat="1" x14ac:dyDescent="0.2">
      <c r="A34" s="164" t="s">
        <v>293</v>
      </c>
      <c r="B34" s="164" t="s">
        <v>294</v>
      </c>
    </row>
    <row r="35" spans="1:2" s="164" customFormat="1" x14ac:dyDescent="0.2">
      <c r="B35" s="164" t="s">
        <v>295</v>
      </c>
    </row>
    <row r="36" spans="1:2" s="164" customFormat="1" x14ac:dyDescent="0.2">
      <c r="B36" s="164" t="s">
        <v>296</v>
      </c>
    </row>
    <row r="37" spans="1:2" s="164" customFormat="1" x14ac:dyDescent="0.2">
      <c r="A37" s="164" t="s">
        <v>297</v>
      </c>
      <c r="B37" s="164" t="s">
        <v>298</v>
      </c>
    </row>
    <row r="38" spans="1:2" s="164" customFormat="1" x14ac:dyDescent="0.2">
      <c r="A38" s="164" t="s">
        <v>319</v>
      </c>
      <c r="B38" s="164" t="s">
        <v>320</v>
      </c>
    </row>
    <row r="39" spans="1:2" s="164" customFormat="1" x14ac:dyDescent="0.2"/>
    <row r="40" spans="1:2" s="164" customFormat="1" x14ac:dyDescent="0.2"/>
    <row r="41" spans="1:2" s="164" customFormat="1" x14ac:dyDescent="0.2"/>
    <row r="42" spans="1:2" s="164" customFormat="1" x14ac:dyDescent="0.2"/>
    <row r="43" spans="1:2" s="164" customFormat="1" x14ac:dyDescent="0.2"/>
    <row r="44" spans="1:2" s="164" customFormat="1" x14ac:dyDescent="0.2"/>
    <row r="45" spans="1:2" s="164" customFormat="1" x14ac:dyDescent="0.2"/>
    <row r="46" spans="1:2" s="164" customFormat="1" x14ac:dyDescent="0.2"/>
    <row r="47" spans="1:2" s="164" customFormat="1" x14ac:dyDescent="0.2"/>
    <row r="48" spans="1:2" s="164" customFormat="1" x14ac:dyDescent="0.2"/>
    <row r="49" s="164" customFormat="1" x14ac:dyDescent="0.2"/>
    <row r="50" s="164" customFormat="1" x14ac:dyDescent="0.2"/>
    <row r="51" s="164" customFormat="1" x14ac:dyDescent="0.2"/>
    <row r="52" s="164" customFormat="1" x14ac:dyDescent="0.2"/>
    <row r="53" s="164" customFormat="1" x14ac:dyDescent="0.2"/>
    <row r="54" s="164" customFormat="1" x14ac:dyDescent="0.2"/>
    <row r="55" s="164" customFormat="1" x14ac:dyDescent="0.2"/>
    <row r="56" s="164" customFormat="1" x14ac:dyDescent="0.2"/>
    <row r="57" s="164" customFormat="1" x14ac:dyDescent="0.2"/>
    <row r="58" s="164" customFormat="1" x14ac:dyDescent="0.2"/>
    <row r="59" s="164" customFormat="1" x14ac:dyDescent="0.2"/>
    <row r="60" s="164" customFormat="1" x14ac:dyDescent="0.2"/>
    <row r="61" s="164" customFormat="1" x14ac:dyDescent="0.2"/>
    <row r="62" s="164" customFormat="1" x14ac:dyDescent="0.2"/>
    <row r="63" s="164" customFormat="1" x14ac:dyDescent="0.2"/>
    <row r="64" s="164" customFormat="1" x14ac:dyDescent="0.2"/>
    <row r="65" s="164" customFormat="1" x14ac:dyDescent="0.2"/>
    <row r="66" s="164" customFormat="1" x14ac:dyDescent="0.2"/>
    <row r="67" s="164" customFormat="1" x14ac:dyDescent="0.2"/>
    <row r="68" s="164" customFormat="1" x14ac:dyDescent="0.2"/>
    <row r="69" s="164" customFormat="1" x14ac:dyDescent="0.2"/>
    <row r="70" s="164" customFormat="1" x14ac:dyDescent="0.2"/>
    <row r="71" s="164" customFormat="1" x14ac:dyDescent="0.2"/>
    <row r="72" s="164" customFormat="1" x14ac:dyDescent="0.2"/>
    <row r="73" s="164" customFormat="1" x14ac:dyDescent="0.2"/>
    <row r="74" s="164" customFormat="1" x14ac:dyDescent="0.2"/>
    <row r="75" s="164" customFormat="1" x14ac:dyDescent="0.2"/>
    <row r="76" s="164" customFormat="1" x14ac:dyDescent="0.2"/>
    <row r="77" s="164" customFormat="1" x14ac:dyDescent="0.2"/>
    <row r="78" s="164" customFormat="1" x14ac:dyDescent="0.2"/>
    <row r="79" s="164" customFormat="1" x14ac:dyDescent="0.2"/>
    <row r="80" s="164" customFormat="1" x14ac:dyDescent="0.2"/>
    <row r="81" s="164" customFormat="1" x14ac:dyDescent="0.2"/>
    <row r="82" s="164" customFormat="1" x14ac:dyDescent="0.2"/>
    <row r="83" s="164" customFormat="1" x14ac:dyDescent="0.2"/>
    <row r="84" s="164" customFormat="1" x14ac:dyDescent="0.2"/>
    <row r="85" s="164" customFormat="1" x14ac:dyDescent="0.2"/>
    <row r="86" s="164" customFormat="1" x14ac:dyDescent="0.2"/>
    <row r="87" s="164" customFormat="1" x14ac:dyDescent="0.2"/>
    <row r="88" s="164" customFormat="1" x14ac:dyDescent="0.2"/>
    <row r="89" s="164" customFormat="1" x14ac:dyDescent="0.2"/>
    <row r="90" s="164" customFormat="1" x14ac:dyDescent="0.2"/>
    <row r="91" s="164" customFormat="1" x14ac:dyDescent="0.2"/>
    <row r="92" s="164" customFormat="1" x14ac:dyDescent="0.2"/>
    <row r="93" s="164" customFormat="1" x14ac:dyDescent="0.2"/>
    <row r="94" s="164" customFormat="1" x14ac:dyDescent="0.2"/>
    <row r="95" s="164" customFormat="1" x14ac:dyDescent="0.2"/>
    <row r="96" s="164" customFormat="1" x14ac:dyDescent="0.2"/>
    <row r="97" s="164" customFormat="1" x14ac:dyDescent="0.2"/>
    <row r="98" s="164" customFormat="1" x14ac:dyDescent="0.2"/>
    <row r="99" s="164" customFormat="1" x14ac:dyDescent="0.2"/>
    <row r="100" s="164" customFormat="1" x14ac:dyDescent="0.2"/>
    <row r="101" s="164" customFormat="1" x14ac:dyDescent="0.2"/>
    <row r="102" s="164" customFormat="1" x14ac:dyDescent="0.2"/>
    <row r="103" s="164" customFormat="1" x14ac:dyDescent="0.2"/>
    <row r="104" s="164" customFormat="1" x14ac:dyDescent="0.2"/>
    <row r="105" s="164" customFormat="1" x14ac:dyDescent="0.2"/>
    <row r="106" s="164" customFormat="1" x14ac:dyDescent="0.2"/>
    <row r="107" s="164" customFormat="1" x14ac:dyDescent="0.2"/>
    <row r="108" s="164" customFormat="1" x14ac:dyDescent="0.2"/>
    <row r="109" s="164" customFormat="1" x14ac:dyDescent="0.2"/>
    <row r="110" s="164" customFormat="1" x14ac:dyDescent="0.2"/>
    <row r="111" s="164" customFormat="1" x14ac:dyDescent="0.2"/>
    <row r="112" s="164" customFormat="1" x14ac:dyDescent="0.2"/>
    <row r="113" s="164" customFormat="1" x14ac:dyDescent="0.2"/>
    <row r="114" s="164" customFormat="1" x14ac:dyDescent="0.2"/>
    <row r="115" s="164" customFormat="1" x14ac:dyDescent="0.2"/>
    <row r="116" s="164" customFormat="1" x14ac:dyDescent="0.2"/>
    <row r="117" s="164" customFormat="1" x14ac:dyDescent="0.2"/>
    <row r="118" s="164" customFormat="1" x14ac:dyDescent="0.2"/>
    <row r="119" s="164" customFormat="1" x14ac:dyDescent="0.2"/>
    <row r="120" s="164" customFormat="1" x14ac:dyDescent="0.2"/>
    <row r="121" s="164" customFormat="1" x14ac:dyDescent="0.2"/>
    <row r="122" s="164" customFormat="1" x14ac:dyDescent="0.2"/>
    <row r="123" s="164" customFormat="1" x14ac:dyDescent="0.2"/>
    <row r="124" s="164" customFormat="1" x14ac:dyDescent="0.2"/>
    <row r="125" s="164" customFormat="1" x14ac:dyDescent="0.2"/>
    <row r="126" s="164" customFormat="1" x14ac:dyDescent="0.2"/>
    <row r="127" s="164" customFormat="1" x14ac:dyDescent="0.2"/>
    <row r="128" s="164" customFormat="1" x14ac:dyDescent="0.2"/>
    <row r="129" s="164" customFormat="1" x14ac:dyDescent="0.2"/>
    <row r="130" s="164" customFormat="1" x14ac:dyDescent="0.2"/>
    <row r="131" s="164" customFormat="1" x14ac:dyDescent="0.2"/>
    <row r="132" s="164" customFormat="1" x14ac:dyDescent="0.2"/>
    <row r="133" s="164" customFormat="1" x14ac:dyDescent="0.2"/>
    <row r="134" s="164" customFormat="1" x14ac:dyDescent="0.2"/>
    <row r="135" s="164" customFormat="1" x14ac:dyDescent="0.2"/>
    <row r="136" s="164" customFormat="1" x14ac:dyDescent="0.2"/>
    <row r="137" s="164" customFormat="1" x14ac:dyDescent="0.2"/>
    <row r="138" s="164" customFormat="1" x14ac:dyDescent="0.2"/>
    <row r="139" s="164" customFormat="1" x14ac:dyDescent="0.2"/>
    <row r="140" s="164" customFormat="1" x14ac:dyDescent="0.2"/>
    <row r="141" s="164" customFormat="1" x14ac:dyDescent="0.2"/>
    <row r="142" s="164" customFormat="1" x14ac:dyDescent="0.2"/>
    <row r="143" s="164" customFormat="1" x14ac:dyDescent="0.2"/>
    <row r="144" s="164" customFormat="1" x14ac:dyDescent="0.2"/>
    <row r="145" s="164" customFormat="1" x14ac:dyDescent="0.2"/>
    <row r="146" s="164" customFormat="1" x14ac:dyDescent="0.2"/>
    <row r="147" s="164" customFormat="1" x14ac:dyDescent="0.2"/>
    <row r="148" s="164" customFormat="1" x14ac:dyDescent="0.2"/>
    <row r="149" s="164" customFormat="1" x14ac:dyDescent="0.2"/>
    <row r="150" s="164" customFormat="1" x14ac:dyDescent="0.2"/>
    <row r="151" s="164" customFormat="1" x14ac:dyDescent="0.2"/>
    <row r="152" s="164" customFormat="1" x14ac:dyDescent="0.2"/>
    <row r="153" s="164" customFormat="1" x14ac:dyDescent="0.2"/>
    <row r="154" s="164" customFormat="1" x14ac:dyDescent="0.2"/>
    <row r="155" s="164" customFormat="1" x14ac:dyDescent="0.2"/>
    <row r="156" s="164" customFormat="1" x14ac:dyDescent="0.2"/>
    <row r="157" s="164" customFormat="1" x14ac:dyDescent="0.2"/>
    <row r="158" s="164" customFormat="1" x14ac:dyDescent="0.2"/>
    <row r="159" s="164" customFormat="1" x14ac:dyDescent="0.2"/>
    <row r="160" s="164" customFormat="1" x14ac:dyDescent="0.2"/>
    <row r="161" s="164" customFormat="1" x14ac:dyDescent="0.2"/>
    <row r="162" s="164" customFormat="1" x14ac:dyDescent="0.2"/>
    <row r="163" s="164" customFormat="1" x14ac:dyDescent="0.2"/>
  </sheetData>
  <mergeCells count="48">
    <mergeCell ref="G12:H12"/>
    <mergeCell ref="J12:K12"/>
    <mergeCell ref="N6:T6"/>
    <mergeCell ref="N7:T7"/>
    <mergeCell ref="A9:A10"/>
    <mergeCell ref="B9:B10"/>
    <mergeCell ref="C9:C10"/>
    <mergeCell ref="D9:D10"/>
    <mergeCell ref="E9:E10"/>
    <mergeCell ref="F9:H9"/>
    <mergeCell ref="I9:I10"/>
    <mergeCell ref="J9:K10"/>
    <mergeCell ref="L9:L10"/>
    <mergeCell ref="M9:M10"/>
    <mergeCell ref="G10:H10"/>
    <mergeCell ref="G11:H11"/>
    <mergeCell ref="J11:K11"/>
    <mergeCell ref="G13:H13"/>
    <mergeCell ref="J13:K13"/>
    <mergeCell ref="G14:H14"/>
    <mergeCell ref="J14:K14"/>
    <mergeCell ref="G15:H15"/>
    <mergeCell ref="J15:K15"/>
    <mergeCell ref="G16:H16"/>
    <mergeCell ref="J16:K16"/>
    <mergeCell ref="G17:H17"/>
    <mergeCell ref="J17:K17"/>
    <mergeCell ref="G18:H18"/>
    <mergeCell ref="J18:K18"/>
    <mergeCell ref="G19:H19"/>
    <mergeCell ref="J19:K19"/>
    <mergeCell ref="G20:H20"/>
    <mergeCell ref="J20:K20"/>
    <mergeCell ref="G21:H21"/>
    <mergeCell ref="J21:K21"/>
    <mergeCell ref="G22:H22"/>
    <mergeCell ref="J22:K22"/>
    <mergeCell ref="G23:H23"/>
    <mergeCell ref="J23:K23"/>
    <mergeCell ref="G24:H24"/>
    <mergeCell ref="J24:K24"/>
    <mergeCell ref="N27:Q27"/>
    <mergeCell ref="G25:H25"/>
    <mergeCell ref="J25:K25"/>
    <mergeCell ref="A26:B26"/>
    <mergeCell ref="D26:H26"/>
    <mergeCell ref="J26:K26"/>
    <mergeCell ref="A27:B27"/>
  </mergeCells>
  <phoneticPr fontId="1"/>
  <conditionalFormatting sqref="C11:E25">
    <cfRule type="expression" dxfId="0" priority="1" stopIfTrue="1">
      <formula>EXACT($A11,"")</formula>
    </cfRule>
  </conditionalFormatting>
  <dataValidations count="1">
    <dataValidation type="list" allowBlank="1" showInputMessage="1" showErrorMessage="1" sqref="A11:A25" xr:uid="{F4CF4C7A-BE30-4880-A79E-E9111C0A2082}">
      <formula1>"車"</formula1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J33"/>
  <sheetViews>
    <sheetView workbookViewId="0">
      <selection activeCell="H36" sqref="H36"/>
    </sheetView>
  </sheetViews>
  <sheetFormatPr defaultRowHeight="13" x14ac:dyDescent="0.2"/>
  <cols>
    <col min="6" max="6" width="11.36328125" customWidth="1"/>
    <col min="7" max="7" width="10.90625" customWidth="1"/>
    <col min="8" max="8" width="11.90625" customWidth="1"/>
    <col min="9" max="9" width="16.1796875" customWidth="1"/>
    <col min="10" max="10" width="10.36328125" customWidth="1"/>
  </cols>
  <sheetData>
    <row r="1" spans="1:10" ht="24" x14ac:dyDescent="0.2">
      <c r="A1" s="5" t="s">
        <v>5</v>
      </c>
      <c r="B1" s="189" t="s">
        <v>4</v>
      </c>
      <c r="C1" s="190"/>
      <c r="D1" s="10" t="s">
        <v>16</v>
      </c>
      <c r="E1" s="27" t="s">
        <v>80</v>
      </c>
      <c r="F1" s="217" t="s">
        <v>11</v>
      </c>
      <c r="G1" s="218"/>
      <c r="H1" s="219"/>
      <c r="I1" s="40" t="s">
        <v>95</v>
      </c>
      <c r="J1" s="31" t="s">
        <v>94</v>
      </c>
    </row>
    <row r="2" spans="1:10" x14ac:dyDescent="0.2">
      <c r="A2" s="197"/>
      <c r="B2" s="121"/>
      <c r="C2" s="122"/>
      <c r="D2" s="11"/>
      <c r="E2" s="201"/>
      <c r="F2" s="191"/>
      <c r="G2" s="192"/>
      <c r="H2" s="193"/>
      <c r="I2" s="11"/>
      <c r="J2" s="125"/>
    </row>
    <row r="3" spans="1:10" x14ac:dyDescent="0.2">
      <c r="A3" s="198"/>
      <c r="B3" s="199"/>
      <c r="C3" s="200"/>
      <c r="D3" s="11"/>
      <c r="E3" s="202"/>
      <c r="F3" s="203"/>
      <c r="G3" s="204"/>
      <c r="H3" s="205"/>
      <c r="I3" s="35"/>
      <c r="J3" s="126"/>
    </row>
    <row r="4" spans="1:10" x14ac:dyDescent="0.2">
      <c r="A4" s="220"/>
      <c r="B4" s="121"/>
      <c r="C4" s="122"/>
      <c r="D4" s="11"/>
      <c r="E4" s="201"/>
      <c r="F4" s="191"/>
      <c r="G4" s="192"/>
      <c r="H4" s="193"/>
      <c r="I4" s="11"/>
      <c r="J4" s="125"/>
    </row>
    <row r="5" spans="1:10" x14ac:dyDescent="0.2">
      <c r="A5" s="198"/>
      <c r="B5" s="199"/>
      <c r="C5" s="200"/>
      <c r="D5" s="11"/>
      <c r="E5" s="202"/>
      <c r="F5" s="203"/>
      <c r="G5" s="204"/>
      <c r="H5" s="205"/>
      <c r="I5" s="35"/>
      <c r="J5" s="126"/>
    </row>
    <row r="6" spans="1:10" x14ac:dyDescent="0.2">
      <c r="A6" s="220"/>
      <c r="B6" s="121"/>
      <c r="C6" s="122"/>
      <c r="D6" s="11"/>
      <c r="E6" s="201"/>
      <c r="F6" s="191"/>
      <c r="G6" s="192"/>
      <c r="H6" s="193"/>
      <c r="I6" s="11"/>
      <c r="J6" s="125"/>
    </row>
    <row r="7" spans="1:10" x14ac:dyDescent="0.2">
      <c r="A7" s="198"/>
      <c r="B7" s="199"/>
      <c r="C7" s="200"/>
      <c r="D7" s="11"/>
      <c r="E7" s="202"/>
      <c r="F7" s="203"/>
      <c r="G7" s="204"/>
      <c r="H7" s="205"/>
      <c r="I7" s="35"/>
      <c r="J7" s="126"/>
    </row>
    <row r="8" spans="1:10" x14ac:dyDescent="0.2">
      <c r="A8" s="220"/>
      <c r="B8" s="121"/>
      <c r="C8" s="122"/>
      <c r="D8" s="11"/>
      <c r="E8" s="201"/>
      <c r="F8" s="191"/>
      <c r="G8" s="192"/>
      <c r="H8" s="193"/>
      <c r="I8" s="11"/>
      <c r="J8" s="125"/>
    </row>
    <row r="9" spans="1:10" x14ac:dyDescent="0.2">
      <c r="A9" s="198"/>
      <c r="B9" s="199"/>
      <c r="C9" s="200"/>
      <c r="D9" s="11"/>
      <c r="E9" s="202"/>
      <c r="F9" s="203"/>
      <c r="G9" s="204"/>
      <c r="H9" s="205"/>
      <c r="I9" s="35"/>
      <c r="J9" s="126"/>
    </row>
    <row r="10" spans="1:10" x14ac:dyDescent="0.2">
      <c r="A10" s="220"/>
      <c r="B10" s="121"/>
      <c r="C10" s="122"/>
      <c r="D10" s="11"/>
      <c r="E10" s="201"/>
      <c r="F10" s="191"/>
      <c r="G10" s="192"/>
      <c r="H10" s="193"/>
      <c r="I10" s="11"/>
      <c r="J10" s="125"/>
    </row>
    <row r="11" spans="1:10" x14ac:dyDescent="0.2">
      <c r="A11" s="198"/>
      <c r="B11" s="199"/>
      <c r="C11" s="200"/>
      <c r="D11" s="11"/>
      <c r="E11" s="202"/>
      <c r="F11" s="203"/>
      <c r="G11" s="204"/>
      <c r="H11" s="205"/>
      <c r="I11" s="35"/>
      <c r="J11" s="126"/>
    </row>
    <row r="12" spans="1:10" x14ac:dyDescent="0.2">
      <c r="A12" s="220"/>
      <c r="B12" s="121"/>
      <c r="C12" s="122"/>
      <c r="D12" s="11"/>
      <c r="E12" s="201"/>
      <c r="F12" s="191"/>
      <c r="G12" s="192"/>
      <c r="H12" s="193"/>
      <c r="I12" s="11"/>
      <c r="J12" s="125"/>
    </row>
    <row r="13" spans="1:10" x14ac:dyDescent="0.2">
      <c r="A13" s="198"/>
      <c r="B13" s="199"/>
      <c r="C13" s="200"/>
      <c r="D13" s="11"/>
      <c r="E13" s="202"/>
      <c r="F13" s="203"/>
      <c r="G13" s="204"/>
      <c r="H13" s="205"/>
      <c r="I13" s="35"/>
      <c r="J13" s="126"/>
    </row>
    <row r="14" spans="1:10" x14ac:dyDescent="0.2">
      <c r="A14" s="38"/>
      <c r="B14" s="121"/>
      <c r="C14" s="122"/>
      <c r="D14" s="11"/>
      <c r="E14" s="201"/>
      <c r="F14" s="191"/>
      <c r="G14" s="192"/>
      <c r="H14" s="193"/>
      <c r="I14" s="11"/>
      <c r="J14" s="125"/>
    </row>
    <row r="15" spans="1:10" x14ac:dyDescent="0.2">
      <c r="A15" s="39"/>
      <c r="B15" s="199"/>
      <c r="C15" s="200"/>
      <c r="D15" s="11"/>
      <c r="E15" s="202"/>
      <c r="F15" s="203"/>
      <c r="G15" s="204"/>
      <c r="H15" s="205"/>
      <c r="I15" s="35"/>
      <c r="J15" s="126"/>
    </row>
    <row r="16" spans="1:10" x14ac:dyDescent="0.2">
      <c r="A16" s="38"/>
      <c r="B16" s="121"/>
      <c r="C16" s="122"/>
      <c r="D16" s="11"/>
      <c r="E16" s="201"/>
      <c r="F16" s="191"/>
      <c r="G16" s="192"/>
      <c r="H16" s="193"/>
      <c r="I16" s="11"/>
      <c r="J16" s="125"/>
    </row>
    <row r="17" spans="1:10" x14ac:dyDescent="0.2">
      <c r="A17" s="39"/>
      <c r="B17" s="199"/>
      <c r="C17" s="200"/>
      <c r="D17" s="11"/>
      <c r="E17" s="202"/>
      <c r="F17" s="203"/>
      <c r="G17" s="204"/>
      <c r="H17" s="205"/>
      <c r="I17" s="35"/>
      <c r="J17" s="126"/>
    </row>
    <row r="18" spans="1:10" x14ac:dyDescent="0.2">
      <c r="A18" s="220"/>
      <c r="B18" s="121"/>
      <c r="C18" s="122"/>
      <c r="D18" s="11"/>
      <c r="E18" s="201"/>
      <c r="F18" s="191"/>
      <c r="G18" s="192"/>
      <c r="H18" s="193"/>
      <c r="I18" s="11"/>
      <c r="J18" s="125"/>
    </row>
    <row r="19" spans="1:10" x14ac:dyDescent="0.2">
      <c r="A19" s="198"/>
      <c r="B19" s="199"/>
      <c r="C19" s="200"/>
      <c r="D19" s="11"/>
      <c r="E19" s="202"/>
      <c r="F19" s="203"/>
      <c r="G19" s="204"/>
      <c r="H19" s="205"/>
      <c r="I19" s="35"/>
      <c r="J19" s="126"/>
    </row>
    <row r="20" spans="1:10" x14ac:dyDescent="0.2">
      <c r="A20" s="220"/>
      <c r="B20" s="121"/>
      <c r="C20" s="122"/>
      <c r="D20" s="11"/>
      <c r="E20" s="201"/>
      <c r="F20" s="191"/>
      <c r="G20" s="192"/>
      <c r="H20" s="193"/>
      <c r="I20" s="11"/>
      <c r="J20" s="125"/>
    </row>
    <row r="21" spans="1:10" x14ac:dyDescent="0.2">
      <c r="A21" s="198"/>
      <c r="B21" s="199"/>
      <c r="C21" s="200"/>
      <c r="D21" s="11"/>
      <c r="E21" s="202"/>
      <c r="F21" s="203"/>
      <c r="G21" s="204"/>
      <c r="H21" s="205"/>
      <c r="I21" s="35"/>
      <c r="J21" s="126"/>
    </row>
    <row r="22" spans="1:10" x14ac:dyDescent="0.2">
      <c r="A22" s="220"/>
      <c r="B22" s="121"/>
      <c r="C22" s="122"/>
      <c r="D22" s="11"/>
      <c r="E22" s="201"/>
      <c r="F22" s="191"/>
      <c r="G22" s="192"/>
      <c r="H22" s="193"/>
      <c r="I22" s="11"/>
      <c r="J22" s="125"/>
    </row>
    <row r="23" spans="1:10" x14ac:dyDescent="0.2">
      <c r="A23" s="198"/>
      <c r="B23" s="199"/>
      <c r="C23" s="200"/>
      <c r="D23" s="11"/>
      <c r="E23" s="202"/>
      <c r="F23" s="203"/>
      <c r="G23" s="204"/>
      <c r="H23" s="205"/>
      <c r="I23" s="35"/>
      <c r="J23" s="126"/>
    </row>
    <row r="24" spans="1:10" x14ac:dyDescent="0.2">
      <c r="A24" s="220"/>
      <c r="B24" s="121"/>
      <c r="C24" s="122"/>
      <c r="D24" s="11"/>
      <c r="E24" s="201"/>
      <c r="F24" s="191"/>
      <c r="G24" s="192"/>
      <c r="H24" s="193"/>
      <c r="I24" s="11"/>
      <c r="J24" s="125"/>
    </row>
    <row r="25" spans="1:10" x14ac:dyDescent="0.2">
      <c r="A25" s="198"/>
      <c r="B25" s="199"/>
      <c r="C25" s="200"/>
      <c r="D25" s="11"/>
      <c r="E25" s="202"/>
      <c r="F25" s="203"/>
      <c r="G25" s="204"/>
      <c r="H25" s="205"/>
      <c r="I25" s="35"/>
      <c r="J25" s="126"/>
    </row>
    <row r="26" spans="1:10" x14ac:dyDescent="0.2">
      <c r="A26" s="220"/>
      <c r="B26" s="121"/>
      <c r="C26" s="122"/>
      <c r="D26" s="11"/>
      <c r="E26" s="201"/>
      <c r="F26" s="191"/>
      <c r="G26" s="192"/>
      <c r="H26" s="193"/>
      <c r="I26" s="11"/>
      <c r="J26" s="125"/>
    </row>
    <row r="27" spans="1:10" x14ac:dyDescent="0.2">
      <c r="A27" s="198"/>
      <c r="B27" s="199"/>
      <c r="C27" s="200"/>
      <c r="D27" s="11"/>
      <c r="E27" s="202"/>
      <c r="F27" s="203"/>
      <c r="G27" s="204"/>
      <c r="H27" s="205"/>
      <c r="I27" s="35"/>
      <c r="J27" s="126"/>
    </row>
    <row r="28" spans="1:10" x14ac:dyDescent="0.2">
      <c r="A28" s="38"/>
      <c r="B28" s="121"/>
      <c r="C28" s="122"/>
      <c r="D28" s="11"/>
      <c r="E28" s="201"/>
      <c r="F28" s="191"/>
      <c r="G28" s="192"/>
      <c r="H28" s="193"/>
      <c r="I28" s="11"/>
      <c r="J28" s="125"/>
    </row>
    <row r="29" spans="1:10" x14ac:dyDescent="0.2">
      <c r="A29" s="39"/>
      <c r="B29" s="199"/>
      <c r="C29" s="200"/>
      <c r="D29" s="11"/>
      <c r="E29" s="202"/>
      <c r="F29" s="203"/>
      <c r="G29" s="204"/>
      <c r="H29" s="205"/>
      <c r="I29" s="35"/>
      <c r="J29" s="126"/>
    </row>
    <row r="30" spans="1:10" x14ac:dyDescent="0.2">
      <c r="A30" s="38"/>
      <c r="B30" s="121"/>
      <c r="C30" s="122"/>
      <c r="D30" s="11"/>
      <c r="E30" s="201"/>
      <c r="F30" s="191"/>
      <c r="G30" s="192"/>
      <c r="H30" s="193"/>
      <c r="I30" s="11"/>
      <c r="J30" s="125"/>
    </row>
    <row r="31" spans="1:10" x14ac:dyDescent="0.2">
      <c r="A31" s="39"/>
      <c r="B31" s="199"/>
      <c r="C31" s="200"/>
      <c r="D31" s="11"/>
      <c r="E31" s="202"/>
      <c r="F31" s="203"/>
      <c r="G31" s="204"/>
      <c r="H31" s="205"/>
      <c r="I31" s="35"/>
      <c r="J31" s="126"/>
    </row>
    <row r="32" spans="1:10" x14ac:dyDescent="0.2">
      <c r="A32" s="38"/>
      <c r="B32" s="119"/>
      <c r="C32" s="120"/>
      <c r="D32" s="11"/>
      <c r="E32" s="201"/>
      <c r="F32" s="191"/>
      <c r="G32" s="192"/>
      <c r="H32" s="193"/>
      <c r="I32" s="11"/>
      <c r="J32" s="125"/>
    </row>
    <row r="33" spans="1:10" x14ac:dyDescent="0.2">
      <c r="A33" s="39"/>
      <c r="B33" s="199"/>
      <c r="C33" s="200"/>
      <c r="D33" s="11"/>
      <c r="E33" s="202"/>
      <c r="F33" s="203"/>
      <c r="G33" s="204"/>
      <c r="H33" s="205"/>
      <c r="I33" s="35"/>
      <c r="J33" s="126"/>
    </row>
  </sheetData>
  <mergeCells count="77">
    <mergeCell ref="B1:C1"/>
    <mergeCell ref="F1:H1"/>
    <mergeCell ref="A2:A3"/>
    <mergeCell ref="E2:E3"/>
    <mergeCell ref="F2:H2"/>
    <mergeCell ref="A4:A5"/>
    <mergeCell ref="E4:E5"/>
    <mergeCell ref="F4:H4"/>
    <mergeCell ref="B3:C3"/>
    <mergeCell ref="F3:H3"/>
    <mergeCell ref="B5:C5"/>
    <mergeCell ref="F5:H5"/>
    <mergeCell ref="A6:A7"/>
    <mergeCell ref="E6:E7"/>
    <mergeCell ref="F6:H6"/>
    <mergeCell ref="B7:C7"/>
    <mergeCell ref="F7:H7"/>
    <mergeCell ref="A8:A9"/>
    <mergeCell ref="E8:E9"/>
    <mergeCell ref="F8:H8"/>
    <mergeCell ref="B9:C9"/>
    <mergeCell ref="F9:H9"/>
    <mergeCell ref="A10:A11"/>
    <mergeCell ref="E10:E11"/>
    <mergeCell ref="F10:H10"/>
    <mergeCell ref="B11:C11"/>
    <mergeCell ref="F11:H11"/>
    <mergeCell ref="A12:A13"/>
    <mergeCell ref="E12:E13"/>
    <mergeCell ref="F12:H12"/>
    <mergeCell ref="B13:C13"/>
    <mergeCell ref="F13:H13"/>
    <mergeCell ref="E30:E31"/>
    <mergeCell ref="B31:C31"/>
    <mergeCell ref="F30:H30"/>
    <mergeCell ref="E16:E17"/>
    <mergeCell ref="F16:H16"/>
    <mergeCell ref="B17:C17"/>
    <mergeCell ref="F17:H17"/>
    <mergeCell ref="A22:A23"/>
    <mergeCell ref="F22:H22"/>
    <mergeCell ref="A26:A27"/>
    <mergeCell ref="F26:H26"/>
    <mergeCell ref="F25:H25"/>
    <mergeCell ref="E24:E25"/>
    <mergeCell ref="B25:C25"/>
    <mergeCell ref="A24:A25"/>
    <mergeCell ref="F24:H24"/>
    <mergeCell ref="F27:H27"/>
    <mergeCell ref="E26:E27"/>
    <mergeCell ref="B27:C27"/>
    <mergeCell ref="A18:A19"/>
    <mergeCell ref="F21:H21"/>
    <mergeCell ref="E20:E21"/>
    <mergeCell ref="B21:C21"/>
    <mergeCell ref="A20:A21"/>
    <mergeCell ref="F20:H20"/>
    <mergeCell ref="E18:E19"/>
    <mergeCell ref="F18:H18"/>
    <mergeCell ref="B19:C19"/>
    <mergeCell ref="F19:H19"/>
    <mergeCell ref="E32:E33"/>
    <mergeCell ref="F32:H32"/>
    <mergeCell ref="B33:C33"/>
    <mergeCell ref="F33:H33"/>
    <mergeCell ref="E14:E15"/>
    <mergeCell ref="F14:H14"/>
    <mergeCell ref="B15:C15"/>
    <mergeCell ref="F15:H15"/>
    <mergeCell ref="E28:E29"/>
    <mergeCell ref="F28:H28"/>
    <mergeCell ref="B29:C29"/>
    <mergeCell ref="F29:H29"/>
    <mergeCell ref="F23:H23"/>
    <mergeCell ref="E22:E23"/>
    <mergeCell ref="B23:C23"/>
    <mergeCell ref="F31:H31"/>
  </mergeCells>
  <phoneticPr fontId="1"/>
  <pageMargins left="0.7" right="0.7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L47"/>
  <sheetViews>
    <sheetView zoomScale="91" zoomScaleNormal="91" workbookViewId="0">
      <selection activeCell="B1" sqref="B1"/>
    </sheetView>
  </sheetViews>
  <sheetFormatPr defaultRowHeight="13" x14ac:dyDescent="0.2"/>
  <cols>
    <col min="1" max="1" width="12" customWidth="1"/>
    <col min="2" max="2" width="7.36328125" customWidth="1"/>
    <col min="3" max="3" width="7.1796875" customWidth="1"/>
    <col min="4" max="5" width="6.6328125" customWidth="1"/>
    <col min="7" max="7" width="9.81640625" customWidth="1"/>
    <col min="8" max="8" width="17.36328125" customWidth="1"/>
    <col min="9" max="9" width="10.36328125" customWidth="1"/>
    <col min="10" max="10" width="10.1796875" customWidth="1"/>
  </cols>
  <sheetData>
    <row r="1" spans="1:12" ht="25.5" x14ac:dyDescent="0.35">
      <c r="C1" s="444" t="s">
        <v>55</v>
      </c>
      <c r="D1" s="444"/>
      <c r="E1" s="444"/>
      <c r="F1" s="444"/>
      <c r="G1" s="444"/>
      <c r="H1" s="444"/>
    </row>
    <row r="2" spans="1:12" ht="13.5" thickBot="1" x14ac:dyDescent="0.25"/>
    <row r="3" spans="1:12" ht="39" customHeight="1" x14ac:dyDescent="0.2">
      <c r="A3" s="450" t="s">
        <v>10</v>
      </c>
      <c r="B3" s="451"/>
      <c r="C3" s="451"/>
      <c r="D3" s="451"/>
      <c r="E3" s="451"/>
      <c r="F3" s="452"/>
      <c r="G3" s="456" t="s">
        <v>0</v>
      </c>
      <c r="H3" s="459" t="s">
        <v>110</v>
      </c>
      <c r="I3" s="460"/>
      <c r="J3" s="461"/>
      <c r="K3" s="8"/>
      <c r="L3" s="8"/>
    </row>
    <row r="4" spans="1:12" ht="19.5" customHeight="1" x14ac:dyDescent="0.2">
      <c r="A4" s="453"/>
      <c r="B4" s="454"/>
      <c r="C4" s="454"/>
      <c r="D4" s="454"/>
      <c r="E4" s="454"/>
      <c r="F4" s="455"/>
      <c r="G4" s="382"/>
      <c r="H4" s="462"/>
      <c r="I4" s="463"/>
      <c r="J4" s="464"/>
    </row>
    <row r="5" spans="1:12" ht="18" customHeight="1" x14ac:dyDescent="0.2">
      <c r="A5" s="20" t="s">
        <v>57</v>
      </c>
      <c r="B5" s="209"/>
      <c r="C5" s="210"/>
      <c r="D5" s="210"/>
      <c r="E5" s="210"/>
      <c r="F5" s="237"/>
      <c r="G5" s="18" t="s">
        <v>56</v>
      </c>
      <c r="H5" s="209" t="s">
        <v>61</v>
      </c>
      <c r="I5" s="448"/>
      <c r="J5" s="449"/>
    </row>
    <row r="6" spans="1:12" ht="18" customHeight="1" x14ac:dyDescent="0.2">
      <c r="A6" s="20" t="s">
        <v>58</v>
      </c>
      <c r="B6" s="445" t="s">
        <v>62</v>
      </c>
      <c r="C6" s="446"/>
      <c r="D6" s="446"/>
      <c r="E6" s="446"/>
      <c r="F6" s="447"/>
      <c r="G6" s="19" t="s">
        <v>59</v>
      </c>
      <c r="H6" s="445"/>
      <c r="I6" s="457"/>
      <c r="J6" s="458"/>
    </row>
    <row r="7" spans="1:12" ht="18" customHeight="1" x14ac:dyDescent="0.2">
      <c r="A7" s="21" t="s">
        <v>60</v>
      </c>
      <c r="B7" s="209"/>
      <c r="C7" s="448"/>
      <c r="D7" s="448"/>
      <c r="E7" s="448"/>
      <c r="F7" s="448"/>
      <c r="G7" s="448"/>
      <c r="H7" s="448"/>
      <c r="I7" s="448"/>
      <c r="J7" s="449"/>
    </row>
    <row r="8" spans="1:12" ht="18" customHeight="1" x14ac:dyDescent="0.2">
      <c r="A8" s="22" t="s">
        <v>63</v>
      </c>
      <c r="B8" s="485"/>
      <c r="C8" s="477"/>
      <c r="D8" s="477"/>
      <c r="E8" s="477"/>
      <c r="F8" s="477"/>
      <c r="G8" s="477"/>
      <c r="H8" s="477"/>
      <c r="I8" s="477"/>
      <c r="J8" s="478"/>
    </row>
    <row r="9" spans="1:12" ht="18" customHeight="1" x14ac:dyDescent="0.2">
      <c r="A9" s="13" t="s">
        <v>64</v>
      </c>
      <c r="B9" s="207"/>
      <c r="C9" s="486"/>
      <c r="D9" s="486"/>
      <c r="E9" s="486"/>
      <c r="F9" s="486"/>
      <c r="G9" s="486"/>
      <c r="H9" s="486"/>
      <c r="I9" s="486"/>
      <c r="J9" s="487"/>
    </row>
    <row r="10" spans="1:12" ht="18" customHeight="1" x14ac:dyDescent="0.2">
      <c r="A10" s="13"/>
      <c r="B10" s="207"/>
      <c r="C10" s="486"/>
      <c r="D10" s="486"/>
      <c r="E10" s="486"/>
      <c r="F10" s="486"/>
      <c r="G10" s="486"/>
      <c r="H10" s="486"/>
      <c r="I10" s="486"/>
      <c r="J10" s="487"/>
    </row>
    <row r="11" spans="1:12" ht="18" customHeight="1" x14ac:dyDescent="0.2">
      <c r="A11" s="23"/>
      <c r="B11" s="482"/>
      <c r="C11" s="483"/>
      <c r="D11" s="483"/>
      <c r="E11" s="483"/>
      <c r="F11" s="483"/>
      <c r="G11" s="483"/>
      <c r="H11" s="483"/>
      <c r="I11" s="483"/>
      <c r="J11" s="484"/>
    </row>
    <row r="12" spans="1:12" ht="18" customHeight="1" x14ac:dyDescent="0.2">
      <c r="A12" s="476" t="s">
        <v>65</v>
      </c>
      <c r="B12" s="477"/>
      <c r="C12" s="477"/>
      <c r="D12" s="477"/>
      <c r="E12" s="477"/>
      <c r="F12" s="488"/>
      <c r="G12" s="489" t="s">
        <v>66</v>
      </c>
      <c r="H12" s="490"/>
      <c r="I12" s="490"/>
      <c r="J12" s="491"/>
    </row>
    <row r="13" spans="1:12" ht="18" customHeight="1" x14ac:dyDescent="0.2">
      <c r="A13" s="465"/>
      <c r="B13" s="466"/>
      <c r="C13" s="466"/>
      <c r="D13" s="466"/>
      <c r="E13" s="466"/>
      <c r="F13" s="474"/>
      <c r="G13" s="475"/>
      <c r="H13" s="466"/>
      <c r="I13" s="466"/>
      <c r="J13" s="467"/>
    </row>
    <row r="14" spans="1:12" ht="18" customHeight="1" x14ac:dyDescent="0.2">
      <c r="A14" s="465"/>
      <c r="B14" s="466"/>
      <c r="C14" s="466"/>
      <c r="D14" s="466"/>
      <c r="E14" s="466"/>
      <c r="F14" s="474"/>
      <c r="G14" s="475"/>
      <c r="H14" s="466"/>
      <c r="I14" s="466"/>
      <c r="J14" s="467"/>
    </row>
    <row r="15" spans="1:12" ht="18" customHeight="1" x14ac:dyDescent="0.2">
      <c r="A15" s="465"/>
      <c r="B15" s="466"/>
      <c r="C15" s="466"/>
      <c r="D15" s="466"/>
      <c r="E15" s="466"/>
      <c r="F15" s="474"/>
      <c r="G15" s="475"/>
      <c r="H15" s="466"/>
      <c r="I15" s="466"/>
      <c r="J15" s="467"/>
    </row>
    <row r="16" spans="1:12" ht="18" customHeight="1" x14ac:dyDescent="0.2">
      <c r="A16" s="465"/>
      <c r="B16" s="466"/>
      <c r="C16" s="466"/>
      <c r="D16" s="466"/>
      <c r="E16" s="466"/>
      <c r="F16" s="474"/>
      <c r="G16" s="475"/>
      <c r="H16" s="466"/>
      <c r="I16" s="466"/>
      <c r="J16" s="467"/>
    </row>
    <row r="17" spans="1:10" ht="18" customHeight="1" x14ac:dyDescent="0.2">
      <c r="A17" s="465"/>
      <c r="B17" s="466"/>
      <c r="C17" s="466"/>
      <c r="D17" s="466"/>
      <c r="E17" s="466"/>
      <c r="F17" s="474"/>
      <c r="G17" s="475"/>
      <c r="H17" s="466"/>
      <c r="I17" s="466"/>
      <c r="J17" s="467"/>
    </row>
    <row r="18" spans="1:10" ht="18" customHeight="1" x14ac:dyDescent="0.2">
      <c r="A18" s="465"/>
      <c r="B18" s="466"/>
      <c r="C18" s="466"/>
      <c r="D18" s="466"/>
      <c r="E18" s="466"/>
      <c r="F18" s="474"/>
      <c r="G18" s="475"/>
      <c r="H18" s="466"/>
      <c r="I18" s="466"/>
      <c r="J18" s="467"/>
    </row>
    <row r="19" spans="1:10" ht="18" customHeight="1" x14ac:dyDescent="0.2">
      <c r="A19" s="476" t="s">
        <v>109</v>
      </c>
      <c r="B19" s="477"/>
      <c r="C19" s="477"/>
      <c r="D19" s="477"/>
      <c r="E19" s="477"/>
      <c r="F19" s="477"/>
      <c r="G19" s="477"/>
      <c r="H19" s="477"/>
      <c r="I19" s="477"/>
      <c r="J19" s="478"/>
    </row>
    <row r="20" spans="1:10" ht="18" customHeight="1" x14ac:dyDescent="0.2">
      <c r="A20" s="465"/>
      <c r="B20" s="466"/>
      <c r="C20" s="466"/>
      <c r="D20" s="466"/>
      <c r="E20" s="466"/>
      <c r="F20" s="466"/>
      <c r="G20" s="466"/>
      <c r="H20" s="466"/>
      <c r="I20" s="466"/>
      <c r="J20" s="467"/>
    </row>
    <row r="21" spans="1:10" ht="18" customHeight="1" x14ac:dyDescent="0.2">
      <c r="A21" s="476" t="s">
        <v>108</v>
      </c>
      <c r="B21" s="477"/>
      <c r="C21" s="477"/>
      <c r="D21" s="477"/>
      <c r="E21" s="477"/>
      <c r="F21" s="477"/>
      <c r="G21" s="477"/>
      <c r="H21" s="477"/>
      <c r="I21" s="477"/>
      <c r="J21" s="478"/>
    </row>
    <row r="22" spans="1:10" ht="18" customHeight="1" x14ac:dyDescent="0.2">
      <c r="A22" s="465"/>
      <c r="B22" s="466"/>
      <c r="C22" s="466"/>
      <c r="D22" s="466"/>
      <c r="E22" s="466"/>
      <c r="F22" s="466"/>
      <c r="G22" s="466"/>
      <c r="H22" s="466"/>
      <c r="I22" s="466"/>
      <c r="J22" s="467"/>
    </row>
    <row r="23" spans="1:10" ht="18" customHeight="1" x14ac:dyDescent="0.2">
      <c r="A23" s="468"/>
      <c r="B23" s="469"/>
      <c r="C23" s="469"/>
      <c r="D23" s="469"/>
      <c r="E23" s="469"/>
      <c r="F23" s="469"/>
      <c r="G23" s="469"/>
      <c r="H23" s="469"/>
      <c r="I23" s="469"/>
      <c r="J23" s="470"/>
    </row>
    <row r="24" spans="1:10" ht="18" customHeight="1" x14ac:dyDescent="0.2">
      <c r="A24" s="476" t="s">
        <v>67</v>
      </c>
      <c r="B24" s="477"/>
      <c r="C24" s="477"/>
      <c r="D24" s="477"/>
      <c r="E24" s="477"/>
      <c r="F24" s="477"/>
      <c r="G24" s="477"/>
      <c r="H24" s="477"/>
      <c r="I24" s="477"/>
      <c r="J24" s="478"/>
    </row>
    <row r="25" spans="1:10" ht="18" customHeight="1" x14ac:dyDescent="0.2">
      <c r="A25" s="465"/>
      <c r="B25" s="466"/>
      <c r="C25" s="466"/>
      <c r="D25" s="466"/>
      <c r="E25" s="466"/>
      <c r="F25" s="466"/>
      <c r="G25" s="466"/>
      <c r="H25" s="466"/>
      <c r="I25" s="466"/>
      <c r="J25" s="467"/>
    </row>
    <row r="26" spans="1:10" ht="18" customHeight="1" x14ac:dyDescent="0.2">
      <c r="A26" s="465"/>
      <c r="B26" s="466"/>
      <c r="C26" s="466"/>
      <c r="D26" s="466"/>
      <c r="E26" s="466"/>
      <c r="F26" s="466"/>
      <c r="G26" s="466"/>
      <c r="H26" s="466"/>
      <c r="I26" s="466"/>
      <c r="J26" s="467"/>
    </row>
    <row r="27" spans="1:10" ht="18" customHeight="1" x14ac:dyDescent="0.2">
      <c r="A27" s="465"/>
      <c r="B27" s="466"/>
      <c r="C27" s="466"/>
      <c r="D27" s="466"/>
      <c r="E27" s="466"/>
      <c r="F27" s="466"/>
      <c r="G27" s="466"/>
      <c r="H27" s="466"/>
      <c r="I27" s="466"/>
      <c r="J27" s="467"/>
    </row>
    <row r="28" spans="1:10" ht="18" customHeight="1" x14ac:dyDescent="0.2">
      <c r="A28" s="468"/>
      <c r="B28" s="469"/>
      <c r="C28" s="469"/>
      <c r="D28" s="469"/>
      <c r="E28" s="469"/>
      <c r="F28" s="469"/>
      <c r="G28" s="469"/>
      <c r="H28" s="469"/>
      <c r="I28" s="469"/>
      <c r="J28" s="470"/>
    </row>
    <row r="29" spans="1:10" ht="18" customHeight="1" x14ac:dyDescent="0.2">
      <c r="A29" s="476" t="s">
        <v>68</v>
      </c>
      <c r="B29" s="477"/>
      <c r="C29" s="477"/>
      <c r="D29" s="477"/>
      <c r="E29" s="477"/>
      <c r="F29" s="477"/>
      <c r="G29" s="477"/>
      <c r="H29" s="477"/>
      <c r="I29" s="477"/>
      <c r="J29" s="478"/>
    </row>
    <row r="30" spans="1:10" ht="18" customHeight="1" x14ac:dyDescent="0.2">
      <c r="A30" s="465"/>
      <c r="B30" s="466"/>
      <c r="C30" s="466"/>
      <c r="D30" s="466"/>
      <c r="E30" s="466"/>
      <c r="F30" s="466"/>
      <c r="G30" s="466"/>
      <c r="H30" s="466"/>
      <c r="I30" s="466"/>
      <c r="J30" s="467"/>
    </row>
    <row r="31" spans="1:10" ht="18" customHeight="1" x14ac:dyDescent="0.2">
      <c r="A31" s="465"/>
      <c r="B31" s="466"/>
      <c r="C31" s="466"/>
      <c r="D31" s="466"/>
      <c r="E31" s="466"/>
      <c r="F31" s="466"/>
      <c r="G31" s="466"/>
      <c r="H31" s="466"/>
      <c r="I31" s="466"/>
      <c r="J31" s="467"/>
    </row>
    <row r="32" spans="1:10" ht="18" customHeight="1" x14ac:dyDescent="0.2">
      <c r="A32" s="468"/>
      <c r="B32" s="469"/>
      <c r="C32" s="469"/>
      <c r="D32" s="469"/>
      <c r="E32" s="469"/>
      <c r="F32" s="469"/>
      <c r="G32" s="469"/>
      <c r="H32" s="469"/>
      <c r="I32" s="469"/>
      <c r="J32" s="470"/>
    </row>
    <row r="33" spans="1:10" ht="18" customHeight="1" x14ac:dyDescent="0.2">
      <c r="A33" s="476" t="s">
        <v>69</v>
      </c>
      <c r="B33" s="477"/>
      <c r="C33" s="477"/>
      <c r="D33" s="477"/>
      <c r="E33" s="477"/>
      <c r="F33" s="477"/>
      <c r="G33" s="477"/>
      <c r="H33" s="477"/>
      <c r="I33" s="477"/>
      <c r="J33" s="478"/>
    </row>
    <row r="34" spans="1:10" ht="18" customHeight="1" x14ac:dyDescent="0.2">
      <c r="A34" s="465"/>
      <c r="B34" s="466"/>
      <c r="C34" s="466"/>
      <c r="D34" s="466"/>
      <c r="E34" s="466"/>
      <c r="F34" s="466"/>
      <c r="G34" s="466"/>
      <c r="H34" s="466"/>
      <c r="I34" s="466"/>
      <c r="J34" s="467"/>
    </row>
    <row r="35" spans="1:10" ht="18" customHeight="1" x14ac:dyDescent="0.2">
      <c r="A35" s="465"/>
      <c r="B35" s="466"/>
      <c r="C35" s="466"/>
      <c r="D35" s="466"/>
      <c r="E35" s="466"/>
      <c r="F35" s="466"/>
      <c r="G35" s="466"/>
      <c r="H35" s="466"/>
      <c r="I35" s="466"/>
      <c r="J35" s="467"/>
    </row>
    <row r="36" spans="1:10" ht="18" customHeight="1" x14ac:dyDescent="0.2">
      <c r="A36" s="468"/>
      <c r="B36" s="469"/>
      <c r="C36" s="469"/>
      <c r="D36" s="469"/>
      <c r="E36" s="469"/>
      <c r="F36" s="469"/>
      <c r="G36" s="469"/>
      <c r="H36" s="469"/>
      <c r="I36" s="469"/>
      <c r="J36" s="470"/>
    </row>
    <row r="37" spans="1:10" ht="18" customHeight="1" x14ac:dyDescent="0.2">
      <c r="A37" s="476" t="s">
        <v>70</v>
      </c>
      <c r="B37" s="477"/>
      <c r="C37" s="477"/>
      <c r="D37" s="477"/>
      <c r="E37" s="477"/>
      <c r="F37" s="477"/>
      <c r="G37" s="477"/>
      <c r="H37" s="477"/>
      <c r="I37" s="477"/>
      <c r="J37" s="478"/>
    </row>
    <row r="38" spans="1:10" ht="18" customHeight="1" x14ac:dyDescent="0.2">
      <c r="A38" s="465"/>
      <c r="B38" s="466"/>
      <c r="C38" s="466"/>
      <c r="D38" s="466"/>
      <c r="E38" s="466"/>
      <c r="F38" s="466"/>
      <c r="G38" s="466"/>
      <c r="H38" s="466"/>
      <c r="I38" s="466"/>
      <c r="J38" s="467"/>
    </row>
    <row r="39" spans="1:10" ht="18" customHeight="1" x14ac:dyDescent="0.2">
      <c r="A39" s="465"/>
      <c r="B39" s="466"/>
      <c r="C39" s="466"/>
      <c r="D39" s="466"/>
      <c r="E39" s="466"/>
      <c r="F39" s="466"/>
      <c r="G39" s="466"/>
      <c r="H39" s="466"/>
      <c r="I39" s="466"/>
      <c r="J39" s="467"/>
    </row>
    <row r="40" spans="1:10" ht="18" customHeight="1" x14ac:dyDescent="0.2">
      <c r="A40" s="468"/>
      <c r="B40" s="469"/>
      <c r="C40" s="469"/>
      <c r="D40" s="469"/>
      <c r="E40" s="469"/>
      <c r="F40" s="469"/>
      <c r="G40" s="469"/>
      <c r="H40" s="469"/>
      <c r="I40" s="469"/>
      <c r="J40" s="470"/>
    </row>
    <row r="41" spans="1:10" ht="18" customHeight="1" x14ac:dyDescent="0.2">
      <c r="A41" s="471" t="s">
        <v>72</v>
      </c>
      <c r="B41" s="472"/>
      <c r="C41" s="472"/>
      <c r="D41" s="472"/>
      <c r="E41" s="472"/>
      <c r="F41" s="472"/>
      <c r="G41" s="472"/>
      <c r="H41" s="472"/>
      <c r="I41" s="472"/>
      <c r="J41" s="473"/>
    </row>
    <row r="42" spans="1:10" ht="18" customHeight="1" x14ac:dyDescent="0.2">
      <c r="A42" s="465" t="s">
        <v>73</v>
      </c>
      <c r="B42" s="466"/>
      <c r="C42" s="466"/>
      <c r="D42" s="466"/>
      <c r="E42" s="466"/>
      <c r="F42" s="466"/>
      <c r="G42" s="466"/>
      <c r="H42" s="466"/>
      <c r="I42" s="466"/>
      <c r="J42" s="467"/>
    </row>
    <row r="43" spans="1:10" ht="18" customHeight="1" x14ac:dyDescent="0.2">
      <c r="A43" s="465" t="s">
        <v>74</v>
      </c>
      <c r="B43" s="466"/>
      <c r="C43" s="466"/>
      <c r="D43" s="466"/>
      <c r="E43" s="466"/>
      <c r="F43" s="466"/>
      <c r="G43" s="466"/>
      <c r="H43" s="466"/>
      <c r="I43" s="466"/>
      <c r="J43" s="467"/>
    </row>
    <row r="44" spans="1:10" ht="18" customHeight="1" x14ac:dyDescent="0.2">
      <c r="A44" s="465" t="s">
        <v>75</v>
      </c>
      <c r="B44" s="466"/>
      <c r="C44" s="466"/>
      <c r="D44" s="466"/>
      <c r="E44" s="466"/>
      <c r="F44" s="466"/>
      <c r="G44" s="466"/>
      <c r="H44" s="466"/>
      <c r="I44" s="466"/>
      <c r="J44" s="467"/>
    </row>
    <row r="45" spans="1:10" ht="18" customHeight="1" x14ac:dyDescent="0.2">
      <c r="A45" s="465" t="s">
        <v>76</v>
      </c>
      <c r="B45" s="466"/>
      <c r="C45" s="466"/>
      <c r="D45" s="466"/>
      <c r="E45" s="466"/>
      <c r="F45" s="466"/>
      <c r="G45" s="466"/>
      <c r="H45" s="466"/>
      <c r="I45" s="466"/>
      <c r="J45" s="467"/>
    </row>
    <row r="46" spans="1:10" ht="18" customHeight="1" x14ac:dyDescent="0.2">
      <c r="A46" s="465" t="s">
        <v>77</v>
      </c>
      <c r="B46" s="466"/>
      <c r="C46" s="466"/>
      <c r="D46" s="466"/>
      <c r="E46" s="466"/>
      <c r="F46" s="466"/>
      <c r="G46" s="466"/>
      <c r="H46" s="466"/>
      <c r="I46" s="466"/>
      <c r="J46" s="467"/>
    </row>
    <row r="47" spans="1:10" ht="18" customHeight="1" thickBot="1" x14ac:dyDescent="0.25">
      <c r="A47" s="479" t="s">
        <v>71</v>
      </c>
      <c r="B47" s="480"/>
      <c r="C47" s="480"/>
      <c r="D47" s="480"/>
      <c r="E47" s="480"/>
      <c r="F47" s="480"/>
      <c r="G47" s="480"/>
      <c r="H47" s="480"/>
      <c r="I47" s="480"/>
      <c r="J47" s="481"/>
    </row>
  </sheetData>
  <mergeCells count="56">
    <mergeCell ref="B7:J7"/>
    <mergeCell ref="B11:J11"/>
    <mergeCell ref="A20:J20"/>
    <mergeCell ref="A14:F14"/>
    <mergeCell ref="A15:F15"/>
    <mergeCell ref="B8:J8"/>
    <mergeCell ref="B9:J9"/>
    <mergeCell ref="B10:J10"/>
    <mergeCell ref="A12:F12"/>
    <mergeCell ref="G12:J12"/>
    <mergeCell ref="G13:J13"/>
    <mergeCell ref="A13:F13"/>
    <mergeCell ref="G14:J14"/>
    <mergeCell ref="G17:J17"/>
    <mergeCell ref="G15:J15"/>
    <mergeCell ref="A34:J34"/>
    <mergeCell ref="A37:J37"/>
    <mergeCell ref="A35:J35"/>
    <mergeCell ref="A36:J36"/>
    <mergeCell ref="A28:J28"/>
    <mergeCell ref="A33:J33"/>
    <mergeCell ref="A47:J47"/>
    <mergeCell ref="A42:J42"/>
    <mergeCell ref="A43:J43"/>
    <mergeCell ref="A44:J44"/>
    <mergeCell ref="A45:J45"/>
    <mergeCell ref="A46:J46"/>
    <mergeCell ref="A40:J40"/>
    <mergeCell ref="A41:J41"/>
    <mergeCell ref="A16:F16"/>
    <mergeCell ref="A17:F17"/>
    <mergeCell ref="A27:J27"/>
    <mergeCell ref="G18:J18"/>
    <mergeCell ref="A18:F18"/>
    <mergeCell ref="A21:J21"/>
    <mergeCell ref="G16:J16"/>
    <mergeCell ref="A38:J38"/>
    <mergeCell ref="A19:J19"/>
    <mergeCell ref="A39:J39"/>
    <mergeCell ref="A29:J29"/>
    <mergeCell ref="A30:J30"/>
    <mergeCell ref="A24:J24"/>
    <mergeCell ref="A25:J25"/>
    <mergeCell ref="A26:J26"/>
    <mergeCell ref="A31:J31"/>
    <mergeCell ref="A32:J32"/>
    <mergeCell ref="A23:J23"/>
    <mergeCell ref="A22:J22"/>
    <mergeCell ref="C1:H1"/>
    <mergeCell ref="B5:F5"/>
    <mergeCell ref="B6:F6"/>
    <mergeCell ref="H5:J5"/>
    <mergeCell ref="A3:F4"/>
    <mergeCell ref="G3:G4"/>
    <mergeCell ref="H6:J6"/>
    <mergeCell ref="H3:J4"/>
  </mergeCells>
  <phoneticPr fontId="1"/>
  <printOptions horizontalCentered="1" verticalCentered="1"/>
  <pageMargins left="0.39370078740157483" right="0" top="0.17" bottom="0.28000000000000003" header="0.26" footer="0.51181102362204722"/>
  <pageSetup paperSize="9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pageSetUpPr fitToPage="1"/>
  </sheetPr>
  <dimension ref="A1:Z66"/>
  <sheetViews>
    <sheetView workbookViewId="0">
      <pane ySplit="4" topLeftCell="A13" activePane="bottomLeft" state="frozen"/>
      <selection pane="bottomLeft" activeCell="D31" sqref="D31"/>
    </sheetView>
  </sheetViews>
  <sheetFormatPr defaultColWidth="9" defaultRowHeight="13" x14ac:dyDescent="0.2"/>
  <cols>
    <col min="1" max="1" width="21.36328125" style="54" customWidth="1"/>
    <col min="2" max="2" width="6.81640625" style="49" bestFit="1" customWidth="1"/>
    <col min="3" max="3" width="3.36328125" style="54" bestFit="1" customWidth="1"/>
    <col min="4" max="11" width="7.08984375" style="54" customWidth="1"/>
    <col min="12" max="12" width="9.36328125" style="54" bestFit="1" customWidth="1"/>
    <col min="13" max="13" width="9.36328125" style="54" customWidth="1"/>
    <col min="14" max="14" width="19.81640625" style="49" hidden="1" customWidth="1"/>
    <col min="15" max="19" width="0" style="49" hidden="1" customWidth="1"/>
    <col min="20" max="24" width="9" style="49" hidden="1" customWidth="1"/>
    <col min="25" max="25" width="0" style="49" hidden="1" customWidth="1"/>
    <col min="26" max="26" width="10" style="49" hidden="1" customWidth="1"/>
    <col min="27" max="256" width="9" style="49"/>
    <col min="257" max="257" width="20.36328125" style="49" customWidth="1"/>
    <col min="258" max="258" width="6.81640625" style="49" bestFit="1" customWidth="1"/>
    <col min="259" max="259" width="3.36328125" style="49" bestFit="1" customWidth="1"/>
    <col min="260" max="267" width="7.08984375" style="49" customWidth="1"/>
    <col min="268" max="268" width="9.36328125" style="49" bestFit="1" customWidth="1"/>
    <col min="269" max="269" width="9.36328125" style="49" customWidth="1"/>
    <col min="270" max="270" width="19.81640625" style="49" customWidth="1"/>
    <col min="271" max="275" width="9" style="49"/>
    <col min="276" max="281" width="0" style="49" hidden="1" customWidth="1"/>
    <col min="282" max="282" width="10" style="49" bestFit="1" customWidth="1"/>
    <col min="283" max="512" width="9" style="49"/>
    <col min="513" max="513" width="20.36328125" style="49" customWidth="1"/>
    <col min="514" max="514" width="6.81640625" style="49" bestFit="1" customWidth="1"/>
    <col min="515" max="515" width="3.36328125" style="49" bestFit="1" customWidth="1"/>
    <col min="516" max="523" width="7.08984375" style="49" customWidth="1"/>
    <col min="524" max="524" width="9.36328125" style="49" bestFit="1" customWidth="1"/>
    <col min="525" max="525" width="9.36328125" style="49" customWidth="1"/>
    <col min="526" max="526" width="19.81640625" style="49" customWidth="1"/>
    <col min="527" max="531" width="9" style="49"/>
    <col min="532" max="537" width="0" style="49" hidden="1" customWidth="1"/>
    <col min="538" max="538" width="10" style="49" bestFit="1" customWidth="1"/>
    <col min="539" max="768" width="9" style="49"/>
    <col min="769" max="769" width="20.36328125" style="49" customWidth="1"/>
    <col min="770" max="770" width="6.81640625" style="49" bestFit="1" customWidth="1"/>
    <col min="771" max="771" width="3.36328125" style="49" bestFit="1" customWidth="1"/>
    <col min="772" max="779" width="7.08984375" style="49" customWidth="1"/>
    <col min="780" max="780" width="9.36328125" style="49" bestFit="1" customWidth="1"/>
    <col min="781" max="781" width="9.36328125" style="49" customWidth="1"/>
    <col min="782" max="782" width="19.81640625" style="49" customWidth="1"/>
    <col min="783" max="787" width="9" style="49"/>
    <col min="788" max="793" width="0" style="49" hidden="1" customWidth="1"/>
    <col min="794" max="794" width="10" style="49" bestFit="1" customWidth="1"/>
    <col min="795" max="1024" width="9" style="49"/>
    <col min="1025" max="1025" width="20.36328125" style="49" customWidth="1"/>
    <col min="1026" max="1026" width="6.81640625" style="49" bestFit="1" customWidth="1"/>
    <col min="1027" max="1027" width="3.36328125" style="49" bestFit="1" customWidth="1"/>
    <col min="1028" max="1035" width="7.08984375" style="49" customWidth="1"/>
    <col min="1036" max="1036" width="9.36328125" style="49" bestFit="1" customWidth="1"/>
    <col min="1037" max="1037" width="9.36328125" style="49" customWidth="1"/>
    <col min="1038" max="1038" width="19.81640625" style="49" customWidth="1"/>
    <col min="1039" max="1043" width="9" style="49"/>
    <col min="1044" max="1049" width="0" style="49" hidden="1" customWidth="1"/>
    <col min="1050" max="1050" width="10" style="49" bestFit="1" customWidth="1"/>
    <col min="1051" max="1280" width="9" style="49"/>
    <col min="1281" max="1281" width="20.36328125" style="49" customWidth="1"/>
    <col min="1282" max="1282" width="6.81640625" style="49" bestFit="1" customWidth="1"/>
    <col min="1283" max="1283" width="3.36328125" style="49" bestFit="1" customWidth="1"/>
    <col min="1284" max="1291" width="7.08984375" style="49" customWidth="1"/>
    <col min="1292" max="1292" width="9.36328125" style="49" bestFit="1" customWidth="1"/>
    <col min="1293" max="1293" width="9.36328125" style="49" customWidth="1"/>
    <col min="1294" max="1294" width="19.81640625" style="49" customWidth="1"/>
    <col min="1295" max="1299" width="9" style="49"/>
    <col min="1300" max="1305" width="0" style="49" hidden="1" customWidth="1"/>
    <col min="1306" max="1306" width="10" style="49" bestFit="1" customWidth="1"/>
    <col min="1307" max="1536" width="9" style="49"/>
    <col min="1537" max="1537" width="20.36328125" style="49" customWidth="1"/>
    <col min="1538" max="1538" width="6.81640625" style="49" bestFit="1" customWidth="1"/>
    <col min="1539" max="1539" width="3.36328125" style="49" bestFit="1" customWidth="1"/>
    <col min="1540" max="1547" width="7.08984375" style="49" customWidth="1"/>
    <col min="1548" max="1548" width="9.36328125" style="49" bestFit="1" customWidth="1"/>
    <col min="1549" max="1549" width="9.36328125" style="49" customWidth="1"/>
    <col min="1550" max="1550" width="19.81640625" style="49" customWidth="1"/>
    <col min="1551" max="1555" width="9" style="49"/>
    <col min="1556" max="1561" width="0" style="49" hidden="1" customWidth="1"/>
    <col min="1562" max="1562" width="10" style="49" bestFit="1" customWidth="1"/>
    <col min="1563" max="1792" width="9" style="49"/>
    <col min="1793" max="1793" width="20.36328125" style="49" customWidth="1"/>
    <col min="1794" max="1794" width="6.81640625" style="49" bestFit="1" customWidth="1"/>
    <col min="1795" max="1795" width="3.36328125" style="49" bestFit="1" customWidth="1"/>
    <col min="1796" max="1803" width="7.08984375" style="49" customWidth="1"/>
    <col min="1804" max="1804" width="9.36328125" style="49" bestFit="1" customWidth="1"/>
    <col min="1805" max="1805" width="9.36328125" style="49" customWidth="1"/>
    <col min="1806" max="1806" width="19.81640625" style="49" customWidth="1"/>
    <col min="1807" max="1811" width="9" style="49"/>
    <col min="1812" max="1817" width="0" style="49" hidden="1" customWidth="1"/>
    <col min="1818" max="1818" width="10" style="49" bestFit="1" customWidth="1"/>
    <col min="1819" max="2048" width="9" style="49"/>
    <col min="2049" max="2049" width="20.36328125" style="49" customWidth="1"/>
    <col min="2050" max="2050" width="6.81640625" style="49" bestFit="1" customWidth="1"/>
    <col min="2051" max="2051" width="3.36328125" style="49" bestFit="1" customWidth="1"/>
    <col min="2052" max="2059" width="7.08984375" style="49" customWidth="1"/>
    <col min="2060" max="2060" width="9.36328125" style="49" bestFit="1" customWidth="1"/>
    <col min="2061" max="2061" width="9.36328125" style="49" customWidth="1"/>
    <col min="2062" max="2062" width="19.81640625" style="49" customWidth="1"/>
    <col min="2063" max="2067" width="9" style="49"/>
    <col min="2068" max="2073" width="0" style="49" hidden="1" customWidth="1"/>
    <col min="2074" max="2074" width="10" style="49" bestFit="1" customWidth="1"/>
    <col min="2075" max="2304" width="9" style="49"/>
    <col min="2305" max="2305" width="20.36328125" style="49" customWidth="1"/>
    <col min="2306" max="2306" width="6.81640625" style="49" bestFit="1" customWidth="1"/>
    <col min="2307" max="2307" width="3.36328125" style="49" bestFit="1" customWidth="1"/>
    <col min="2308" max="2315" width="7.08984375" style="49" customWidth="1"/>
    <col min="2316" max="2316" width="9.36328125" style="49" bestFit="1" customWidth="1"/>
    <col min="2317" max="2317" width="9.36328125" style="49" customWidth="1"/>
    <col min="2318" max="2318" width="19.81640625" style="49" customWidth="1"/>
    <col min="2319" max="2323" width="9" style="49"/>
    <col min="2324" max="2329" width="0" style="49" hidden="1" customWidth="1"/>
    <col min="2330" max="2330" width="10" style="49" bestFit="1" customWidth="1"/>
    <col min="2331" max="2560" width="9" style="49"/>
    <col min="2561" max="2561" width="20.36328125" style="49" customWidth="1"/>
    <col min="2562" max="2562" width="6.81640625" style="49" bestFit="1" customWidth="1"/>
    <col min="2563" max="2563" width="3.36328125" style="49" bestFit="1" customWidth="1"/>
    <col min="2564" max="2571" width="7.08984375" style="49" customWidth="1"/>
    <col min="2572" max="2572" width="9.36328125" style="49" bestFit="1" customWidth="1"/>
    <col min="2573" max="2573" width="9.36328125" style="49" customWidth="1"/>
    <col min="2574" max="2574" width="19.81640625" style="49" customWidth="1"/>
    <col min="2575" max="2579" width="9" style="49"/>
    <col min="2580" max="2585" width="0" style="49" hidden="1" customWidth="1"/>
    <col min="2586" max="2586" width="10" style="49" bestFit="1" customWidth="1"/>
    <col min="2587" max="2816" width="9" style="49"/>
    <col min="2817" max="2817" width="20.36328125" style="49" customWidth="1"/>
    <col min="2818" max="2818" width="6.81640625" style="49" bestFit="1" customWidth="1"/>
    <col min="2819" max="2819" width="3.36328125" style="49" bestFit="1" customWidth="1"/>
    <col min="2820" max="2827" width="7.08984375" style="49" customWidth="1"/>
    <col min="2828" max="2828" width="9.36328125" style="49" bestFit="1" customWidth="1"/>
    <col min="2829" max="2829" width="9.36328125" style="49" customWidth="1"/>
    <col min="2830" max="2830" width="19.81640625" style="49" customWidth="1"/>
    <col min="2831" max="2835" width="9" style="49"/>
    <col min="2836" max="2841" width="0" style="49" hidden="1" customWidth="1"/>
    <col min="2842" max="2842" width="10" style="49" bestFit="1" customWidth="1"/>
    <col min="2843" max="3072" width="9" style="49"/>
    <col min="3073" max="3073" width="20.36328125" style="49" customWidth="1"/>
    <col min="3074" max="3074" width="6.81640625" style="49" bestFit="1" customWidth="1"/>
    <col min="3075" max="3075" width="3.36328125" style="49" bestFit="1" customWidth="1"/>
    <col min="3076" max="3083" width="7.08984375" style="49" customWidth="1"/>
    <col min="3084" max="3084" width="9.36328125" style="49" bestFit="1" customWidth="1"/>
    <col min="3085" max="3085" width="9.36328125" style="49" customWidth="1"/>
    <col min="3086" max="3086" width="19.81640625" style="49" customWidth="1"/>
    <col min="3087" max="3091" width="9" style="49"/>
    <col min="3092" max="3097" width="0" style="49" hidden="1" customWidth="1"/>
    <col min="3098" max="3098" width="10" style="49" bestFit="1" customWidth="1"/>
    <col min="3099" max="3328" width="9" style="49"/>
    <col min="3329" max="3329" width="20.36328125" style="49" customWidth="1"/>
    <col min="3330" max="3330" width="6.81640625" style="49" bestFit="1" customWidth="1"/>
    <col min="3331" max="3331" width="3.36328125" style="49" bestFit="1" customWidth="1"/>
    <col min="3332" max="3339" width="7.08984375" style="49" customWidth="1"/>
    <col min="3340" max="3340" width="9.36328125" style="49" bestFit="1" customWidth="1"/>
    <col min="3341" max="3341" width="9.36328125" style="49" customWidth="1"/>
    <col min="3342" max="3342" width="19.81640625" style="49" customWidth="1"/>
    <col min="3343" max="3347" width="9" style="49"/>
    <col min="3348" max="3353" width="0" style="49" hidden="1" customWidth="1"/>
    <col min="3354" max="3354" width="10" style="49" bestFit="1" customWidth="1"/>
    <col min="3355" max="3584" width="9" style="49"/>
    <col min="3585" max="3585" width="20.36328125" style="49" customWidth="1"/>
    <col min="3586" max="3586" width="6.81640625" style="49" bestFit="1" customWidth="1"/>
    <col min="3587" max="3587" width="3.36328125" style="49" bestFit="1" customWidth="1"/>
    <col min="3588" max="3595" width="7.08984375" style="49" customWidth="1"/>
    <col min="3596" max="3596" width="9.36328125" style="49" bestFit="1" customWidth="1"/>
    <col min="3597" max="3597" width="9.36328125" style="49" customWidth="1"/>
    <col min="3598" max="3598" width="19.81640625" style="49" customWidth="1"/>
    <col min="3599" max="3603" width="9" style="49"/>
    <col min="3604" max="3609" width="0" style="49" hidden="1" customWidth="1"/>
    <col min="3610" max="3610" width="10" style="49" bestFit="1" customWidth="1"/>
    <col min="3611" max="3840" width="9" style="49"/>
    <col min="3841" max="3841" width="20.36328125" style="49" customWidth="1"/>
    <col min="3842" max="3842" width="6.81640625" style="49" bestFit="1" customWidth="1"/>
    <col min="3843" max="3843" width="3.36328125" style="49" bestFit="1" customWidth="1"/>
    <col min="3844" max="3851" width="7.08984375" style="49" customWidth="1"/>
    <col min="3852" max="3852" width="9.36328125" style="49" bestFit="1" customWidth="1"/>
    <col min="3853" max="3853" width="9.36328125" style="49" customWidth="1"/>
    <col min="3854" max="3854" width="19.81640625" style="49" customWidth="1"/>
    <col min="3855" max="3859" width="9" style="49"/>
    <col min="3860" max="3865" width="0" style="49" hidden="1" customWidth="1"/>
    <col min="3866" max="3866" width="10" style="49" bestFit="1" customWidth="1"/>
    <col min="3867" max="4096" width="9" style="49"/>
    <col min="4097" max="4097" width="20.36328125" style="49" customWidth="1"/>
    <col min="4098" max="4098" width="6.81640625" style="49" bestFit="1" customWidth="1"/>
    <col min="4099" max="4099" width="3.36328125" style="49" bestFit="1" customWidth="1"/>
    <col min="4100" max="4107" width="7.08984375" style="49" customWidth="1"/>
    <col min="4108" max="4108" width="9.36328125" style="49" bestFit="1" customWidth="1"/>
    <col min="4109" max="4109" width="9.36328125" style="49" customWidth="1"/>
    <col min="4110" max="4110" width="19.81640625" style="49" customWidth="1"/>
    <col min="4111" max="4115" width="9" style="49"/>
    <col min="4116" max="4121" width="0" style="49" hidden="1" customWidth="1"/>
    <col min="4122" max="4122" width="10" style="49" bestFit="1" customWidth="1"/>
    <col min="4123" max="4352" width="9" style="49"/>
    <col min="4353" max="4353" width="20.36328125" style="49" customWidth="1"/>
    <col min="4354" max="4354" width="6.81640625" style="49" bestFit="1" customWidth="1"/>
    <col min="4355" max="4355" width="3.36328125" style="49" bestFit="1" customWidth="1"/>
    <col min="4356" max="4363" width="7.08984375" style="49" customWidth="1"/>
    <col min="4364" max="4364" width="9.36328125" style="49" bestFit="1" customWidth="1"/>
    <col min="4365" max="4365" width="9.36328125" style="49" customWidth="1"/>
    <col min="4366" max="4366" width="19.81640625" style="49" customWidth="1"/>
    <col min="4367" max="4371" width="9" style="49"/>
    <col min="4372" max="4377" width="0" style="49" hidden="1" customWidth="1"/>
    <col min="4378" max="4378" width="10" style="49" bestFit="1" customWidth="1"/>
    <col min="4379" max="4608" width="9" style="49"/>
    <col min="4609" max="4609" width="20.36328125" style="49" customWidth="1"/>
    <col min="4610" max="4610" width="6.81640625" style="49" bestFit="1" customWidth="1"/>
    <col min="4611" max="4611" width="3.36328125" style="49" bestFit="1" customWidth="1"/>
    <col min="4612" max="4619" width="7.08984375" style="49" customWidth="1"/>
    <col min="4620" max="4620" width="9.36328125" style="49" bestFit="1" customWidth="1"/>
    <col min="4621" max="4621" width="9.36328125" style="49" customWidth="1"/>
    <col min="4622" max="4622" width="19.81640625" style="49" customWidth="1"/>
    <col min="4623" max="4627" width="9" style="49"/>
    <col min="4628" max="4633" width="0" style="49" hidden="1" customWidth="1"/>
    <col min="4634" max="4634" width="10" style="49" bestFit="1" customWidth="1"/>
    <col min="4635" max="4864" width="9" style="49"/>
    <col min="4865" max="4865" width="20.36328125" style="49" customWidth="1"/>
    <col min="4866" max="4866" width="6.81640625" style="49" bestFit="1" customWidth="1"/>
    <col min="4867" max="4867" width="3.36328125" style="49" bestFit="1" customWidth="1"/>
    <col min="4868" max="4875" width="7.08984375" style="49" customWidth="1"/>
    <col min="4876" max="4876" width="9.36328125" style="49" bestFit="1" customWidth="1"/>
    <col min="4877" max="4877" width="9.36328125" style="49" customWidth="1"/>
    <col min="4878" max="4878" width="19.81640625" style="49" customWidth="1"/>
    <col min="4879" max="4883" width="9" style="49"/>
    <col min="4884" max="4889" width="0" style="49" hidden="1" customWidth="1"/>
    <col min="4890" max="4890" width="10" style="49" bestFit="1" customWidth="1"/>
    <col min="4891" max="5120" width="9" style="49"/>
    <col min="5121" max="5121" width="20.36328125" style="49" customWidth="1"/>
    <col min="5122" max="5122" width="6.81640625" style="49" bestFit="1" customWidth="1"/>
    <col min="5123" max="5123" width="3.36328125" style="49" bestFit="1" customWidth="1"/>
    <col min="5124" max="5131" width="7.08984375" style="49" customWidth="1"/>
    <col min="5132" max="5132" width="9.36328125" style="49" bestFit="1" customWidth="1"/>
    <col min="5133" max="5133" width="9.36328125" style="49" customWidth="1"/>
    <col min="5134" max="5134" width="19.81640625" style="49" customWidth="1"/>
    <col min="5135" max="5139" width="9" style="49"/>
    <col min="5140" max="5145" width="0" style="49" hidden="1" customWidth="1"/>
    <col min="5146" max="5146" width="10" style="49" bestFit="1" customWidth="1"/>
    <col min="5147" max="5376" width="9" style="49"/>
    <col min="5377" max="5377" width="20.36328125" style="49" customWidth="1"/>
    <col min="5378" max="5378" width="6.81640625" style="49" bestFit="1" customWidth="1"/>
    <col min="5379" max="5379" width="3.36328125" style="49" bestFit="1" customWidth="1"/>
    <col min="5380" max="5387" width="7.08984375" style="49" customWidth="1"/>
    <col min="5388" max="5388" width="9.36328125" style="49" bestFit="1" customWidth="1"/>
    <col min="5389" max="5389" width="9.36328125" style="49" customWidth="1"/>
    <col min="5390" max="5390" width="19.81640625" style="49" customWidth="1"/>
    <col min="5391" max="5395" width="9" style="49"/>
    <col min="5396" max="5401" width="0" style="49" hidden="1" customWidth="1"/>
    <col min="5402" max="5402" width="10" style="49" bestFit="1" customWidth="1"/>
    <col min="5403" max="5632" width="9" style="49"/>
    <col min="5633" max="5633" width="20.36328125" style="49" customWidth="1"/>
    <col min="5634" max="5634" width="6.81640625" style="49" bestFit="1" customWidth="1"/>
    <col min="5635" max="5635" width="3.36328125" style="49" bestFit="1" customWidth="1"/>
    <col min="5636" max="5643" width="7.08984375" style="49" customWidth="1"/>
    <col min="5644" max="5644" width="9.36328125" style="49" bestFit="1" customWidth="1"/>
    <col min="5645" max="5645" width="9.36328125" style="49" customWidth="1"/>
    <col min="5646" max="5646" width="19.81640625" style="49" customWidth="1"/>
    <col min="5647" max="5651" width="9" style="49"/>
    <col min="5652" max="5657" width="0" style="49" hidden="1" customWidth="1"/>
    <col min="5658" max="5658" width="10" style="49" bestFit="1" customWidth="1"/>
    <col min="5659" max="5888" width="9" style="49"/>
    <col min="5889" max="5889" width="20.36328125" style="49" customWidth="1"/>
    <col min="5890" max="5890" width="6.81640625" style="49" bestFit="1" customWidth="1"/>
    <col min="5891" max="5891" width="3.36328125" style="49" bestFit="1" customWidth="1"/>
    <col min="5892" max="5899" width="7.08984375" style="49" customWidth="1"/>
    <col min="5900" max="5900" width="9.36328125" style="49" bestFit="1" customWidth="1"/>
    <col min="5901" max="5901" width="9.36328125" style="49" customWidth="1"/>
    <col min="5902" max="5902" width="19.81640625" style="49" customWidth="1"/>
    <col min="5903" max="5907" width="9" style="49"/>
    <col min="5908" max="5913" width="0" style="49" hidden="1" customWidth="1"/>
    <col min="5914" max="5914" width="10" style="49" bestFit="1" customWidth="1"/>
    <col min="5915" max="6144" width="9" style="49"/>
    <col min="6145" max="6145" width="20.36328125" style="49" customWidth="1"/>
    <col min="6146" max="6146" width="6.81640625" style="49" bestFit="1" customWidth="1"/>
    <col min="6147" max="6147" width="3.36328125" style="49" bestFit="1" customWidth="1"/>
    <col min="6148" max="6155" width="7.08984375" style="49" customWidth="1"/>
    <col min="6156" max="6156" width="9.36328125" style="49" bestFit="1" customWidth="1"/>
    <col min="6157" max="6157" width="9.36328125" style="49" customWidth="1"/>
    <col min="6158" max="6158" width="19.81640625" style="49" customWidth="1"/>
    <col min="6159" max="6163" width="9" style="49"/>
    <col min="6164" max="6169" width="0" style="49" hidden="1" customWidth="1"/>
    <col min="6170" max="6170" width="10" style="49" bestFit="1" customWidth="1"/>
    <col min="6171" max="6400" width="9" style="49"/>
    <col min="6401" max="6401" width="20.36328125" style="49" customWidth="1"/>
    <col min="6402" max="6402" width="6.81640625" style="49" bestFit="1" customWidth="1"/>
    <col min="6403" max="6403" width="3.36328125" style="49" bestFit="1" customWidth="1"/>
    <col min="6404" max="6411" width="7.08984375" style="49" customWidth="1"/>
    <col min="6412" max="6412" width="9.36328125" style="49" bestFit="1" customWidth="1"/>
    <col min="6413" max="6413" width="9.36328125" style="49" customWidth="1"/>
    <col min="6414" max="6414" width="19.81640625" style="49" customWidth="1"/>
    <col min="6415" max="6419" width="9" style="49"/>
    <col min="6420" max="6425" width="0" style="49" hidden="1" customWidth="1"/>
    <col min="6426" max="6426" width="10" style="49" bestFit="1" customWidth="1"/>
    <col min="6427" max="6656" width="9" style="49"/>
    <col min="6657" max="6657" width="20.36328125" style="49" customWidth="1"/>
    <col min="6658" max="6658" width="6.81640625" style="49" bestFit="1" customWidth="1"/>
    <col min="6659" max="6659" width="3.36328125" style="49" bestFit="1" customWidth="1"/>
    <col min="6660" max="6667" width="7.08984375" style="49" customWidth="1"/>
    <col min="6668" max="6668" width="9.36328125" style="49" bestFit="1" customWidth="1"/>
    <col min="6669" max="6669" width="9.36328125" style="49" customWidth="1"/>
    <col min="6670" max="6670" width="19.81640625" style="49" customWidth="1"/>
    <col min="6671" max="6675" width="9" style="49"/>
    <col min="6676" max="6681" width="0" style="49" hidden="1" customWidth="1"/>
    <col min="6682" max="6682" width="10" style="49" bestFit="1" customWidth="1"/>
    <col min="6683" max="6912" width="9" style="49"/>
    <col min="6913" max="6913" width="20.36328125" style="49" customWidth="1"/>
    <col min="6914" max="6914" width="6.81640625" style="49" bestFit="1" customWidth="1"/>
    <col min="6915" max="6915" width="3.36328125" style="49" bestFit="1" customWidth="1"/>
    <col min="6916" max="6923" width="7.08984375" style="49" customWidth="1"/>
    <col min="6924" max="6924" width="9.36328125" style="49" bestFit="1" customWidth="1"/>
    <col min="6925" max="6925" width="9.36328125" style="49" customWidth="1"/>
    <col min="6926" max="6926" width="19.81640625" style="49" customWidth="1"/>
    <col min="6927" max="6931" width="9" style="49"/>
    <col min="6932" max="6937" width="0" style="49" hidden="1" customWidth="1"/>
    <col min="6938" max="6938" width="10" style="49" bestFit="1" customWidth="1"/>
    <col min="6939" max="7168" width="9" style="49"/>
    <col min="7169" max="7169" width="20.36328125" style="49" customWidth="1"/>
    <col min="7170" max="7170" width="6.81640625" style="49" bestFit="1" customWidth="1"/>
    <col min="7171" max="7171" width="3.36328125" style="49" bestFit="1" customWidth="1"/>
    <col min="7172" max="7179" width="7.08984375" style="49" customWidth="1"/>
    <col min="7180" max="7180" width="9.36328125" style="49" bestFit="1" customWidth="1"/>
    <col min="7181" max="7181" width="9.36328125" style="49" customWidth="1"/>
    <col min="7182" max="7182" width="19.81640625" style="49" customWidth="1"/>
    <col min="7183" max="7187" width="9" style="49"/>
    <col min="7188" max="7193" width="0" style="49" hidden="1" customWidth="1"/>
    <col min="7194" max="7194" width="10" style="49" bestFit="1" customWidth="1"/>
    <col min="7195" max="7424" width="9" style="49"/>
    <col min="7425" max="7425" width="20.36328125" style="49" customWidth="1"/>
    <col min="7426" max="7426" width="6.81640625" style="49" bestFit="1" customWidth="1"/>
    <col min="7427" max="7427" width="3.36328125" style="49" bestFit="1" customWidth="1"/>
    <col min="7428" max="7435" width="7.08984375" style="49" customWidth="1"/>
    <col min="7436" max="7436" width="9.36328125" style="49" bestFit="1" customWidth="1"/>
    <col min="7437" max="7437" width="9.36328125" style="49" customWidth="1"/>
    <col min="7438" max="7438" width="19.81640625" style="49" customWidth="1"/>
    <col min="7439" max="7443" width="9" style="49"/>
    <col min="7444" max="7449" width="0" style="49" hidden="1" customWidth="1"/>
    <col min="7450" max="7450" width="10" style="49" bestFit="1" customWidth="1"/>
    <col min="7451" max="7680" width="9" style="49"/>
    <col min="7681" max="7681" width="20.36328125" style="49" customWidth="1"/>
    <col min="7682" max="7682" width="6.81640625" style="49" bestFit="1" customWidth="1"/>
    <col min="7683" max="7683" width="3.36328125" style="49" bestFit="1" customWidth="1"/>
    <col min="7684" max="7691" width="7.08984375" style="49" customWidth="1"/>
    <col min="7692" max="7692" width="9.36328125" style="49" bestFit="1" customWidth="1"/>
    <col min="7693" max="7693" width="9.36328125" style="49" customWidth="1"/>
    <col min="7694" max="7694" width="19.81640625" style="49" customWidth="1"/>
    <col min="7695" max="7699" width="9" style="49"/>
    <col min="7700" max="7705" width="0" style="49" hidden="1" customWidth="1"/>
    <col min="7706" max="7706" width="10" style="49" bestFit="1" customWidth="1"/>
    <col min="7707" max="7936" width="9" style="49"/>
    <col min="7937" max="7937" width="20.36328125" style="49" customWidth="1"/>
    <col min="7938" max="7938" width="6.81640625" style="49" bestFit="1" customWidth="1"/>
    <col min="7939" max="7939" width="3.36328125" style="49" bestFit="1" customWidth="1"/>
    <col min="7940" max="7947" width="7.08984375" style="49" customWidth="1"/>
    <col min="7948" max="7948" width="9.36328125" style="49" bestFit="1" customWidth="1"/>
    <col min="7949" max="7949" width="9.36328125" style="49" customWidth="1"/>
    <col min="7950" max="7950" width="19.81640625" style="49" customWidth="1"/>
    <col min="7951" max="7955" width="9" style="49"/>
    <col min="7956" max="7961" width="0" style="49" hidden="1" customWidth="1"/>
    <col min="7962" max="7962" width="10" style="49" bestFit="1" customWidth="1"/>
    <col min="7963" max="8192" width="9" style="49"/>
    <col min="8193" max="8193" width="20.36328125" style="49" customWidth="1"/>
    <col min="8194" max="8194" width="6.81640625" style="49" bestFit="1" customWidth="1"/>
    <col min="8195" max="8195" width="3.36328125" style="49" bestFit="1" customWidth="1"/>
    <col min="8196" max="8203" width="7.08984375" style="49" customWidth="1"/>
    <col min="8204" max="8204" width="9.36328125" style="49" bestFit="1" customWidth="1"/>
    <col min="8205" max="8205" width="9.36328125" style="49" customWidth="1"/>
    <col min="8206" max="8206" width="19.81640625" style="49" customWidth="1"/>
    <col min="8207" max="8211" width="9" style="49"/>
    <col min="8212" max="8217" width="0" style="49" hidden="1" customWidth="1"/>
    <col min="8218" max="8218" width="10" style="49" bestFit="1" customWidth="1"/>
    <col min="8219" max="8448" width="9" style="49"/>
    <col min="8449" max="8449" width="20.36328125" style="49" customWidth="1"/>
    <col min="8450" max="8450" width="6.81640625" style="49" bestFit="1" customWidth="1"/>
    <col min="8451" max="8451" width="3.36328125" style="49" bestFit="1" customWidth="1"/>
    <col min="8452" max="8459" width="7.08984375" style="49" customWidth="1"/>
    <col min="8460" max="8460" width="9.36328125" style="49" bestFit="1" customWidth="1"/>
    <col min="8461" max="8461" width="9.36328125" style="49" customWidth="1"/>
    <col min="8462" max="8462" width="19.81640625" style="49" customWidth="1"/>
    <col min="8463" max="8467" width="9" style="49"/>
    <col min="8468" max="8473" width="0" style="49" hidden="1" customWidth="1"/>
    <col min="8474" max="8474" width="10" style="49" bestFit="1" customWidth="1"/>
    <col min="8475" max="8704" width="9" style="49"/>
    <col min="8705" max="8705" width="20.36328125" style="49" customWidth="1"/>
    <col min="8706" max="8706" width="6.81640625" style="49" bestFit="1" customWidth="1"/>
    <col min="8707" max="8707" width="3.36328125" style="49" bestFit="1" customWidth="1"/>
    <col min="8708" max="8715" width="7.08984375" style="49" customWidth="1"/>
    <col min="8716" max="8716" width="9.36328125" style="49" bestFit="1" customWidth="1"/>
    <col min="8717" max="8717" width="9.36328125" style="49" customWidth="1"/>
    <col min="8718" max="8718" width="19.81640625" style="49" customWidth="1"/>
    <col min="8719" max="8723" width="9" style="49"/>
    <col min="8724" max="8729" width="0" style="49" hidden="1" customWidth="1"/>
    <col min="8730" max="8730" width="10" style="49" bestFit="1" customWidth="1"/>
    <col min="8731" max="8960" width="9" style="49"/>
    <col min="8961" max="8961" width="20.36328125" style="49" customWidth="1"/>
    <col min="8962" max="8962" width="6.81640625" style="49" bestFit="1" customWidth="1"/>
    <col min="8963" max="8963" width="3.36328125" style="49" bestFit="1" customWidth="1"/>
    <col min="8964" max="8971" width="7.08984375" style="49" customWidth="1"/>
    <col min="8972" max="8972" width="9.36328125" style="49" bestFit="1" customWidth="1"/>
    <col min="8973" max="8973" width="9.36328125" style="49" customWidth="1"/>
    <col min="8974" max="8974" width="19.81640625" style="49" customWidth="1"/>
    <col min="8975" max="8979" width="9" style="49"/>
    <col min="8980" max="8985" width="0" style="49" hidden="1" customWidth="1"/>
    <col min="8986" max="8986" width="10" style="49" bestFit="1" customWidth="1"/>
    <col min="8987" max="9216" width="9" style="49"/>
    <col min="9217" max="9217" width="20.36328125" style="49" customWidth="1"/>
    <col min="9218" max="9218" width="6.81640625" style="49" bestFit="1" customWidth="1"/>
    <col min="9219" max="9219" width="3.36328125" style="49" bestFit="1" customWidth="1"/>
    <col min="9220" max="9227" width="7.08984375" style="49" customWidth="1"/>
    <col min="9228" max="9228" width="9.36328125" style="49" bestFit="1" customWidth="1"/>
    <col min="9229" max="9229" width="9.36328125" style="49" customWidth="1"/>
    <col min="9230" max="9230" width="19.81640625" style="49" customWidth="1"/>
    <col min="9231" max="9235" width="9" style="49"/>
    <col min="9236" max="9241" width="0" style="49" hidden="1" customWidth="1"/>
    <col min="9242" max="9242" width="10" style="49" bestFit="1" customWidth="1"/>
    <col min="9243" max="9472" width="9" style="49"/>
    <col min="9473" max="9473" width="20.36328125" style="49" customWidth="1"/>
    <col min="9474" max="9474" width="6.81640625" style="49" bestFit="1" customWidth="1"/>
    <col min="9475" max="9475" width="3.36328125" style="49" bestFit="1" customWidth="1"/>
    <col min="9476" max="9483" width="7.08984375" style="49" customWidth="1"/>
    <col min="9484" max="9484" width="9.36328125" style="49" bestFit="1" customWidth="1"/>
    <col min="9485" max="9485" width="9.36328125" style="49" customWidth="1"/>
    <col min="9486" max="9486" width="19.81640625" style="49" customWidth="1"/>
    <col min="9487" max="9491" width="9" style="49"/>
    <col min="9492" max="9497" width="0" style="49" hidden="1" customWidth="1"/>
    <col min="9498" max="9498" width="10" style="49" bestFit="1" customWidth="1"/>
    <col min="9499" max="9728" width="9" style="49"/>
    <col min="9729" max="9729" width="20.36328125" style="49" customWidth="1"/>
    <col min="9730" max="9730" width="6.81640625" style="49" bestFit="1" customWidth="1"/>
    <col min="9731" max="9731" width="3.36328125" style="49" bestFit="1" customWidth="1"/>
    <col min="9732" max="9739" width="7.08984375" style="49" customWidth="1"/>
    <col min="9740" max="9740" width="9.36328125" style="49" bestFit="1" customWidth="1"/>
    <col min="9741" max="9741" width="9.36328125" style="49" customWidth="1"/>
    <col min="9742" max="9742" width="19.81640625" style="49" customWidth="1"/>
    <col min="9743" max="9747" width="9" style="49"/>
    <col min="9748" max="9753" width="0" style="49" hidden="1" customWidth="1"/>
    <col min="9754" max="9754" width="10" style="49" bestFit="1" customWidth="1"/>
    <col min="9755" max="9984" width="9" style="49"/>
    <col min="9985" max="9985" width="20.36328125" style="49" customWidth="1"/>
    <col min="9986" max="9986" width="6.81640625" style="49" bestFit="1" customWidth="1"/>
    <col min="9987" max="9987" width="3.36328125" style="49" bestFit="1" customWidth="1"/>
    <col min="9988" max="9995" width="7.08984375" style="49" customWidth="1"/>
    <col min="9996" max="9996" width="9.36328125" style="49" bestFit="1" customWidth="1"/>
    <col min="9997" max="9997" width="9.36328125" style="49" customWidth="1"/>
    <col min="9998" max="9998" width="19.81640625" style="49" customWidth="1"/>
    <col min="9999" max="10003" width="9" style="49"/>
    <col min="10004" max="10009" width="0" style="49" hidden="1" customWidth="1"/>
    <col min="10010" max="10010" width="10" style="49" bestFit="1" customWidth="1"/>
    <col min="10011" max="10240" width="9" style="49"/>
    <col min="10241" max="10241" width="20.36328125" style="49" customWidth="1"/>
    <col min="10242" max="10242" width="6.81640625" style="49" bestFit="1" customWidth="1"/>
    <col min="10243" max="10243" width="3.36328125" style="49" bestFit="1" customWidth="1"/>
    <col min="10244" max="10251" width="7.08984375" style="49" customWidth="1"/>
    <col min="10252" max="10252" width="9.36328125" style="49" bestFit="1" customWidth="1"/>
    <col min="10253" max="10253" width="9.36328125" style="49" customWidth="1"/>
    <col min="10254" max="10254" width="19.81640625" style="49" customWidth="1"/>
    <col min="10255" max="10259" width="9" style="49"/>
    <col min="10260" max="10265" width="0" style="49" hidden="1" customWidth="1"/>
    <col min="10266" max="10266" width="10" style="49" bestFit="1" customWidth="1"/>
    <col min="10267" max="10496" width="9" style="49"/>
    <col min="10497" max="10497" width="20.36328125" style="49" customWidth="1"/>
    <col min="10498" max="10498" width="6.81640625" style="49" bestFit="1" customWidth="1"/>
    <col min="10499" max="10499" width="3.36328125" style="49" bestFit="1" customWidth="1"/>
    <col min="10500" max="10507" width="7.08984375" style="49" customWidth="1"/>
    <col min="10508" max="10508" width="9.36328125" style="49" bestFit="1" customWidth="1"/>
    <col min="10509" max="10509" width="9.36328125" style="49" customWidth="1"/>
    <col min="10510" max="10510" width="19.81640625" style="49" customWidth="1"/>
    <col min="10511" max="10515" width="9" style="49"/>
    <col min="10516" max="10521" width="0" style="49" hidden="1" customWidth="1"/>
    <col min="10522" max="10522" width="10" style="49" bestFit="1" customWidth="1"/>
    <col min="10523" max="10752" width="9" style="49"/>
    <col min="10753" max="10753" width="20.36328125" style="49" customWidth="1"/>
    <col min="10754" max="10754" width="6.81640625" style="49" bestFit="1" customWidth="1"/>
    <col min="10755" max="10755" width="3.36328125" style="49" bestFit="1" customWidth="1"/>
    <col min="10756" max="10763" width="7.08984375" style="49" customWidth="1"/>
    <col min="10764" max="10764" width="9.36328125" style="49" bestFit="1" customWidth="1"/>
    <col min="10765" max="10765" width="9.36328125" style="49" customWidth="1"/>
    <col min="10766" max="10766" width="19.81640625" style="49" customWidth="1"/>
    <col min="10767" max="10771" width="9" style="49"/>
    <col min="10772" max="10777" width="0" style="49" hidden="1" customWidth="1"/>
    <col min="10778" max="10778" width="10" style="49" bestFit="1" customWidth="1"/>
    <col min="10779" max="11008" width="9" style="49"/>
    <col min="11009" max="11009" width="20.36328125" style="49" customWidth="1"/>
    <col min="11010" max="11010" width="6.81640625" style="49" bestFit="1" customWidth="1"/>
    <col min="11011" max="11011" width="3.36328125" style="49" bestFit="1" customWidth="1"/>
    <col min="11012" max="11019" width="7.08984375" style="49" customWidth="1"/>
    <col min="11020" max="11020" width="9.36328125" style="49" bestFit="1" customWidth="1"/>
    <col min="11021" max="11021" width="9.36328125" style="49" customWidth="1"/>
    <col min="11022" max="11022" width="19.81640625" style="49" customWidth="1"/>
    <col min="11023" max="11027" width="9" style="49"/>
    <col min="11028" max="11033" width="0" style="49" hidden="1" customWidth="1"/>
    <col min="11034" max="11034" width="10" style="49" bestFit="1" customWidth="1"/>
    <col min="11035" max="11264" width="9" style="49"/>
    <col min="11265" max="11265" width="20.36328125" style="49" customWidth="1"/>
    <col min="11266" max="11266" width="6.81640625" style="49" bestFit="1" customWidth="1"/>
    <col min="11267" max="11267" width="3.36328125" style="49" bestFit="1" customWidth="1"/>
    <col min="11268" max="11275" width="7.08984375" style="49" customWidth="1"/>
    <col min="11276" max="11276" width="9.36328125" style="49" bestFit="1" customWidth="1"/>
    <col min="11277" max="11277" width="9.36328125" style="49" customWidth="1"/>
    <col min="11278" max="11278" width="19.81640625" style="49" customWidth="1"/>
    <col min="11279" max="11283" width="9" style="49"/>
    <col min="11284" max="11289" width="0" style="49" hidden="1" customWidth="1"/>
    <col min="11290" max="11290" width="10" style="49" bestFit="1" customWidth="1"/>
    <col min="11291" max="11520" width="9" style="49"/>
    <col min="11521" max="11521" width="20.36328125" style="49" customWidth="1"/>
    <col min="11522" max="11522" width="6.81640625" style="49" bestFit="1" customWidth="1"/>
    <col min="11523" max="11523" width="3.36328125" style="49" bestFit="1" customWidth="1"/>
    <col min="11524" max="11531" width="7.08984375" style="49" customWidth="1"/>
    <col min="11532" max="11532" width="9.36328125" style="49" bestFit="1" customWidth="1"/>
    <col min="11533" max="11533" width="9.36328125" style="49" customWidth="1"/>
    <col min="11534" max="11534" width="19.81640625" style="49" customWidth="1"/>
    <col min="11535" max="11539" width="9" style="49"/>
    <col min="11540" max="11545" width="0" style="49" hidden="1" customWidth="1"/>
    <col min="11546" max="11546" width="10" style="49" bestFit="1" customWidth="1"/>
    <col min="11547" max="11776" width="9" style="49"/>
    <col min="11777" max="11777" width="20.36328125" style="49" customWidth="1"/>
    <col min="11778" max="11778" width="6.81640625" style="49" bestFit="1" customWidth="1"/>
    <col min="11779" max="11779" width="3.36328125" style="49" bestFit="1" customWidth="1"/>
    <col min="11780" max="11787" width="7.08984375" style="49" customWidth="1"/>
    <col min="11788" max="11788" width="9.36328125" style="49" bestFit="1" customWidth="1"/>
    <col min="11789" max="11789" width="9.36328125" style="49" customWidth="1"/>
    <col min="11790" max="11790" width="19.81640625" style="49" customWidth="1"/>
    <col min="11791" max="11795" width="9" style="49"/>
    <col min="11796" max="11801" width="0" style="49" hidden="1" customWidth="1"/>
    <col min="11802" max="11802" width="10" style="49" bestFit="1" customWidth="1"/>
    <col min="11803" max="12032" width="9" style="49"/>
    <col min="12033" max="12033" width="20.36328125" style="49" customWidth="1"/>
    <col min="12034" max="12034" width="6.81640625" style="49" bestFit="1" customWidth="1"/>
    <col min="12035" max="12035" width="3.36328125" style="49" bestFit="1" customWidth="1"/>
    <col min="12036" max="12043" width="7.08984375" style="49" customWidth="1"/>
    <col min="12044" max="12044" width="9.36328125" style="49" bestFit="1" customWidth="1"/>
    <col min="12045" max="12045" width="9.36328125" style="49" customWidth="1"/>
    <col min="12046" max="12046" width="19.81640625" style="49" customWidth="1"/>
    <col min="12047" max="12051" width="9" style="49"/>
    <col min="12052" max="12057" width="0" style="49" hidden="1" customWidth="1"/>
    <col min="12058" max="12058" width="10" style="49" bestFit="1" customWidth="1"/>
    <col min="12059" max="12288" width="9" style="49"/>
    <col min="12289" max="12289" width="20.36328125" style="49" customWidth="1"/>
    <col min="12290" max="12290" width="6.81640625" style="49" bestFit="1" customWidth="1"/>
    <col min="12291" max="12291" width="3.36328125" style="49" bestFit="1" customWidth="1"/>
    <col min="12292" max="12299" width="7.08984375" style="49" customWidth="1"/>
    <col min="12300" max="12300" width="9.36328125" style="49" bestFit="1" customWidth="1"/>
    <col min="12301" max="12301" width="9.36328125" style="49" customWidth="1"/>
    <col min="12302" max="12302" width="19.81640625" style="49" customWidth="1"/>
    <col min="12303" max="12307" width="9" style="49"/>
    <col min="12308" max="12313" width="0" style="49" hidden="1" customWidth="1"/>
    <col min="12314" max="12314" width="10" style="49" bestFit="1" customWidth="1"/>
    <col min="12315" max="12544" width="9" style="49"/>
    <col min="12545" max="12545" width="20.36328125" style="49" customWidth="1"/>
    <col min="12546" max="12546" width="6.81640625" style="49" bestFit="1" customWidth="1"/>
    <col min="12547" max="12547" width="3.36328125" style="49" bestFit="1" customWidth="1"/>
    <col min="12548" max="12555" width="7.08984375" style="49" customWidth="1"/>
    <col min="12556" max="12556" width="9.36328125" style="49" bestFit="1" customWidth="1"/>
    <col min="12557" max="12557" width="9.36328125" style="49" customWidth="1"/>
    <col min="12558" max="12558" width="19.81640625" style="49" customWidth="1"/>
    <col min="12559" max="12563" width="9" style="49"/>
    <col min="12564" max="12569" width="0" style="49" hidden="1" customWidth="1"/>
    <col min="12570" max="12570" width="10" style="49" bestFit="1" customWidth="1"/>
    <col min="12571" max="12800" width="9" style="49"/>
    <col min="12801" max="12801" width="20.36328125" style="49" customWidth="1"/>
    <col min="12802" max="12802" width="6.81640625" style="49" bestFit="1" customWidth="1"/>
    <col min="12803" max="12803" width="3.36328125" style="49" bestFit="1" customWidth="1"/>
    <col min="12804" max="12811" width="7.08984375" style="49" customWidth="1"/>
    <col min="12812" max="12812" width="9.36328125" style="49" bestFit="1" customWidth="1"/>
    <col min="12813" max="12813" width="9.36328125" style="49" customWidth="1"/>
    <col min="12814" max="12814" width="19.81640625" style="49" customWidth="1"/>
    <col min="12815" max="12819" width="9" style="49"/>
    <col min="12820" max="12825" width="0" style="49" hidden="1" customWidth="1"/>
    <col min="12826" max="12826" width="10" style="49" bestFit="1" customWidth="1"/>
    <col min="12827" max="13056" width="9" style="49"/>
    <col min="13057" max="13057" width="20.36328125" style="49" customWidth="1"/>
    <col min="13058" max="13058" width="6.81640625" style="49" bestFit="1" customWidth="1"/>
    <col min="13059" max="13059" width="3.36328125" style="49" bestFit="1" customWidth="1"/>
    <col min="13060" max="13067" width="7.08984375" style="49" customWidth="1"/>
    <col min="13068" max="13068" width="9.36328125" style="49" bestFit="1" customWidth="1"/>
    <col min="13069" max="13069" width="9.36328125" style="49" customWidth="1"/>
    <col min="13070" max="13070" width="19.81640625" style="49" customWidth="1"/>
    <col min="13071" max="13075" width="9" style="49"/>
    <col min="13076" max="13081" width="0" style="49" hidden="1" customWidth="1"/>
    <col min="13082" max="13082" width="10" style="49" bestFit="1" customWidth="1"/>
    <col min="13083" max="13312" width="9" style="49"/>
    <col min="13313" max="13313" width="20.36328125" style="49" customWidth="1"/>
    <col min="13314" max="13314" width="6.81640625" style="49" bestFit="1" customWidth="1"/>
    <col min="13315" max="13315" width="3.36328125" style="49" bestFit="1" customWidth="1"/>
    <col min="13316" max="13323" width="7.08984375" style="49" customWidth="1"/>
    <col min="13324" max="13324" width="9.36328125" style="49" bestFit="1" customWidth="1"/>
    <col min="13325" max="13325" width="9.36328125" style="49" customWidth="1"/>
    <col min="13326" max="13326" width="19.81640625" style="49" customWidth="1"/>
    <col min="13327" max="13331" width="9" style="49"/>
    <col min="13332" max="13337" width="0" style="49" hidden="1" customWidth="1"/>
    <col min="13338" max="13338" width="10" style="49" bestFit="1" customWidth="1"/>
    <col min="13339" max="13568" width="9" style="49"/>
    <col min="13569" max="13569" width="20.36328125" style="49" customWidth="1"/>
    <col min="13570" max="13570" width="6.81640625" style="49" bestFit="1" customWidth="1"/>
    <col min="13571" max="13571" width="3.36328125" style="49" bestFit="1" customWidth="1"/>
    <col min="13572" max="13579" width="7.08984375" style="49" customWidth="1"/>
    <col min="13580" max="13580" width="9.36328125" style="49" bestFit="1" customWidth="1"/>
    <col min="13581" max="13581" width="9.36328125" style="49" customWidth="1"/>
    <col min="13582" max="13582" width="19.81640625" style="49" customWidth="1"/>
    <col min="13583" max="13587" width="9" style="49"/>
    <col min="13588" max="13593" width="0" style="49" hidden="1" customWidth="1"/>
    <col min="13594" max="13594" width="10" style="49" bestFit="1" customWidth="1"/>
    <col min="13595" max="13824" width="9" style="49"/>
    <col min="13825" max="13825" width="20.36328125" style="49" customWidth="1"/>
    <col min="13826" max="13826" width="6.81640625" style="49" bestFit="1" customWidth="1"/>
    <col min="13827" max="13827" width="3.36328125" style="49" bestFit="1" customWidth="1"/>
    <col min="13828" max="13835" width="7.08984375" style="49" customWidth="1"/>
    <col min="13836" max="13836" width="9.36328125" style="49" bestFit="1" customWidth="1"/>
    <col min="13837" max="13837" width="9.36328125" style="49" customWidth="1"/>
    <col min="13838" max="13838" width="19.81640625" style="49" customWidth="1"/>
    <col min="13839" max="13843" width="9" style="49"/>
    <col min="13844" max="13849" width="0" style="49" hidden="1" customWidth="1"/>
    <col min="13850" max="13850" width="10" style="49" bestFit="1" customWidth="1"/>
    <col min="13851" max="14080" width="9" style="49"/>
    <col min="14081" max="14081" width="20.36328125" style="49" customWidth="1"/>
    <col min="14082" max="14082" width="6.81640625" style="49" bestFit="1" customWidth="1"/>
    <col min="14083" max="14083" width="3.36328125" style="49" bestFit="1" customWidth="1"/>
    <col min="14084" max="14091" width="7.08984375" style="49" customWidth="1"/>
    <col min="14092" max="14092" width="9.36328125" style="49" bestFit="1" customWidth="1"/>
    <col min="14093" max="14093" width="9.36328125" style="49" customWidth="1"/>
    <col min="14094" max="14094" width="19.81640625" style="49" customWidth="1"/>
    <col min="14095" max="14099" width="9" style="49"/>
    <col min="14100" max="14105" width="0" style="49" hidden="1" customWidth="1"/>
    <col min="14106" max="14106" width="10" style="49" bestFit="1" customWidth="1"/>
    <col min="14107" max="14336" width="9" style="49"/>
    <col min="14337" max="14337" width="20.36328125" style="49" customWidth="1"/>
    <col min="14338" max="14338" width="6.81640625" style="49" bestFit="1" customWidth="1"/>
    <col min="14339" max="14339" width="3.36328125" style="49" bestFit="1" customWidth="1"/>
    <col min="14340" max="14347" width="7.08984375" style="49" customWidth="1"/>
    <col min="14348" max="14348" width="9.36328125" style="49" bestFit="1" customWidth="1"/>
    <col min="14349" max="14349" width="9.36328125" style="49" customWidth="1"/>
    <col min="14350" max="14350" width="19.81640625" style="49" customWidth="1"/>
    <col min="14351" max="14355" width="9" style="49"/>
    <col min="14356" max="14361" width="0" style="49" hidden="1" customWidth="1"/>
    <col min="14362" max="14362" width="10" style="49" bestFit="1" customWidth="1"/>
    <col min="14363" max="14592" width="9" style="49"/>
    <col min="14593" max="14593" width="20.36328125" style="49" customWidth="1"/>
    <col min="14594" max="14594" width="6.81640625" style="49" bestFit="1" customWidth="1"/>
    <col min="14595" max="14595" width="3.36328125" style="49" bestFit="1" customWidth="1"/>
    <col min="14596" max="14603" width="7.08984375" style="49" customWidth="1"/>
    <col min="14604" max="14604" width="9.36328125" style="49" bestFit="1" customWidth="1"/>
    <col min="14605" max="14605" width="9.36328125" style="49" customWidth="1"/>
    <col min="14606" max="14606" width="19.81640625" style="49" customWidth="1"/>
    <col min="14607" max="14611" width="9" style="49"/>
    <col min="14612" max="14617" width="0" style="49" hidden="1" customWidth="1"/>
    <col min="14618" max="14618" width="10" style="49" bestFit="1" customWidth="1"/>
    <col min="14619" max="14848" width="9" style="49"/>
    <col min="14849" max="14849" width="20.36328125" style="49" customWidth="1"/>
    <col min="14850" max="14850" width="6.81640625" style="49" bestFit="1" customWidth="1"/>
    <col min="14851" max="14851" width="3.36328125" style="49" bestFit="1" customWidth="1"/>
    <col min="14852" max="14859" width="7.08984375" style="49" customWidth="1"/>
    <col min="14860" max="14860" width="9.36328125" style="49" bestFit="1" customWidth="1"/>
    <col min="14861" max="14861" width="9.36328125" style="49" customWidth="1"/>
    <col min="14862" max="14862" width="19.81640625" style="49" customWidth="1"/>
    <col min="14863" max="14867" width="9" style="49"/>
    <col min="14868" max="14873" width="0" style="49" hidden="1" customWidth="1"/>
    <col min="14874" max="14874" width="10" style="49" bestFit="1" customWidth="1"/>
    <col min="14875" max="15104" width="9" style="49"/>
    <col min="15105" max="15105" width="20.36328125" style="49" customWidth="1"/>
    <col min="15106" max="15106" width="6.81640625" style="49" bestFit="1" customWidth="1"/>
    <col min="15107" max="15107" width="3.36328125" style="49" bestFit="1" customWidth="1"/>
    <col min="15108" max="15115" width="7.08984375" style="49" customWidth="1"/>
    <col min="15116" max="15116" width="9.36328125" style="49" bestFit="1" customWidth="1"/>
    <col min="15117" max="15117" width="9.36328125" style="49" customWidth="1"/>
    <col min="15118" max="15118" width="19.81640625" style="49" customWidth="1"/>
    <col min="15119" max="15123" width="9" style="49"/>
    <col min="15124" max="15129" width="0" style="49" hidden="1" customWidth="1"/>
    <col min="15130" max="15130" width="10" style="49" bestFit="1" customWidth="1"/>
    <col min="15131" max="15360" width="9" style="49"/>
    <col min="15361" max="15361" width="20.36328125" style="49" customWidth="1"/>
    <col min="15362" max="15362" width="6.81640625" style="49" bestFit="1" customWidth="1"/>
    <col min="15363" max="15363" width="3.36328125" style="49" bestFit="1" customWidth="1"/>
    <col min="15364" max="15371" width="7.08984375" style="49" customWidth="1"/>
    <col min="15372" max="15372" width="9.36328125" style="49" bestFit="1" customWidth="1"/>
    <col min="15373" max="15373" width="9.36328125" style="49" customWidth="1"/>
    <col min="15374" max="15374" width="19.81640625" style="49" customWidth="1"/>
    <col min="15375" max="15379" width="9" style="49"/>
    <col min="15380" max="15385" width="0" style="49" hidden="1" customWidth="1"/>
    <col min="15386" max="15386" width="10" style="49" bestFit="1" customWidth="1"/>
    <col min="15387" max="15616" width="9" style="49"/>
    <col min="15617" max="15617" width="20.36328125" style="49" customWidth="1"/>
    <col min="15618" max="15618" width="6.81640625" style="49" bestFit="1" customWidth="1"/>
    <col min="15619" max="15619" width="3.36328125" style="49" bestFit="1" customWidth="1"/>
    <col min="15620" max="15627" width="7.08984375" style="49" customWidth="1"/>
    <col min="15628" max="15628" width="9.36328125" style="49" bestFit="1" customWidth="1"/>
    <col min="15629" max="15629" width="9.36328125" style="49" customWidth="1"/>
    <col min="15630" max="15630" width="19.81640625" style="49" customWidth="1"/>
    <col min="15631" max="15635" width="9" style="49"/>
    <col min="15636" max="15641" width="0" style="49" hidden="1" customWidth="1"/>
    <col min="15642" max="15642" width="10" style="49" bestFit="1" customWidth="1"/>
    <col min="15643" max="15872" width="9" style="49"/>
    <col min="15873" max="15873" width="20.36328125" style="49" customWidth="1"/>
    <col min="15874" max="15874" width="6.81640625" style="49" bestFit="1" customWidth="1"/>
    <col min="15875" max="15875" width="3.36328125" style="49" bestFit="1" customWidth="1"/>
    <col min="15876" max="15883" width="7.08984375" style="49" customWidth="1"/>
    <col min="15884" max="15884" width="9.36328125" style="49" bestFit="1" customWidth="1"/>
    <col min="15885" max="15885" width="9.36328125" style="49" customWidth="1"/>
    <col min="15886" max="15886" width="19.81640625" style="49" customWidth="1"/>
    <col min="15887" max="15891" width="9" style="49"/>
    <col min="15892" max="15897" width="0" style="49" hidden="1" customWidth="1"/>
    <col min="15898" max="15898" width="10" style="49" bestFit="1" customWidth="1"/>
    <col min="15899" max="16128" width="9" style="49"/>
    <col min="16129" max="16129" width="20.36328125" style="49" customWidth="1"/>
    <col min="16130" max="16130" width="6.81640625" style="49" bestFit="1" customWidth="1"/>
    <col min="16131" max="16131" width="3.36328125" style="49" bestFit="1" customWidth="1"/>
    <col min="16132" max="16139" width="7.08984375" style="49" customWidth="1"/>
    <col min="16140" max="16140" width="9.36328125" style="49" bestFit="1" customWidth="1"/>
    <col min="16141" max="16141" width="9.36328125" style="49" customWidth="1"/>
    <col min="16142" max="16142" width="19.81640625" style="49" customWidth="1"/>
    <col min="16143" max="16147" width="9" style="49"/>
    <col min="16148" max="16153" width="0" style="49" hidden="1" customWidth="1"/>
    <col min="16154" max="16154" width="10" style="49" bestFit="1" customWidth="1"/>
    <col min="16155" max="16384" width="9" style="49"/>
  </cols>
  <sheetData>
    <row r="1" spans="1:26" ht="24" customHeight="1" x14ac:dyDescent="0.2">
      <c r="A1" s="492" t="s">
        <v>160</v>
      </c>
      <c r="B1" s="492"/>
      <c r="C1" s="493"/>
      <c r="D1" s="493"/>
      <c r="E1" s="493"/>
      <c r="F1" s="493"/>
      <c r="G1" s="493"/>
      <c r="H1" s="493"/>
      <c r="I1" s="493"/>
      <c r="J1" s="493"/>
      <c r="K1" s="493"/>
      <c r="L1" s="493"/>
      <c r="M1" s="48"/>
    </row>
    <row r="2" spans="1:26" ht="24" customHeight="1" x14ac:dyDescent="0.2">
      <c r="A2" s="50"/>
      <c r="B2" s="51"/>
      <c r="C2" s="52"/>
      <c r="D2" s="53" t="s">
        <v>207</v>
      </c>
      <c r="E2" s="53" t="s">
        <v>207</v>
      </c>
      <c r="F2" s="53" t="s">
        <v>207</v>
      </c>
      <c r="G2" s="53" t="s">
        <v>207</v>
      </c>
      <c r="H2" s="53" t="s">
        <v>207</v>
      </c>
      <c r="I2" s="53" t="s">
        <v>207</v>
      </c>
      <c r="J2" s="53" t="s">
        <v>207</v>
      </c>
      <c r="K2" s="53" t="s">
        <v>207</v>
      </c>
      <c r="L2" s="494" t="s">
        <v>161</v>
      </c>
      <c r="O2" s="495"/>
      <c r="P2" s="496"/>
      <c r="Q2" s="496"/>
      <c r="R2" s="496"/>
      <c r="S2" s="496"/>
      <c r="T2" s="496"/>
      <c r="U2" s="496"/>
      <c r="V2" s="496"/>
      <c r="W2" s="496"/>
      <c r="X2" s="496"/>
      <c r="Y2" s="496"/>
    </row>
    <row r="3" spans="1:26" ht="24" customHeight="1" x14ac:dyDescent="0.2">
      <c r="A3" s="55"/>
      <c r="B3" s="56"/>
      <c r="C3" s="57"/>
      <c r="D3" s="58" t="s">
        <v>208</v>
      </c>
      <c r="E3" s="58" t="s">
        <v>208</v>
      </c>
      <c r="F3" s="58" t="s">
        <v>208</v>
      </c>
      <c r="G3" s="58" t="s">
        <v>208</v>
      </c>
      <c r="H3" s="58" t="s">
        <v>208</v>
      </c>
      <c r="I3" s="58" t="s">
        <v>208</v>
      </c>
      <c r="J3" s="58" t="s">
        <v>208</v>
      </c>
      <c r="K3" s="58" t="s">
        <v>208</v>
      </c>
      <c r="L3" s="225"/>
      <c r="M3" s="59"/>
      <c r="O3" s="496"/>
      <c r="P3" s="496"/>
      <c r="Q3" s="496"/>
      <c r="R3" s="496"/>
      <c r="S3" s="496"/>
      <c r="T3" s="496"/>
      <c r="U3" s="496"/>
      <c r="V3" s="496"/>
      <c r="W3" s="496"/>
      <c r="X3" s="496"/>
      <c r="Y3" s="496"/>
    </row>
    <row r="4" spans="1:26" ht="24" customHeight="1" thickBot="1" x14ac:dyDescent="0.25">
      <c r="A4" s="60" t="s">
        <v>162</v>
      </c>
      <c r="B4" s="61" t="s">
        <v>163</v>
      </c>
      <c r="C4" s="62" t="s">
        <v>164</v>
      </c>
      <c r="D4" s="63">
        <f>SUMPRODUCT(B5:B44,D5:D44)</f>
        <v>0</v>
      </c>
      <c r="E4" s="63">
        <f>SUMPRODUCT(B5:B44,E5:E44)</f>
        <v>0</v>
      </c>
      <c r="F4" s="63">
        <f>SUMPRODUCT(B5:B44,F5:F44)</f>
        <v>0</v>
      </c>
      <c r="G4" s="63">
        <f>SUMPRODUCT(B5:B44,G5:G44)</f>
        <v>0</v>
      </c>
      <c r="H4" s="63">
        <f>SUMPRODUCT(B5:B44,H5:H44)</f>
        <v>0</v>
      </c>
      <c r="I4" s="63">
        <f>SUMPRODUCT(B5:B44,I5:I44)</f>
        <v>0</v>
      </c>
      <c r="J4" s="63">
        <f>SUMPRODUCT(B5:B44,J5:J44)</f>
        <v>0</v>
      </c>
      <c r="K4" s="63">
        <f>SUMPRODUCT(B5:B44,K5:K44)</f>
        <v>0</v>
      </c>
      <c r="L4" s="64">
        <f>L44</f>
        <v>0</v>
      </c>
    </row>
    <row r="5" spans="1:26" ht="24" customHeight="1" thickTop="1" x14ac:dyDescent="0.2">
      <c r="A5" s="104" t="s">
        <v>205</v>
      </c>
      <c r="B5" s="66">
        <v>700</v>
      </c>
      <c r="C5" s="67"/>
      <c r="D5" s="111"/>
      <c r="E5" s="111"/>
      <c r="F5" s="111"/>
      <c r="G5" s="111"/>
      <c r="H5" s="111"/>
      <c r="I5" s="111"/>
      <c r="J5" s="111"/>
      <c r="K5" s="111"/>
      <c r="L5" s="68">
        <f t="shared" ref="L5:L43" si="0">B5*C5</f>
        <v>0</v>
      </c>
      <c r="N5" s="69" t="s">
        <v>165</v>
      </c>
      <c r="O5" s="53"/>
      <c r="P5" s="53"/>
      <c r="Q5" s="53"/>
      <c r="R5" s="53"/>
      <c r="S5" s="53"/>
      <c r="T5" s="53"/>
      <c r="U5" s="70"/>
      <c r="V5" s="70"/>
      <c r="W5" s="71"/>
      <c r="X5" s="71"/>
      <c r="Y5" s="72"/>
      <c r="Z5" s="72"/>
    </row>
    <row r="6" spans="1:26" ht="24" customHeight="1" x14ac:dyDescent="0.2">
      <c r="A6" s="73" t="s">
        <v>166</v>
      </c>
      <c r="B6" s="74">
        <v>400</v>
      </c>
      <c r="C6" s="67"/>
      <c r="D6" s="111"/>
      <c r="E6" s="111"/>
      <c r="F6" s="111"/>
      <c r="G6" s="111"/>
      <c r="H6" s="112"/>
      <c r="I6" s="111"/>
      <c r="J6" s="111"/>
      <c r="K6" s="111"/>
      <c r="L6" s="68">
        <f t="shared" si="0"/>
        <v>0</v>
      </c>
      <c r="N6" s="75" t="s">
        <v>167</v>
      </c>
      <c r="O6" s="76"/>
      <c r="P6" s="76"/>
      <c r="Q6" s="70"/>
      <c r="R6" s="76"/>
      <c r="S6" s="72"/>
      <c r="T6" s="76"/>
      <c r="U6" s="70"/>
      <c r="V6" s="70"/>
      <c r="W6" s="70"/>
      <c r="X6" s="71"/>
      <c r="Y6" s="72"/>
      <c r="Z6" s="72"/>
    </row>
    <row r="7" spans="1:26" ht="24" customHeight="1" thickBot="1" x14ac:dyDescent="0.25">
      <c r="A7" s="77" t="s">
        <v>206</v>
      </c>
      <c r="B7" s="74">
        <v>1000</v>
      </c>
      <c r="C7" s="78"/>
      <c r="D7" s="111"/>
      <c r="E7" s="111"/>
      <c r="F7" s="111"/>
      <c r="G7" s="112"/>
      <c r="H7" s="114"/>
      <c r="I7" s="111"/>
      <c r="J7" s="111"/>
      <c r="K7" s="111"/>
      <c r="L7" s="68">
        <f t="shared" si="0"/>
        <v>0</v>
      </c>
      <c r="N7" s="79" t="s">
        <v>168</v>
      </c>
      <c r="O7" s="80"/>
      <c r="P7" s="80"/>
      <c r="Q7" s="80"/>
      <c r="R7" s="80"/>
      <c r="S7" s="80"/>
      <c r="T7" s="80"/>
      <c r="U7" s="80"/>
      <c r="V7" s="80"/>
      <c r="W7" s="80"/>
      <c r="X7" s="80"/>
      <c r="Y7" s="81"/>
      <c r="Z7" s="81"/>
    </row>
    <row r="8" spans="1:26" ht="24" customHeight="1" thickBot="1" x14ac:dyDescent="0.25">
      <c r="A8" s="77" t="s">
        <v>169</v>
      </c>
      <c r="B8" s="74">
        <v>50</v>
      </c>
      <c r="C8" s="78"/>
      <c r="D8" s="111"/>
      <c r="E8" s="111"/>
      <c r="F8" s="111"/>
      <c r="G8" s="112"/>
      <c r="H8" s="114"/>
      <c r="I8" s="111"/>
      <c r="J8" s="111"/>
      <c r="K8" s="111"/>
      <c r="L8" s="68">
        <f t="shared" si="0"/>
        <v>0</v>
      </c>
      <c r="N8" s="82" t="s">
        <v>170</v>
      </c>
      <c r="O8" s="83">
        <f t="shared" ref="O8:V8" si="1">D4</f>
        <v>0</v>
      </c>
      <c r="P8" s="83">
        <f t="shared" si="1"/>
        <v>0</v>
      </c>
      <c r="Q8" s="83">
        <f t="shared" si="1"/>
        <v>0</v>
      </c>
      <c r="R8" s="83">
        <f t="shared" si="1"/>
        <v>0</v>
      </c>
      <c r="S8" s="83">
        <f t="shared" si="1"/>
        <v>0</v>
      </c>
      <c r="T8" s="83">
        <f t="shared" si="1"/>
        <v>0</v>
      </c>
      <c r="U8" s="83">
        <f t="shared" si="1"/>
        <v>0</v>
      </c>
      <c r="V8" s="83">
        <f t="shared" si="1"/>
        <v>0</v>
      </c>
      <c r="W8" s="83">
        <f>M4</f>
        <v>0</v>
      </c>
      <c r="X8" s="83">
        <f>N4</f>
        <v>0</v>
      </c>
      <c r="Y8" s="83">
        <f>I4</f>
        <v>0</v>
      </c>
      <c r="Z8" s="84">
        <f>SUM(O8:Y8)</f>
        <v>0</v>
      </c>
    </row>
    <row r="9" spans="1:26" ht="24" customHeight="1" thickBot="1" x14ac:dyDescent="0.25">
      <c r="A9" s="55" t="s">
        <v>138</v>
      </c>
      <c r="B9" s="66">
        <v>100</v>
      </c>
      <c r="C9" s="67"/>
      <c r="D9" s="111"/>
      <c r="E9" s="111"/>
      <c r="F9" s="111"/>
      <c r="G9" s="111"/>
      <c r="H9" s="114"/>
      <c r="I9" s="111"/>
      <c r="J9" s="111"/>
      <c r="K9" s="111"/>
      <c r="L9" s="68">
        <f t="shared" si="0"/>
        <v>0</v>
      </c>
      <c r="N9" s="85" t="s">
        <v>171</v>
      </c>
      <c r="O9" s="86">
        <f>(L4+Z7)/5</f>
        <v>0</v>
      </c>
      <c r="P9" s="86">
        <f>O9</f>
        <v>0</v>
      </c>
      <c r="Q9" s="86">
        <f>O9</f>
        <v>0</v>
      </c>
      <c r="R9" s="86">
        <f>O9</f>
        <v>0</v>
      </c>
      <c r="S9" s="86">
        <f>O9</f>
        <v>0</v>
      </c>
      <c r="T9" s="87">
        <f>$O$9</f>
        <v>0</v>
      </c>
      <c r="U9" s="87">
        <f>$O$9</f>
        <v>0</v>
      </c>
      <c r="V9" s="87">
        <f>$O$9</f>
        <v>0</v>
      </c>
      <c r="W9" s="87">
        <f>$O$9</f>
        <v>0</v>
      </c>
      <c r="X9" s="87">
        <f>$O$9</f>
        <v>0</v>
      </c>
      <c r="Y9" s="86">
        <f>O9</f>
        <v>0</v>
      </c>
      <c r="Z9" s="86">
        <f>SUM(O9:Y9)</f>
        <v>0</v>
      </c>
    </row>
    <row r="10" spans="1:26" ht="24" customHeight="1" thickBot="1" x14ac:dyDescent="0.25">
      <c r="A10" s="65" t="s">
        <v>172</v>
      </c>
      <c r="B10" s="66">
        <v>100</v>
      </c>
      <c r="C10" s="67"/>
      <c r="D10" s="111"/>
      <c r="E10" s="111"/>
      <c r="F10" s="111"/>
      <c r="G10" s="111"/>
      <c r="H10" s="111"/>
      <c r="I10" s="111"/>
      <c r="J10" s="111"/>
      <c r="K10" s="111"/>
      <c r="L10" s="68">
        <f t="shared" si="0"/>
        <v>0</v>
      </c>
      <c r="N10" s="88" t="s">
        <v>173</v>
      </c>
      <c r="O10" s="89" t="e">
        <f>O8-#REF!</f>
        <v>#REF!</v>
      </c>
      <c r="P10" s="89" t="e">
        <f>P8-#REF!</f>
        <v>#REF!</v>
      </c>
      <c r="Q10" s="89" t="e">
        <f>Q8-#REF!</f>
        <v>#REF!</v>
      </c>
      <c r="R10" s="89" t="e">
        <f>R8-#REF!</f>
        <v>#REF!</v>
      </c>
      <c r="S10" s="90" t="e">
        <f>S8-#REF!</f>
        <v>#REF!</v>
      </c>
      <c r="T10" s="91" t="e">
        <f>T8-#REF!</f>
        <v>#REF!</v>
      </c>
      <c r="U10" s="92" t="e">
        <f>U8-#REF!</f>
        <v>#REF!</v>
      </c>
      <c r="V10" s="92" t="e">
        <f>V8-#REF!</f>
        <v>#REF!</v>
      </c>
      <c r="W10" s="92" t="e">
        <f>W8-#REF!</f>
        <v>#REF!</v>
      </c>
      <c r="X10" s="92" t="e">
        <f>X8-#REF!</f>
        <v>#REF!</v>
      </c>
      <c r="Y10" s="92" t="e">
        <f>Y8-#REF!</f>
        <v>#REF!</v>
      </c>
      <c r="Z10" s="92"/>
    </row>
    <row r="11" spans="1:26" ht="24" customHeight="1" x14ac:dyDescent="0.2">
      <c r="A11" s="65" t="s">
        <v>174</v>
      </c>
      <c r="B11" s="66">
        <v>50</v>
      </c>
      <c r="C11" s="67"/>
      <c r="D11" s="111"/>
      <c r="E11" s="111"/>
      <c r="F11" s="111"/>
      <c r="G11" s="111"/>
      <c r="H11" s="111"/>
      <c r="I11" s="111"/>
      <c r="J11" s="111"/>
      <c r="K11" s="111"/>
      <c r="L11" s="68">
        <f t="shared" si="0"/>
        <v>0</v>
      </c>
      <c r="N11" s="87"/>
      <c r="O11" s="87"/>
      <c r="P11" s="87"/>
      <c r="Q11" s="87"/>
      <c r="R11" s="87"/>
      <c r="S11" s="87"/>
      <c r="T11" s="75"/>
      <c r="U11" s="75"/>
      <c r="V11" s="75"/>
      <c r="W11" s="75"/>
      <c r="X11" s="75"/>
      <c r="Y11" s="75"/>
      <c r="Z11" s="75"/>
    </row>
    <row r="12" spans="1:26" ht="24" customHeight="1" x14ac:dyDescent="0.2">
      <c r="A12" s="55" t="s">
        <v>175</v>
      </c>
      <c r="B12" s="66">
        <v>100</v>
      </c>
      <c r="C12" s="67"/>
      <c r="D12" s="111"/>
      <c r="E12" s="111"/>
      <c r="F12" s="111"/>
      <c r="G12" s="111"/>
      <c r="H12" s="111"/>
      <c r="I12" s="111"/>
      <c r="J12" s="111"/>
      <c r="K12" s="111"/>
      <c r="L12" s="68">
        <f t="shared" si="0"/>
        <v>0</v>
      </c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</row>
    <row r="13" spans="1:26" ht="24" customHeight="1" x14ac:dyDescent="0.2">
      <c r="A13" s="55" t="s">
        <v>176</v>
      </c>
      <c r="B13" s="66">
        <v>300</v>
      </c>
      <c r="C13" s="67"/>
      <c r="D13" s="111"/>
      <c r="E13" s="111"/>
      <c r="F13" s="111"/>
      <c r="G13" s="111"/>
      <c r="H13" s="111"/>
      <c r="I13" s="111"/>
      <c r="J13" s="111"/>
      <c r="K13" s="111"/>
      <c r="L13" s="68">
        <f t="shared" si="0"/>
        <v>0</v>
      </c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</row>
    <row r="14" spans="1:26" ht="24" customHeight="1" x14ac:dyDescent="0.2">
      <c r="A14" s="55" t="s">
        <v>135</v>
      </c>
      <c r="B14" s="66">
        <v>1000</v>
      </c>
      <c r="C14" s="67"/>
      <c r="D14" s="111"/>
      <c r="E14" s="111"/>
      <c r="F14" s="111"/>
      <c r="G14" s="111"/>
      <c r="H14" s="111"/>
      <c r="I14" s="111"/>
      <c r="J14" s="111"/>
      <c r="K14" s="111"/>
      <c r="L14" s="68">
        <f t="shared" si="0"/>
        <v>0</v>
      </c>
      <c r="N14" s="75"/>
      <c r="O14" s="75"/>
      <c r="P14" s="93"/>
      <c r="Q14" s="93"/>
      <c r="R14" s="75"/>
      <c r="S14" s="93"/>
      <c r="T14" s="75"/>
      <c r="U14" s="75"/>
      <c r="V14" s="75"/>
      <c r="W14" s="75"/>
      <c r="X14" s="75"/>
      <c r="Y14" s="75"/>
      <c r="Z14" s="75"/>
    </row>
    <row r="15" spans="1:26" ht="24" customHeight="1" x14ac:dyDescent="0.2">
      <c r="A15" s="94" t="s">
        <v>187</v>
      </c>
      <c r="B15" s="66">
        <v>270</v>
      </c>
      <c r="C15" s="67"/>
      <c r="D15" s="111"/>
      <c r="E15" s="111"/>
      <c r="F15" s="111"/>
      <c r="G15" s="111"/>
      <c r="H15" s="111"/>
      <c r="I15" s="111"/>
      <c r="J15" s="111"/>
      <c r="K15" s="111"/>
      <c r="L15" s="68">
        <f t="shared" si="0"/>
        <v>0</v>
      </c>
      <c r="N15" s="96" t="s">
        <v>188</v>
      </c>
      <c r="O15" s="96">
        <v>1</v>
      </c>
      <c r="P15" s="96" t="s">
        <v>182</v>
      </c>
    </row>
    <row r="16" spans="1:26" ht="24" customHeight="1" x14ac:dyDescent="0.2">
      <c r="A16" s="94" t="s">
        <v>189</v>
      </c>
      <c r="B16" s="66">
        <v>70</v>
      </c>
      <c r="C16" s="67"/>
      <c r="D16" s="111"/>
      <c r="E16" s="111"/>
      <c r="F16" s="111"/>
      <c r="G16" s="111"/>
      <c r="H16" s="111"/>
      <c r="I16" s="111"/>
      <c r="J16" s="111"/>
      <c r="K16" s="111"/>
      <c r="L16" s="68">
        <f t="shared" si="0"/>
        <v>0</v>
      </c>
    </row>
    <row r="17" spans="1:12" ht="24" customHeight="1" x14ac:dyDescent="0.2">
      <c r="A17" s="94" t="s">
        <v>190</v>
      </c>
      <c r="B17" s="66">
        <v>150</v>
      </c>
      <c r="C17" s="67"/>
      <c r="D17" s="111"/>
      <c r="E17" s="111"/>
      <c r="F17" s="111"/>
      <c r="G17" s="111"/>
      <c r="H17" s="111"/>
      <c r="I17" s="111"/>
      <c r="J17" s="111"/>
      <c r="K17" s="111"/>
      <c r="L17" s="95">
        <f t="shared" si="0"/>
        <v>0</v>
      </c>
    </row>
    <row r="18" spans="1:12" ht="24" customHeight="1" x14ac:dyDescent="0.2">
      <c r="A18" s="115" t="s">
        <v>210</v>
      </c>
      <c r="B18" s="66">
        <v>1300</v>
      </c>
      <c r="C18" s="67"/>
      <c r="D18" s="111"/>
      <c r="E18" s="111"/>
      <c r="F18" s="111"/>
      <c r="G18" s="111"/>
      <c r="H18" s="111"/>
      <c r="I18" s="111"/>
      <c r="J18" s="111"/>
      <c r="K18" s="111"/>
      <c r="L18" s="68">
        <f t="shared" si="0"/>
        <v>0</v>
      </c>
    </row>
    <row r="19" spans="1:12" ht="24" customHeight="1" x14ac:dyDescent="0.2">
      <c r="A19" s="115" t="s">
        <v>211</v>
      </c>
      <c r="B19" s="66">
        <v>800</v>
      </c>
      <c r="C19" s="67"/>
      <c r="D19" s="111"/>
      <c r="E19" s="111"/>
      <c r="F19" s="111"/>
      <c r="G19" s="111"/>
      <c r="H19" s="111"/>
      <c r="I19" s="111"/>
      <c r="J19" s="111"/>
      <c r="K19" s="111"/>
      <c r="L19" s="68">
        <f t="shared" si="0"/>
        <v>0</v>
      </c>
    </row>
    <row r="20" spans="1:12" ht="24" customHeight="1" x14ac:dyDescent="0.2">
      <c r="A20" s="115" t="s">
        <v>212</v>
      </c>
      <c r="B20" s="66">
        <v>650</v>
      </c>
      <c r="C20" s="67"/>
      <c r="D20" s="111"/>
      <c r="E20" s="111"/>
      <c r="F20" s="111"/>
      <c r="G20" s="111"/>
      <c r="H20" s="111"/>
      <c r="I20" s="111"/>
      <c r="J20" s="111"/>
      <c r="K20" s="111"/>
      <c r="L20" s="68">
        <f t="shared" si="0"/>
        <v>0</v>
      </c>
    </row>
    <row r="21" spans="1:12" ht="24" customHeight="1" x14ac:dyDescent="0.2">
      <c r="A21" s="116" t="s">
        <v>213</v>
      </c>
      <c r="B21" s="66">
        <v>920</v>
      </c>
      <c r="C21" s="67"/>
      <c r="D21" s="111"/>
      <c r="E21" s="111"/>
      <c r="F21" s="111"/>
      <c r="G21" s="111"/>
      <c r="H21" s="111"/>
      <c r="I21" s="111"/>
      <c r="J21" s="111"/>
      <c r="K21" s="111"/>
      <c r="L21" s="95">
        <f t="shared" si="0"/>
        <v>0</v>
      </c>
    </row>
    <row r="22" spans="1:12" ht="24" customHeight="1" x14ac:dyDescent="0.2">
      <c r="A22" s="116" t="s">
        <v>214</v>
      </c>
      <c r="B22" s="66">
        <v>650</v>
      </c>
      <c r="C22" s="67"/>
      <c r="D22" s="111"/>
      <c r="E22" s="111"/>
      <c r="F22" s="111"/>
      <c r="G22" s="111"/>
      <c r="H22" s="111"/>
      <c r="I22" s="111"/>
      <c r="J22" s="111"/>
      <c r="K22" s="111"/>
      <c r="L22" s="68">
        <f t="shared" si="0"/>
        <v>0</v>
      </c>
    </row>
    <row r="23" spans="1:12" ht="24" customHeight="1" x14ac:dyDescent="0.2">
      <c r="A23" s="116" t="s">
        <v>215</v>
      </c>
      <c r="B23" s="66">
        <v>530</v>
      </c>
      <c r="C23" s="67"/>
      <c r="D23" s="111"/>
      <c r="E23" s="111"/>
      <c r="F23" s="111"/>
      <c r="G23" s="111"/>
      <c r="H23" s="111"/>
      <c r="I23" s="111"/>
      <c r="J23" s="111"/>
      <c r="K23" s="111"/>
      <c r="L23" s="68">
        <f t="shared" si="0"/>
        <v>0</v>
      </c>
    </row>
    <row r="24" spans="1:12" ht="24" customHeight="1" x14ac:dyDescent="0.2">
      <c r="A24" s="94" t="s">
        <v>209</v>
      </c>
      <c r="B24" s="66">
        <v>150</v>
      </c>
      <c r="C24" s="67"/>
      <c r="D24" s="111"/>
      <c r="E24" s="111"/>
      <c r="F24" s="111"/>
      <c r="G24" s="111"/>
      <c r="H24" s="111"/>
      <c r="I24" s="111"/>
      <c r="J24" s="111"/>
      <c r="K24" s="111"/>
      <c r="L24" s="68">
        <f>B24*C24</f>
        <v>0</v>
      </c>
    </row>
    <row r="25" spans="1:12" ht="24" customHeight="1" x14ac:dyDescent="0.2">
      <c r="A25" s="94" t="s">
        <v>191</v>
      </c>
      <c r="B25" s="66">
        <v>400</v>
      </c>
      <c r="C25" s="67"/>
      <c r="D25" s="111"/>
      <c r="E25" s="111"/>
      <c r="F25" s="111"/>
      <c r="G25" s="111"/>
      <c r="H25" s="111"/>
      <c r="I25" s="111"/>
      <c r="J25" s="111"/>
      <c r="K25" s="111"/>
      <c r="L25" s="112">
        <f t="shared" si="0"/>
        <v>0</v>
      </c>
    </row>
    <row r="26" spans="1:12" ht="24" customHeight="1" x14ac:dyDescent="0.2">
      <c r="A26" s="94" t="s">
        <v>201</v>
      </c>
      <c r="B26" s="66">
        <v>1100</v>
      </c>
      <c r="C26" s="67"/>
      <c r="D26" s="111"/>
      <c r="E26" s="111"/>
      <c r="F26" s="111"/>
      <c r="G26" s="111"/>
      <c r="H26" s="111"/>
      <c r="I26" s="111"/>
      <c r="J26" s="111"/>
      <c r="K26" s="111"/>
      <c r="L26" s="113">
        <f>B26*C26</f>
        <v>0</v>
      </c>
    </row>
    <row r="27" spans="1:12" ht="24" customHeight="1" x14ac:dyDescent="0.2">
      <c r="A27" s="94" t="s">
        <v>202</v>
      </c>
      <c r="B27" s="66">
        <v>500</v>
      </c>
      <c r="C27" s="67"/>
      <c r="D27" s="111"/>
      <c r="E27" s="111"/>
      <c r="F27" s="111"/>
      <c r="G27" s="111"/>
      <c r="H27" s="111"/>
      <c r="I27" s="111"/>
      <c r="J27" s="111"/>
      <c r="K27" s="111"/>
      <c r="L27" s="113">
        <f>B27*C27</f>
        <v>0</v>
      </c>
    </row>
    <row r="28" spans="1:12" ht="24" customHeight="1" x14ac:dyDescent="0.2">
      <c r="A28" s="94" t="s">
        <v>192</v>
      </c>
      <c r="B28" s="66">
        <v>3800</v>
      </c>
      <c r="C28" s="67"/>
      <c r="D28" s="111"/>
      <c r="E28" s="111"/>
      <c r="F28" s="111"/>
      <c r="G28" s="111"/>
      <c r="H28" s="111"/>
      <c r="I28" s="111"/>
      <c r="J28" s="111"/>
      <c r="K28" s="111"/>
      <c r="L28" s="113">
        <f t="shared" si="0"/>
        <v>0</v>
      </c>
    </row>
    <row r="29" spans="1:12" ht="24" customHeight="1" x14ac:dyDescent="0.2">
      <c r="A29" s="94" t="s">
        <v>193</v>
      </c>
      <c r="B29" s="66">
        <v>3200</v>
      </c>
      <c r="C29" s="67"/>
      <c r="D29" s="111"/>
      <c r="E29" s="111"/>
      <c r="F29" s="111"/>
      <c r="G29" s="111"/>
      <c r="H29" s="111"/>
      <c r="I29" s="111"/>
      <c r="J29" s="111"/>
      <c r="K29" s="111"/>
      <c r="L29" s="113">
        <f t="shared" si="0"/>
        <v>0</v>
      </c>
    </row>
    <row r="30" spans="1:12" ht="24" customHeight="1" x14ac:dyDescent="0.2">
      <c r="A30" s="94" t="s">
        <v>194</v>
      </c>
      <c r="B30" s="66">
        <v>3100</v>
      </c>
      <c r="C30" s="67"/>
      <c r="D30" s="111"/>
      <c r="E30" s="111"/>
      <c r="F30" s="111"/>
      <c r="G30" s="111"/>
      <c r="H30" s="111"/>
      <c r="I30" s="111"/>
      <c r="J30" s="111"/>
      <c r="K30" s="111"/>
      <c r="L30" s="113">
        <f t="shared" si="0"/>
        <v>0</v>
      </c>
    </row>
    <row r="31" spans="1:12" ht="24" customHeight="1" x14ac:dyDescent="0.2">
      <c r="A31" s="94" t="s">
        <v>195</v>
      </c>
      <c r="B31" s="66">
        <v>2600</v>
      </c>
      <c r="C31" s="67"/>
      <c r="D31" s="111"/>
      <c r="E31" s="111"/>
      <c r="F31" s="111"/>
      <c r="G31" s="111"/>
      <c r="H31" s="111"/>
      <c r="I31" s="111"/>
      <c r="J31" s="111"/>
      <c r="K31" s="111"/>
      <c r="L31" s="113">
        <f t="shared" si="0"/>
        <v>0</v>
      </c>
    </row>
    <row r="32" spans="1:12" ht="24" customHeight="1" x14ac:dyDescent="0.2">
      <c r="A32" s="94" t="s">
        <v>196</v>
      </c>
      <c r="B32" s="66">
        <v>1500</v>
      </c>
      <c r="C32" s="67"/>
      <c r="D32" s="111"/>
      <c r="E32" s="111"/>
      <c r="F32" s="111"/>
      <c r="G32" s="111"/>
      <c r="H32" s="111"/>
      <c r="I32" s="111"/>
      <c r="J32" s="111"/>
      <c r="K32" s="111"/>
      <c r="L32" s="113">
        <f t="shared" si="0"/>
        <v>0</v>
      </c>
    </row>
    <row r="33" spans="1:16" ht="24" customHeight="1" x14ac:dyDescent="0.2">
      <c r="A33" s="94" t="s">
        <v>197</v>
      </c>
      <c r="B33" s="66">
        <v>210</v>
      </c>
      <c r="C33" s="67"/>
      <c r="D33" s="111"/>
      <c r="E33" s="111"/>
      <c r="F33" s="111"/>
      <c r="G33" s="111"/>
      <c r="H33" s="111"/>
      <c r="I33" s="111"/>
      <c r="J33" s="111"/>
      <c r="K33" s="111"/>
      <c r="L33" s="112">
        <f t="shared" si="0"/>
        <v>0</v>
      </c>
    </row>
    <row r="34" spans="1:16" ht="24" customHeight="1" x14ac:dyDescent="0.2">
      <c r="A34" s="94" t="s">
        <v>198</v>
      </c>
      <c r="B34" s="66">
        <v>220</v>
      </c>
      <c r="C34" s="67"/>
      <c r="D34" s="111"/>
      <c r="E34" s="111"/>
      <c r="F34" s="111"/>
      <c r="G34" s="111"/>
      <c r="H34" s="111"/>
      <c r="I34" s="111"/>
      <c r="J34" s="111"/>
      <c r="K34" s="111"/>
      <c r="L34" s="112">
        <f t="shared" si="0"/>
        <v>0</v>
      </c>
    </row>
    <row r="35" spans="1:16" ht="24" customHeight="1" x14ac:dyDescent="0.2">
      <c r="A35" s="94" t="s">
        <v>199</v>
      </c>
      <c r="B35" s="66">
        <v>80</v>
      </c>
      <c r="C35" s="67"/>
      <c r="D35" s="111"/>
      <c r="E35" s="111"/>
      <c r="F35" s="111"/>
      <c r="G35" s="111"/>
      <c r="H35" s="111"/>
      <c r="I35" s="111"/>
      <c r="J35" s="111"/>
      <c r="K35" s="111"/>
      <c r="L35" s="112">
        <f t="shared" si="0"/>
        <v>0</v>
      </c>
    </row>
    <row r="36" spans="1:16" ht="24" customHeight="1" x14ac:dyDescent="0.2">
      <c r="A36" s="94" t="s">
        <v>144</v>
      </c>
      <c r="B36" s="66">
        <v>440</v>
      </c>
      <c r="C36" s="67"/>
      <c r="D36" s="111"/>
      <c r="E36" s="111"/>
      <c r="F36" s="111"/>
      <c r="G36" s="111"/>
      <c r="H36" s="111"/>
      <c r="I36" s="111"/>
      <c r="J36" s="111"/>
      <c r="K36" s="111"/>
      <c r="L36" s="68">
        <f t="shared" ref="L36:L41" si="2">B36*C36</f>
        <v>0</v>
      </c>
    </row>
    <row r="37" spans="1:16" ht="24" customHeight="1" x14ac:dyDescent="0.2">
      <c r="A37" s="94" t="s">
        <v>177</v>
      </c>
      <c r="B37" s="66">
        <v>460</v>
      </c>
      <c r="C37" s="67"/>
      <c r="D37" s="111"/>
      <c r="E37" s="111"/>
      <c r="F37" s="111"/>
      <c r="G37" s="111"/>
      <c r="H37" s="111"/>
      <c r="I37" s="111"/>
      <c r="J37" s="111"/>
      <c r="K37" s="111"/>
      <c r="L37" s="68">
        <f t="shared" si="2"/>
        <v>0</v>
      </c>
      <c r="N37" s="49" t="s">
        <v>178</v>
      </c>
    </row>
    <row r="38" spans="1:16" ht="24" customHeight="1" x14ac:dyDescent="0.2">
      <c r="A38" s="94" t="s">
        <v>179</v>
      </c>
      <c r="B38" s="66">
        <v>250</v>
      </c>
      <c r="C38" s="67"/>
      <c r="D38" s="111"/>
      <c r="E38" s="111"/>
      <c r="F38" s="111"/>
      <c r="G38" s="111"/>
      <c r="H38" s="111"/>
      <c r="I38" s="111"/>
      <c r="J38" s="111"/>
      <c r="K38" s="111"/>
      <c r="L38" s="68">
        <f t="shared" si="2"/>
        <v>0</v>
      </c>
    </row>
    <row r="39" spans="1:16" ht="24" customHeight="1" x14ac:dyDescent="0.2">
      <c r="A39" s="94" t="s">
        <v>180</v>
      </c>
      <c r="B39" s="66">
        <v>560</v>
      </c>
      <c r="C39" s="67"/>
      <c r="D39" s="111"/>
      <c r="E39" s="111"/>
      <c r="F39" s="111"/>
      <c r="G39" s="111"/>
      <c r="H39" s="111"/>
      <c r="I39" s="111"/>
      <c r="J39" s="111"/>
      <c r="K39" s="111"/>
      <c r="L39" s="95">
        <f t="shared" si="2"/>
        <v>0</v>
      </c>
      <c r="N39" s="96" t="s">
        <v>181</v>
      </c>
      <c r="O39" s="96">
        <v>0.5</v>
      </c>
      <c r="P39" s="96" t="s">
        <v>182</v>
      </c>
    </row>
    <row r="40" spans="1:16" ht="24" customHeight="1" x14ac:dyDescent="0.2">
      <c r="A40" s="97" t="s">
        <v>183</v>
      </c>
      <c r="B40" s="66">
        <v>500</v>
      </c>
      <c r="C40" s="67"/>
      <c r="D40" s="111"/>
      <c r="E40" s="111"/>
      <c r="F40" s="111"/>
      <c r="G40" s="111"/>
      <c r="H40" s="111"/>
      <c r="I40" s="111"/>
      <c r="J40" s="111"/>
      <c r="K40" s="111"/>
      <c r="L40" s="68">
        <f t="shared" si="2"/>
        <v>0</v>
      </c>
      <c r="N40" s="96" t="s">
        <v>184</v>
      </c>
      <c r="O40" s="96">
        <v>1</v>
      </c>
      <c r="P40" s="96" t="s">
        <v>182</v>
      </c>
    </row>
    <row r="41" spans="1:16" ht="24" customHeight="1" x14ac:dyDescent="0.2">
      <c r="A41" s="94" t="s">
        <v>185</v>
      </c>
      <c r="B41" s="66">
        <v>500</v>
      </c>
      <c r="C41" s="67"/>
      <c r="D41" s="111"/>
      <c r="E41" s="111"/>
      <c r="F41" s="111"/>
      <c r="G41" s="111"/>
      <c r="H41" s="111"/>
      <c r="I41" s="111"/>
      <c r="J41" s="111"/>
      <c r="K41" s="111"/>
      <c r="L41" s="68">
        <f t="shared" si="2"/>
        <v>0</v>
      </c>
      <c r="N41" s="96" t="s">
        <v>186</v>
      </c>
      <c r="O41" s="96">
        <v>2</v>
      </c>
      <c r="P41" s="96" t="s">
        <v>182</v>
      </c>
    </row>
    <row r="42" spans="1:16" ht="24" customHeight="1" x14ac:dyDescent="0.2">
      <c r="A42" s="94" t="s">
        <v>200</v>
      </c>
      <c r="B42" s="66">
        <v>30</v>
      </c>
      <c r="C42" s="67"/>
      <c r="D42" s="111"/>
      <c r="E42" s="111"/>
      <c r="F42" s="111"/>
      <c r="G42" s="111"/>
      <c r="H42" s="111"/>
      <c r="I42" s="111"/>
      <c r="J42" s="111"/>
      <c r="K42" s="111"/>
      <c r="L42" s="113">
        <f t="shared" si="0"/>
        <v>0</v>
      </c>
    </row>
    <row r="43" spans="1:16" ht="24" customHeight="1" thickBot="1" x14ac:dyDescent="0.25">
      <c r="A43" s="94" t="s">
        <v>203</v>
      </c>
      <c r="B43" s="66">
        <v>600</v>
      </c>
      <c r="C43" s="67"/>
      <c r="D43" s="111"/>
      <c r="E43" s="111"/>
      <c r="F43" s="111"/>
      <c r="G43" s="111"/>
      <c r="H43" s="111"/>
      <c r="I43" s="111"/>
      <c r="J43" s="111"/>
      <c r="K43" s="111"/>
      <c r="L43" s="113">
        <f t="shared" si="0"/>
        <v>0</v>
      </c>
    </row>
    <row r="44" spans="1:16" ht="24" customHeight="1" thickBot="1" x14ac:dyDescent="0.25">
      <c r="A44" s="98"/>
      <c r="B44" s="99"/>
      <c r="C44" s="100">
        <f t="shared" ref="C44:L44" si="3">SUM(C5:C43)</f>
        <v>0</v>
      </c>
      <c r="D44" s="101">
        <f t="shared" si="3"/>
        <v>0</v>
      </c>
      <c r="E44" s="101">
        <f t="shared" si="3"/>
        <v>0</v>
      </c>
      <c r="F44" s="101">
        <f t="shared" si="3"/>
        <v>0</v>
      </c>
      <c r="G44" s="101">
        <f t="shared" si="3"/>
        <v>0</v>
      </c>
      <c r="H44" s="101">
        <f t="shared" si="3"/>
        <v>0</v>
      </c>
      <c r="I44" s="101">
        <f t="shared" si="3"/>
        <v>0</v>
      </c>
      <c r="J44" s="101">
        <f t="shared" si="3"/>
        <v>0</v>
      </c>
      <c r="K44" s="102">
        <f t="shared" si="3"/>
        <v>0</v>
      </c>
      <c r="L44" s="103">
        <f t="shared" si="3"/>
        <v>0</v>
      </c>
    </row>
    <row r="45" spans="1:16" ht="24" hidden="1" customHeight="1" x14ac:dyDescent="0.2"/>
    <row r="46" spans="1:16" ht="24" customHeight="1" x14ac:dyDescent="0.2"/>
    <row r="47" spans="1:16" ht="24" customHeight="1" x14ac:dyDescent="0.2"/>
    <row r="48" spans="1:16" ht="24" customHeight="1" x14ac:dyDescent="0.2"/>
    <row r="49" ht="24" customHeight="1" x14ac:dyDescent="0.2"/>
    <row r="50" ht="24" customHeight="1" x14ac:dyDescent="0.2"/>
    <row r="51" ht="24" customHeight="1" x14ac:dyDescent="0.2"/>
    <row r="52" ht="24" customHeight="1" x14ac:dyDescent="0.2"/>
    <row r="53" ht="24" customHeight="1" x14ac:dyDescent="0.2"/>
    <row r="54" ht="24" customHeight="1" x14ac:dyDescent="0.2"/>
    <row r="55" ht="24" customHeight="1" x14ac:dyDescent="0.2"/>
    <row r="56" ht="24" customHeight="1" x14ac:dyDescent="0.2"/>
    <row r="57" ht="24" customHeight="1" x14ac:dyDescent="0.2"/>
    <row r="58" ht="24" customHeight="1" x14ac:dyDescent="0.2"/>
    <row r="59" ht="24" customHeight="1" x14ac:dyDescent="0.2"/>
    <row r="60" ht="24" customHeight="1" x14ac:dyDescent="0.2"/>
    <row r="61" ht="24" customHeight="1" x14ac:dyDescent="0.2"/>
    <row r="62" ht="24" customHeight="1" x14ac:dyDescent="0.2"/>
    <row r="63" ht="24" customHeight="1" x14ac:dyDescent="0.2"/>
    <row r="64" ht="24" customHeight="1" x14ac:dyDescent="0.2"/>
    <row r="65" ht="24" customHeight="1" x14ac:dyDescent="0.2"/>
    <row r="66" ht="24" customHeight="1" x14ac:dyDescent="0.2"/>
  </sheetData>
  <mergeCells count="3">
    <mergeCell ref="A1:L1"/>
    <mergeCell ref="L2:L3"/>
    <mergeCell ref="O2:Y3"/>
  </mergeCells>
  <phoneticPr fontId="1"/>
  <pageMargins left="0.7" right="0.7" top="0.75" bottom="0.75" header="0.3" footer="0.3"/>
  <pageSetup paperSize="9" scale="74" fitToWidth="0" orientation="portrait" horizontalDpi="4294967292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10</vt:i4>
      </vt:variant>
      <vt:variant>
        <vt:lpstr>名前付き一覧</vt:lpstr>
      </vt:variant>
      <vt:variant>
        <vt:i4>2</vt:i4>
      </vt:variant>
    </vt:vector>
  </HeadingPairs>
  <TitlesOfParts>
    <vt:vector size="12" baseType="lpstr">
      <vt:lpstr>計画書</vt:lpstr>
      <vt:lpstr>装備表 (無雪期)</vt:lpstr>
      <vt:lpstr>装備表（岩登り）</vt:lpstr>
      <vt:lpstr>装備表（沢登り）</vt:lpstr>
      <vt:lpstr>装備表（雪山）</vt:lpstr>
      <vt:lpstr>ルート図</vt:lpstr>
      <vt:lpstr>会計報告R7</vt:lpstr>
      <vt:lpstr>多人数表</vt:lpstr>
      <vt:lpstr>山行報告書</vt:lpstr>
      <vt:lpstr>担架表</vt:lpstr>
      <vt:lpstr>'装備表 (無雪期)'!Print_Area</vt:lpstr>
      <vt:lpstr>'装備表（雪山）'!Print_Area</vt:lpstr>
    </vt:vector>
  </TitlesOfParts>
  <Company>FM-USER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FMV-USER</dc:creator>
  <cp:lastModifiedBy>美子 小嶋</cp:lastModifiedBy>
  <cp:lastPrinted>2018-05-09T06:34:24Z</cp:lastPrinted>
  <dcterms:created xsi:type="dcterms:W3CDTF">2000-02-16T14:07:51Z</dcterms:created>
  <dcterms:modified xsi:type="dcterms:W3CDTF">2025-09-11T00:45:41Z</dcterms:modified>
</cp:coreProperties>
</file>